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Respostas_Brutas" sheetId="2" r:id="rId6"/>
    <sheet state="visible" name="Legenda" sheetId="3" r:id="rId7"/>
    <sheet state="visible" name="Respostas_Brutas_antiga" sheetId="4" r:id="rId8"/>
    <sheet state="visible" name="Variaveis" sheetId="5" r:id="rId9"/>
    <sheet state="visible" name="Pesos_Decisao" sheetId="6" r:id="rId10"/>
    <sheet state="visible" name="Pontuacao" sheetId="7" r:id="rId11"/>
    <sheet state="visible" name="Historico" sheetId="8" r:id="rId12"/>
    <sheet state="visible" name="Diagnostico" sheetId="9" r:id="rId13"/>
  </sheets>
  <definedNames/>
  <calcPr/>
</workbook>
</file>

<file path=xl/sharedStrings.xml><?xml version="1.0" encoding="utf-8"?>
<sst xmlns="http://schemas.openxmlformats.org/spreadsheetml/2006/main" count="464" uniqueCount="224">
  <si>
    <t>Carimbo de data/hora</t>
  </si>
  <si>
    <t>Matriz-Mãe v2 — mapeada para o Caderno Diagnóstico real</t>
  </si>
  <si>
    <t>Nome Completo</t>
  </si>
  <si>
    <t>Quando se formou?</t>
  </si>
  <si>
    <t>Em que ano você começou a atuar como psicóloga clínica?</t>
  </si>
  <si>
    <t>Nome do serviço</t>
  </si>
  <si>
    <t>Valor atual</t>
  </si>
  <si>
    <t>Formato</t>
  </si>
  <si>
    <t>Recorrência</t>
  </si>
  <si>
    <t>Nº de clientes</t>
  </si>
  <si>
    <t xml:space="preserve">  Em que ano você começou a atuar como psicóloga clínica?  </t>
  </si>
  <si>
    <t>Receita mensal estimada</t>
  </si>
  <si>
    <t>Qual serviço representa a maior parte de sua renda atual?</t>
  </si>
  <si>
    <t>Nome do serviço 2</t>
  </si>
  <si>
    <t>Qual serviço demanda mais energia e tempo de sua parte?</t>
  </si>
  <si>
    <t>Valor atual 2</t>
  </si>
  <si>
    <t>Existe uma dependência significativa de um único serviço para a sustentabilidade de seu negócio?</t>
  </si>
  <si>
    <t>Formato 2</t>
  </si>
  <si>
    <t>Faturamento médio dos últimos 2 meses</t>
  </si>
  <si>
    <t>Recorrência 2</t>
  </si>
  <si>
    <t>Maior faturamento nos últimos 6 meses</t>
  </si>
  <si>
    <t>Nº de clientes 2</t>
  </si>
  <si>
    <t>Menor faturamento nos últimos 6 meses</t>
  </si>
  <si>
    <t>Receita média mensal previsível (fixa)</t>
  </si>
  <si>
    <t>Receita instável (variável)</t>
  </si>
  <si>
    <t>Quantos atendimentos você realiza por semana atualmente?</t>
  </si>
  <si>
    <t>Capacidade máxima real (agenda completamente cheia)</t>
  </si>
  <si>
    <t>Quantos dias você trabalha por semana?</t>
  </si>
  <si>
    <t>Receita mensal estimada 2</t>
  </si>
  <si>
    <t>Existe um limite máximo de atendimentos ou dias definido por você?</t>
  </si>
  <si>
    <t>Se sim, qual é esse limite?</t>
  </si>
  <si>
    <t>Valor mínimo cobrado por serviço</t>
  </si>
  <si>
    <t>Valor máximo cobrado por serviço</t>
  </si>
  <si>
    <t>Valor médio real cobrado</t>
  </si>
  <si>
    <t>Quando foi realizado o último reajuste de valores?</t>
  </si>
  <si>
    <t>Existe uma regra clara e definida para o reajuste de seus preços?</t>
  </si>
  <si>
    <t>Se sim, qual é essa regra?</t>
  </si>
  <si>
    <t xml:space="preserve">Se sua agenda estivesse completamente cheia, quantos pacientes você conseguiria sustentar com a mesma qulidade por semana? (capacidade máxima real) </t>
  </si>
  <si>
    <t>De 0 a 5, teve alguma surpresa em descrever os números aqui?</t>
  </si>
  <si>
    <t>Se pudesse manter só metade dos pacientes atuais, quais ficariam?</t>
  </si>
  <si>
    <t>Existe um limite máximo de atendimentos ou dias de trabalho definido por você?</t>
  </si>
  <si>
    <t>Se sim, qual é esse limite? (deixe em branco se sua resposta acima foi "Não")</t>
  </si>
  <si>
    <t>Já identificou o motivo pelo qual seus clientes escolhem o seu atendimento?</t>
  </si>
  <si>
    <t>Quantos pacientes novos você recebeu nos últimos 30 dias?</t>
  </si>
  <si>
    <t>Como você avalia sua autoridade digital hoje?</t>
  </si>
  <si>
    <t>Qual é o perfil predominante dos pacientes que você atende atualmente?</t>
  </si>
  <si>
    <t>Se sim, qual é essa regra? (deixe em branco se sua resposta acima foi "Não")</t>
  </si>
  <si>
    <t>Com qual perfil de paciente você deseja atuar no futuro?</t>
  </si>
  <si>
    <t>Se você pudesse manter só metade dos seus pacientes atuais, quais ficariam?</t>
  </si>
  <si>
    <t>Existe algum perfil de cliente que consome mais sua energia ou que não se identifica?</t>
  </si>
  <si>
    <t>Já identificou qual é o motivo pelo qual seus clientes escolhem o seu atendimento?</t>
  </si>
  <si>
    <t>Já passou por mentoria ou consultoria de negócios antes? O que funcionou/não funcionou?</t>
  </si>
  <si>
    <t xml:space="preserve">Quantos pacientes novos você recebeu nos últimos 30 dias? </t>
  </si>
  <si>
    <t>Qual é o faturamento realista mensal que você almeja alcançar?</t>
  </si>
  <si>
    <t xml:space="preserve">Como você avalia sua autoridade digital hoje (redes sociais, conteúdo, visibilidade online)? </t>
  </si>
  <si>
    <t>Quantos atendimentos semanais você deseja realizar?</t>
  </si>
  <si>
    <t>Pretende depender exclusivamente da clínica individual?</t>
  </si>
  <si>
    <t>Existe algum perfil de cliente que você considera que consome mais sua energia ou que não se identifica?</t>
  </si>
  <si>
    <t>Deseja ter outros serviços além da clínica individual? Quais?</t>
  </si>
  <si>
    <t>Você já passou por alguma mentoria ou consultoria de negócios antes? e sim, o que considerou que  funcionou e o que não funcionou?</t>
  </si>
  <si>
    <t>Quantos dias por semana você deseja trabalhar?</t>
  </si>
  <si>
    <t>Você pretende depender exclusivamente da clínica individual?</t>
  </si>
  <si>
    <t>Seu modelo de negócio atual conduz a esses objetivos?</t>
  </si>
  <si>
    <t>Você deseja ter outros serviços além da clínica individual ou já teve? Se sim, quais?</t>
  </si>
  <si>
    <t>Se 'Não', quais mudanças nos próximos 90 dias?</t>
  </si>
  <si>
    <t>Seu modelo de negócio atual o(a) conduz a esses objetivos?</t>
  </si>
  <si>
    <t>Se a resposta for "Não", quais mudanças precisam ser implementadas nos próximos 90 dias para alinhar seu modelo aos seus objetivos? (deixe em branco se respondeu "Sim")</t>
  </si>
  <si>
    <t>Eu sou uma psicóloga que...</t>
  </si>
  <si>
    <t>O que vem a mente para completar a frase:
 Eu sou uma psicóloga que...</t>
  </si>
  <si>
    <t>Nos próximos 2 anos, quero construir...</t>
  </si>
  <si>
    <t>Para isso, preciso ajustar imediatamente...</t>
  </si>
  <si>
    <t>O que mudou nesta versão:</t>
  </si>
  <si>
    <t>Sannara Freitas</t>
  </si>
  <si>
    <t>Esta aba é só referência das colunas reais do seu Forms (A até BB) — não precisa preencher nada aqui. A aba de verdade com as respostas é criada pelo próprio Forms quando você vincula.</t>
  </si>
  <si>
    <t>Psicoterapia</t>
  </si>
  <si>
    <t>R$ 80,00 a R$ 100,00 por sessão (média de R$ 340,00/mês por paciente)</t>
  </si>
  <si>
    <t>Online</t>
  </si>
  <si>
    <t>Mensal</t>
  </si>
  <si>
    <t>4 pacientes pagantes (+ 1 atendimento pro bono)</t>
  </si>
  <si>
    <t>R$ 1.360,00</t>
  </si>
  <si>
    <t>As fórmulas de Variaveis agora apontam para as 54 colunas reais do seu Forms (Raio-X do Negócio Hoje etc.),</t>
  </si>
  <si>
    <t>Psicoterapia Individual.</t>
  </si>
  <si>
    <t>Sim, dependência de 100% das sessões individuais.</t>
  </si>
  <si>
    <t>R$ 1.200</t>
  </si>
  <si>
    <t>Não</t>
  </si>
  <si>
    <t>março</t>
  </si>
  <si>
    <t>Sim</t>
  </si>
  <si>
    <t>ajuste de 15% anual sobre o valor em março</t>
  </si>
  <si>
    <t>Indicação de colegas.</t>
  </si>
  <si>
    <t>Adolescentes a partir de 12 anos do sexo feminino</t>
  </si>
  <si>
    <t>adolescentes</t>
  </si>
  <si>
    <t>homens e sexualidade</t>
  </si>
  <si>
    <t>não</t>
  </si>
  <si>
    <t>R$6.000,00</t>
  </si>
  <si>
    <t>em vez das colunas de exemplo da primeira versão. Ainda usa ARRAYFORMULA — só funciona no Google Sheets.</t>
  </si>
  <si>
    <t>desejo. Oficinas, palestras, workshop</t>
  </si>
  <si>
    <t>segunda a sexta - 3 pacientes por dia (</t>
  </si>
  <si>
    <t>Valor atual praticado hoje</t>
  </si>
  <si>
    <t>Nova Precificação: Estabelecer o valor padrão de R$ 200,00 por sessão para todos os novos pacientes captados.
Captação Ativa de Clientes: Implementar uma estratégia constante de posicionamento e atração para alcançar a meta de 9 a 10 pacientes ativos no novo valor.
Diversificação de Serviços: Avaliar a criação de um segundo serviço pontual (como palestras corporativas ou orientações) para gerar caixa e diminuir a dependência 100% exclusiva da clínica individual."</t>
  </si>
  <si>
    <t>escuta escuta as dores e acolhe os adolescentes</t>
  </si>
  <si>
    <t>autoridade na area da psicologia do desenvolvimento</t>
  </si>
  <si>
    <t>autoridade digital e academica, networking e precificação</t>
  </si>
  <si>
    <t xml:space="preserve">Marissa Lima </t>
  </si>
  <si>
    <t xml:space="preserve">Psicoterapia </t>
  </si>
  <si>
    <t>Presencial</t>
  </si>
  <si>
    <t>IMPORTANTE — suposição que fiz e você precisa confirmar:</t>
  </si>
  <si>
    <t xml:space="preserve">Supervisão </t>
  </si>
  <si>
    <t xml:space="preserve">Sim, café com Rogers </t>
  </si>
  <si>
    <t xml:space="preserve">Sim, pois a psicoterapia é a maior parte da renda </t>
  </si>
  <si>
    <t>'Como você avalia sua autoridade digital hoje?' foi tratada como resposta numérica (1 a 5).</t>
  </si>
  <si>
    <t xml:space="preserve">Atendo de segunda a sexta, limite de 4 paciente dia mesclando com supervisão </t>
  </si>
  <si>
    <t>Inicio do ano</t>
  </si>
  <si>
    <t>Reajuste anual</t>
  </si>
  <si>
    <t xml:space="preserve">Com todos </t>
  </si>
  <si>
    <t xml:space="preserve">Confiança, segurança, indicação, autenticidade </t>
  </si>
  <si>
    <t>Nenhum</t>
  </si>
  <si>
    <t xml:space="preserve">Adolescente </t>
  </si>
  <si>
    <t xml:space="preserve">Criança, adolescente, pasias </t>
  </si>
  <si>
    <t xml:space="preserve">Não. Quando acontece não é pq não gosto, mas pq sinto que é difícil </t>
  </si>
  <si>
    <t>Não. Estava esperando por essa</t>
  </si>
  <si>
    <t>12k</t>
  </si>
  <si>
    <t xml:space="preserve">Sim, já tenho. Supervisão, Café com Rogers, minicurso e quero ter a imersão e formação </t>
  </si>
  <si>
    <t xml:space="preserve">Ter ação para cumprir os planejamentos </t>
  </si>
  <si>
    <t xml:space="preserve">Acolhe, escuta, vou no tempo do cliente e promovo transformação na vida das pessoas que acompanho </t>
  </si>
  <si>
    <t>Se no seu Forms essa pergunta for de texto (Baixa/Média/Alta), a variável V9 vai ficar errada — avise para eu corrigir.</t>
  </si>
  <si>
    <t xml:space="preserve">Uma clínica sustentável, que eu possa cada vez mais indicar paciente, ser referência na temática do Abuso sexual e ACP, ser palestrante pelo brasil </t>
  </si>
  <si>
    <t xml:space="preserve">Meu comprometimento em seguir o plano de ação certinho, me expor nas redes sociais nos vídeos e no diálogo com profissionais. Continuar acreditando e alimentando o meu valor pessoal. E quero seguir fazendo mentoria vitalícia pra quando chegar na meta, duplicar a meta. </t>
  </si>
  <si>
    <t>Francisca ROSELI de Alcântara Madeiro</t>
  </si>
  <si>
    <t>Varia entre R$ 50,00 e R$ 200,00 particular (plano de saúde são outros valores)</t>
  </si>
  <si>
    <t>Presencial e Online</t>
  </si>
  <si>
    <t>Único</t>
  </si>
  <si>
    <t>Plano acabei de encerrar ou encaminhar 7; mantendo 7 do plano (a decidir continuidade em setembro/outubro); 9 particulares (4 semanal, 4 quinzenal e 1 mensal)</t>
  </si>
  <si>
    <t xml:space="preserve">Muito variável - Plano ultimo mes foi R$ 1.416,00; Particulares Último mês foi R$ 1.770,00, julho foi R$ 2.920; e teve mês que chegou a passar de R$ 3.000). Como estou num período de transição e decisão sobre o retorno ao meu vínculo, não tenho recebido novos pacientes de plano já tem um tempo e também não tem colocado energia nos particulares - por conta dessa indefinição. </t>
  </si>
  <si>
    <t>nao</t>
  </si>
  <si>
    <t xml:space="preserve">nao </t>
  </si>
  <si>
    <t xml:space="preserve">Psicoterapia - atendimento por plano de saúde </t>
  </si>
  <si>
    <t>sim</t>
  </si>
  <si>
    <t>Média: R$ 3.740,00 // R$ 3.186 ago; R$ 4.294,00 set</t>
  </si>
  <si>
    <t>R$ 5.006 (particular e plano de saúde)</t>
  </si>
  <si>
    <t>R$ 3.186,00</t>
  </si>
  <si>
    <t>nao sei informar</t>
  </si>
  <si>
    <t>varia, pois tenho pacientes quinzenais e mensais - média de 12 pelo menos</t>
  </si>
  <si>
    <t>Procuro agendar os atendimentos de segunda à quinta, mas tenho pacientes que só podem na sexta, e tamb´me, na sexta coloco remarcação; Por dia, considerando atendimentos por plano,  atendo no maximo 10, sem plano, no máximo 7</t>
  </si>
  <si>
    <t>R$ 50,00</t>
  </si>
  <si>
    <t>R$ 200,00</t>
  </si>
  <si>
    <t>R$ 100,00 (tenho pacientes com valores muito variados)</t>
  </si>
  <si>
    <t xml:space="preserve">Nunca houve reajuste </t>
  </si>
  <si>
    <t xml:space="preserve">Existe um terceiro serviço, se sim, qual? </t>
  </si>
  <si>
    <t>Mulheres em processos de mudanças/transições diversas (fisicas, emocionais, etc)</t>
  </si>
  <si>
    <t>Identificação ou indicação</t>
  </si>
  <si>
    <t>3 do plano</t>
  </si>
  <si>
    <t>Mulheres</t>
  </si>
  <si>
    <t>Mulheres em processos de transições/mudanças</t>
  </si>
  <si>
    <t>clientes que não levam conteúdo/demandas para a clínica</t>
  </si>
  <si>
    <t>já, mas em um formato diferente, me ajudou a visualizar algumas coisas em todo o processo que envolve a clínica</t>
  </si>
  <si>
    <t>R$ 10.000,00</t>
  </si>
  <si>
    <t>Sim (ja tive grupo de cuidado emocional para gestantes e grupo para mulheres, antes da conclusao do curso de psicologia)</t>
  </si>
  <si>
    <t>Passo a passo para trocar a planilha antiga por esta:</t>
  </si>
  <si>
    <t xml:space="preserve">Verificar novas formas de captação de pacientes </t>
  </si>
  <si>
    <t>Eu sou uma psicóloga que acolhe mulheres em momentos de mudanças e transições, oferecendo um espaço de escuta, presença e cuidado para que elas possam se reconectar consigo mesmas e construir caminhos mais autênticos.</t>
  </si>
  <si>
    <t>Nos próximos 2 anos, profissionalmente eu quero consolidar minha clínica e minha atuação como psicóloga, ampliar minha visibilidade e alcançar uma estabilidade financeira que me permita viver da psicologia com autonomia, propósito e qualidade de vida, construindo um negócio que tenha a minha identidade.</t>
  </si>
  <si>
    <t>Para isso, preciso ajustar imediatamente minha estratégia de captação de pacientes e a gestão da clínica, transformando o que hoje funciona de forma mais intuitiva em um negócio estruturado, sustentável e alinhado à profissional que quero me tornar.</t>
  </si>
  <si>
    <t>1. No seu Forms, aba Respostas &gt; menu de três pontinhos &gt; 'Cancelar vínculo do formulário' (desliga da planilha antiga).</t>
  </si>
  <si>
    <t>2. Suba este arquivo no Google Drive &gt; abrir com Google Sheets &gt; Arquivo &gt; 'Salvar como Planilhas Google' (vira nativa).</t>
  </si>
  <si>
    <t>3. No Forms, clique no ícone verde do Sheets de novo &gt; 'Selecionar planilha existente' &gt; escolha esta planilha nova.</t>
  </si>
  <si>
    <t>4. O Forms vai criar a aba de respostas automaticamente aqui dentro. Renomeie essa aba para 'Respostas_Brutas'</t>
  </si>
  <si>
    <t xml:space="preserve">   (é o único passo manual — depois disso as respostas antigas de teste não vêm junto, você precisará reenviar 1 resposta de teste).</t>
  </si>
  <si>
    <t>5. Variaveis, Pontuacao e Diagnostico calculam sozinhos a partir daí.</t>
  </si>
  <si>
    <t>O que continua manual, sempre: Pesos_Decisao (seu julgamento) e Historico (resultado real de cada checkpoint).</t>
  </si>
  <si>
    <t>--- Correções aplicadas (revisão) ---</t>
  </si>
  <si>
    <t>V2_ClientesAtuais: trocado N() por REGEXEXTRACT — antes zerava sempre que a resposta era texto livre</t>
  </si>
  <si>
    <t xml:space="preserve">Se você pudesse escolher, quais dos seus atuais pacientes você gostaria de atender mais?” </t>
  </si>
  <si>
    <t xml:space="preserve">  (ex.: "4 pacientes pagantes (+ 1 pro bono)" virava 0; agora extrai o primeiro número do texto).</t>
  </si>
  <si>
    <t xml:space="preserve">Na sua percepção, o que faz um paciente escolher você em vez de outro profissional? </t>
  </si>
  <si>
    <t>V4_DependeUmServico: trocado "=Sim" exato por REGEXMATCH — antes nunca ficava verdadeiro quando a</t>
  </si>
  <si>
    <t xml:space="preserve">Quantos pacientes novos você recebeu nos últimos 60 dias? </t>
  </si>
  <si>
    <t xml:space="preserve">  resposta era uma frase completa (ex.: "Sim, dependência de 100%..." não batia com "Sim" exato).</t>
  </si>
  <si>
    <t>V7_SemRegraReajuste e V8_IdentificouDiferencial: mesma correção aplicada por precaução, mesmo sem</t>
  </si>
  <si>
    <t xml:space="preserve">  confirmação de que essas perguntas específicas causam o mesmo problema — mais seguro assim.</t>
  </si>
  <si>
    <t>V9_AutoridadeDigital (1-5) continua sem correção: ainda depende de você confirmar se essa pergunta</t>
  </si>
  <si>
    <t xml:space="preserve">  no Forms é numérica (1-5) ou categórica (Baixa/Média/Alta) antes de usar o resultado.</t>
  </si>
  <si>
    <t>--- Correção adicional (após teste real com Sannara) ---</t>
  </si>
  <si>
    <t>V2_ClientesAtuais, V3_TempoAtuacao e V9_AutoridadeDigital foram normalizadas para escala 0-1.</t>
  </si>
  <si>
    <t>Antes, essas 3 variáveis entravam como números brutos (ex.: 4 clientes, 5 anos, nota 1-5) enquanto</t>
  </si>
  <si>
    <t>as outras 6 variáveis são 0/1 ou 0-1 — isso fazia uma cliente com poucos dados preencher 'Escalar'</t>
  </si>
  <si>
    <t>como prioridade só pela escala da variável, não pelo sentido real do dado. Corrigido.</t>
  </si>
  <si>
    <t>V1_GapReceita também foi ajustada: os campos de faturamento vêm como texto 'R$ 1.360,00' no Forms,</t>
  </si>
  <si>
    <t>não como número — a fórmula agora limpa o texto (remove 'R$', ajusta separador decimal) antes de calcular.</t>
  </si>
  <si>
    <t>Nos próximos 2 anos, profissionalmente eu quero ...</t>
  </si>
  <si>
    <t>Cliente</t>
  </si>
  <si>
    <t>V1_GapReceita (0-1)</t>
  </si>
  <si>
    <t>V2_ClientesAtuais (0-1, normalizado /20)</t>
  </si>
  <si>
    <t>V3_TempoAtuacao (0-1, normalizado /15 anos)</t>
  </si>
  <si>
    <t>V4_DependeUmServico (0/1)</t>
  </si>
  <si>
    <t>V5_TaxaOcupacao (0-1)</t>
  </si>
  <si>
    <t>V6_TemMaisDeUmServico (0/1)</t>
  </si>
  <si>
    <t>V7_SemRegraReajuste (0/1)</t>
  </si>
  <si>
    <t>V8_IdentificouDiferencial (0/1)</t>
  </si>
  <si>
    <t>V9_AutoridadeDigital (0-1, normalizado)</t>
  </si>
  <si>
    <t>Decisão</t>
  </si>
  <si>
    <t>V2_ClientesAtuais</t>
  </si>
  <si>
    <t>V3_TempoAtuacao_anos</t>
  </si>
  <si>
    <t>V9_AutoridadeDigital (1-5)</t>
  </si>
  <si>
    <t>Captar</t>
  </si>
  <si>
    <t>Precificar</t>
  </si>
  <si>
    <t>Posicionar</t>
  </si>
  <si>
    <t>Produto-Vitrine</t>
  </si>
  <si>
    <t>Mix</t>
  </si>
  <si>
    <t>Esteira</t>
  </si>
  <si>
    <t>Escalar</t>
  </si>
  <si>
    <t>Pesos de exemplo, heurísticos. Ajuste com base na sua experiência — esta aba nunca é automática.</t>
  </si>
  <si>
    <t>Checkpoint</t>
  </si>
  <si>
    <t>Decisão priorizada</t>
  </si>
  <si>
    <t>Score na decisão</t>
  </si>
  <si>
    <t>Resultado (Sucesso/Falhou/Em curso)</t>
  </si>
  <si>
    <t>Observação</t>
  </si>
  <si>
    <t>Preencha uma linha por checkpoint concluído (copie a decisão/score de Diagnostico).</t>
  </si>
  <si>
    <t>Decisão prioritária</t>
  </si>
  <si>
    <t>Score</t>
  </si>
  <si>
    <t>Probabilidade de sucesso</t>
  </si>
  <si>
    <t>Diagnóstico (texto)</t>
  </si>
  <si>
    <t>Fórmulas só na linha 2 — espalham sozinhas.</t>
  </si>
  <si>
    <t>Fórmulas só na linha 2 — espalham sozinhas no Google Sheets. Não copiar para outras linhas.</t>
  </si>
  <si>
    <t>V9 assume resposta numérica (1-5) para 'autoridade digital'. Se for texto no seu Forms, esta fórmula precisa mudar.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</si>
</sst>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\ h:mm:ss"/>
    <numFmt numFmtId="165" formatCode="m/d/yyyy h:mm:ss"/>
    <numFmt numFmtId="166" formatCode="0.0"/>
  </numFmts>
  <fonts count="12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  <font>
      <i/>
      <sz val="9.0"/>
      <color theme="1"/>
      <name val="Arial"/>
    </font>
    <font>
      <sz val="11.0"/>
      <color rgb="FF008000"/>
      <name val="Arial"/>
    </font>
    <font>
      <sz val="11.0"/>
      <color rgb="FF000000"/>
      <name val="Arial"/>
    </font>
    <font>
      <sz val="11.0"/>
      <color rgb="FF0000FF"/>
      <name val="Arial"/>
    </font>
    <font>
      <i/>
      <sz val="9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vertical="bottom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3" fontId="10" numFmtId="0" xfId="0" applyAlignment="1" applyBorder="1" applyFill="1" applyFont="1">
      <alignment horizontal="center" vertical="bottom"/>
    </xf>
    <xf borderId="1" fillId="0" fontId="9" numFmtId="166" xfId="0" applyAlignment="1" applyBorder="1" applyFont="1" applyNumberFormat="1">
      <alignment vertical="bottom"/>
    </xf>
    <xf borderId="1" fillId="3" fontId="10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2" pivot="0" name="Respostas_Brutas-style">
      <tableStyleElement dxfId="1" type="firstRowStripe"/>
      <tableStyleElement dxfId="2" type="secondRowStripe"/>
    </tableStyle>
    <tableStyle count="4" pivot="0" name="Respostas ao formulário 1-style">
      <tableStyleElement dxfId="3" type="headerRow"/>
      <tableStyleElement dxfId="2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C4" displayName="Form_Responses" name="Form_Responses" id="2">
  <tableColumns count="55">
    <tableColumn name="Carimbo de data/hora" id="1"/>
    <tableColumn name="Nome Completo" id="2"/>
    <tableColumn name="Quando se formou?" id="3"/>
    <tableColumn name="  Em que ano você começou a atuar como psicóloga clínica?  " id="4"/>
    <tableColumn name="Nome do serviço" id="5"/>
    <tableColumn name="Valor atual praticado hoje" id="6"/>
    <tableColumn name="Formato" id="7"/>
    <tableColumn name="Recorrência" id="8"/>
    <tableColumn name="Nº de clientes" id="9"/>
    <tableColumn name="Receita mensal estimada" id="10"/>
    <tableColumn name="Nome do serviço 2" id="11"/>
    <tableColumn name="Valor atual" id="12"/>
    <tableColumn name="Formato 2" id="13"/>
    <tableColumn name="Recorrência 2" id="14"/>
    <tableColumn name="Nº de clientes 2" id="15"/>
    <tableColumn name="Receita mensal estimada 2" id="16"/>
    <tableColumn name="Existe um terceiro serviço, se sim, qual? " id="17"/>
    <tableColumn name="Qual serviço representa a maior parte de sua renda atual?" id="18"/>
    <tableColumn name="Qual serviço demanda mais energia e tempo de sua parte?" id="19"/>
    <tableColumn name="Existe uma dependência significativa de um único serviço para a sustentabilidade de seu negócio?" id="20"/>
    <tableColumn name="Faturamento médio dos últimos 2 meses" id="21"/>
    <tableColumn name="Maior faturamento nos últimos 6 meses" id="22"/>
    <tableColumn name="Menor faturamento nos últimos 6 meses" id="23"/>
    <tableColumn name="Receita média mensal previsível (fixa)" id="24"/>
    <tableColumn name="Receita instável (variável)" id="25"/>
    <tableColumn name="Quantos atendimentos você realiza por semana atualmente?" id="26"/>
    <tableColumn name="Se sua agenda estivesse completamente cheia, quantos pacientes você conseguiria sustentar com a mesma qulidade por semana? (capacidade máxima real) " id="27"/>
    <tableColumn name="Quantos dias você trabalha por semana?" id="28"/>
    <tableColumn name="Existe um limite máximo de atendimentos ou dias de trabalho definido por você?" id="29"/>
    <tableColumn name="Se sim, qual é esse limite? (deixe em branco se sua resposta acima foi &quot;Não&quot;)" id="30"/>
    <tableColumn name="Valor mínimo cobrado por serviço" id="31"/>
    <tableColumn name="Valor máximo cobrado por serviço" id="32"/>
    <tableColumn name="Valor médio real cobrado" id="33"/>
    <tableColumn name="Quando foi realizado o último reajuste de valores?" id="34"/>
    <tableColumn name="Existe uma regra clara e definida para o reajuste de seus preços?" id="35"/>
    <tableColumn name="Se sim, qual é essa regra? (deixe em branco se sua resposta acima foi &quot;Não&quot;)" id="36"/>
    <tableColumn name="De 0 a 5, teve alguma surpresa em descrever os números aqui?" id="37"/>
    <tableColumn name="Se você pudesse escolher, quais dos seus atuais pacientes você gostaria de atender mais?” " id="38"/>
    <tableColumn name="Na sua percepção, o que faz um paciente escolher você em vez de outro profissional? " id="39"/>
    <tableColumn name="Quantos pacientes novos você recebeu nos últimos 60 dias? " id="40"/>
    <tableColumn name="Como você avalia sua autoridade digital hoje (redes sociais, conteúdo, visibilidade online)? " id="41"/>
    <tableColumn name="Qual é o perfil predominante dos pacientes que você atende atualmente?" id="42"/>
    <tableColumn name="Com qual perfil de paciente você deseja atuar no futuro?" id="43"/>
    <tableColumn name="Existe algum perfil de cliente que você considera que consome mais sua energia ou que não se identifica?" id="44"/>
    <tableColumn name="Você já passou por alguma mentoria ou consultoria de negócios antes? e sim, o que considerou que  funcionou e o que não funcionou?" id="45"/>
    <tableColumn name="Qual é o faturamento realista mensal que você almeja alcançar?" id="46"/>
    <tableColumn name="Quantos atendimentos semanais você deseja realizar?" id="47"/>
    <tableColumn name="Você pretende depender exclusivamente da clínica individual?" id="48"/>
    <tableColumn name="Você deseja ter outros serviços além da clínica individual ou já teve? Se sim, quais?" id="49"/>
    <tableColumn name="Quantos dias por semana você deseja trabalhar?" id="50"/>
    <tableColumn name="Seu modelo de negócio atual o(a) conduz a esses objetivos?" id="51"/>
    <tableColumn name="Se a resposta for &quot;Não&quot;, quais mudanças precisam ser implementadas nos próximos 90 dias para alinhar seu modelo aos seus objetivos? (deixe em branco se respondeu &quot;Sim&quot;)" id="52"/>
    <tableColumn name="O que vem a mente para completar a frase:_x000a_ Eu sou uma psicóloga que..." id="53"/>
    <tableColumn name="Nos próximos 2 anos, profissionalmente eu quero ..." id="54"/>
    <tableColumn name="Para isso, preciso ajustar imediatamente..." id="55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A3:BC4" displayName="Table_1" name="Table_1" id="1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Respostas_Bru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21.57"/>
    <col customWidth="1" min="3" max="3" width="24.0"/>
    <col customWidth="1" min="4" max="4" width="43.0"/>
    <col customWidth="1" min="5" max="5" width="21.57"/>
    <col customWidth="1" min="6" max="6" width="29.43"/>
    <col customWidth="1" min="7" max="9" width="21.57"/>
    <col customWidth="1" min="10" max="10" width="29.14"/>
    <col customWidth="1" min="11" max="15" width="21.57"/>
    <col customWidth="1" min="16" max="16" width="29.14"/>
    <col customWidth="1" min="17" max="17" width="42.71"/>
    <col customWidth="1" min="18" max="21" width="43.0"/>
    <col customWidth="1" min="22" max="22" width="42.57"/>
    <col customWidth="1" min="23" max="23" width="43.0"/>
    <col customWidth="1" min="24" max="24" width="40.57"/>
    <col customWidth="1" min="25" max="25" width="29.29"/>
    <col customWidth="1" min="26" max="30" width="43.0"/>
    <col customWidth="1" min="31" max="31" width="36.86"/>
    <col customWidth="1" min="32" max="32" width="37.29"/>
    <col customWidth="1" min="33" max="33" width="29.0"/>
    <col customWidth="1" min="34" max="55" width="43.0"/>
    <col customWidth="1" min="56" max="61" width="21.57"/>
  </cols>
  <sheetData>
    <row r="1" ht="22.5" customHeight="1">
      <c r="A1" s="7" t="s">
        <v>0</v>
      </c>
      <c r="B1" s="7" t="s">
        <v>2</v>
      </c>
      <c r="C1" s="7" t="s">
        <v>3</v>
      </c>
      <c r="D1" s="7" t="s">
        <v>10</v>
      </c>
      <c r="E1" s="7" t="s">
        <v>5</v>
      </c>
      <c r="F1" s="7" t="s">
        <v>97</v>
      </c>
      <c r="G1" s="7" t="s">
        <v>7</v>
      </c>
      <c r="H1" s="7" t="s">
        <v>8</v>
      </c>
      <c r="I1" s="7" t="s">
        <v>9</v>
      </c>
      <c r="J1" s="7" t="s">
        <v>11</v>
      </c>
      <c r="K1" s="7" t="s">
        <v>13</v>
      </c>
      <c r="L1" s="7" t="s">
        <v>6</v>
      </c>
      <c r="M1" s="7" t="s">
        <v>17</v>
      </c>
      <c r="N1" s="7" t="s">
        <v>19</v>
      </c>
      <c r="O1" s="7" t="s">
        <v>21</v>
      </c>
      <c r="P1" s="7" t="s">
        <v>28</v>
      </c>
      <c r="Q1" s="7" t="s">
        <v>147</v>
      </c>
      <c r="R1" s="7" t="s">
        <v>12</v>
      </c>
      <c r="S1" s="7" t="s">
        <v>14</v>
      </c>
      <c r="T1" s="7" t="s">
        <v>16</v>
      </c>
      <c r="U1" s="7" t="s">
        <v>18</v>
      </c>
      <c r="V1" s="7" t="s">
        <v>20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37</v>
      </c>
      <c r="AB1" s="7" t="s">
        <v>27</v>
      </c>
      <c r="AC1" s="7" t="s">
        <v>40</v>
      </c>
      <c r="AD1" s="7" t="s">
        <v>41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46</v>
      </c>
      <c r="AK1" s="7" t="s">
        <v>38</v>
      </c>
      <c r="AL1" s="7" t="s">
        <v>171</v>
      </c>
      <c r="AM1" s="7" t="s">
        <v>173</v>
      </c>
      <c r="AN1" s="7" t="s">
        <v>175</v>
      </c>
      <c r="AO1" s="7" t="s">
        <v>54</v>
      </c>
      <c r="AP1" s="7" t="s">
        <v>45</v>
      </c>
      <c r="AQ1" s="7" t="s">
        <v>47</v>
      </c>
      <c r="AR1" s="7" t="s">
        <v>57</v>
      </c>
      <c r="AS1" s="7" t="s">
        <v>59</v>
      </c>
      <c r="AT1" s="7" t="s">
        <v>53</v>
      </c>
      <c r="AU1" s="7" t="s">
        <v>55</v>
      </c>
      <c r="AV1" s="7" t="s">
        <v>61</v>
      </c>
      <c r="AW1" s="7" t="s">
        <v>63</v>
      </c>
      <c r="AX1" s="7" t="s">
        <v>60</v>
      </c>
      <c r="AY1" s="7" t="s">
        <v>65</v>
      </c>
      <c r="AZ1" s="7" t="s">
        <v>66</v>
      </c>
      <c r="BA1" s="7" t="s">
        <v>68</v>
      </c>
      <c r="BB1" s="7" t="s">
        <v>188</v>
      </c>
      <c r="BC1" s="7" t="s">
        <v>70</v>
      </c>
    </row>
    <row r="2" ht="93.0" customHeight="1">
      <c r="A2" s="19">
        <v>46265.562166585645</v>
      </c>
      <c r="B2" s="20" t="s">
        <v>72</v>
      </c>
      <c r="C2" s="20">
        <v>2025.0</v>
      </c>
      <c r="D2" s="21"/>
      <c r="E2" s="20" t="s">
        <v>74</v>
      </c>
      <c r="F2" s="20" t="s">
        <v>75</v>
      </c>
      <c r="G2" s="20" t="s">
        <v>76</v>
      </c>
      <c r="H2" s="20" t="s">
        <v>77</v>
      </c>
      <c r="I2" s="20" t="s">
        <v>78</v>
      </c>
      <c r="J2" s="20" t="s">
        <v>79</v>
      </c>
      <c r="K2" s="21"/>
      <c r="L2" s="21"/>
      <c r="M2" s="21"/>
      <c r="N2" s="21"/>
      <c r="O2" s="21"/>
      <c r="P2" s="21"/>
      <c r="Q2" s="21"/>
      <c r="R2" s="20" t="s">
        <v>81</v>
      </c>
      <c r="S2" s="20" t="s">
        <v>81</v>
      </c>
      <c r="T2" s="20" t="s">
        <v>82</v>
      </c>
      <c r="U2" s="20" t="s">
        <v>79</v>
      </c>
      <c r="V2" s="20" t="s">
        <v>79</v>
      </c>
      <c r="W2" s="20" t="s">
        <v>79</v>
      </c>
      <c r="X2" s="20" t="s">
        <v>83</v>
      </c>
      <c r="Y2" s="21"/>
      <c r="Z2" s="20">
        <v>4.0</v>
      </c>
      <c r="AA2" s="20">
        <v>16.0</v>
      </c>
      <c r="AB2" s="20">
        <v>5.0</v>
      </c>
      <c r="AC2" s="20" t="s">
        <v>84</v>
      </c>
      <c r="AD2" s="21"/>
      <c r="AE2" s="20">
        <v>80.0</v>
      </c>
      <c r="AF2" s="20">
        <v>100.0</v>
      </c>
      <c r="AG2" s="20">
        <v>85.0</v>
      </c>
      <c r="AH2" s="20" t="s">
        <v>85</v>
      </c>
      <c r="AI2" s="20" t="s">
        <v>86</v>
      </c>
      <c r="AJ2" s="20" t="s">
        <v>87</v>
      </c>
      <c r="AK2" s="20">
        <v>0.0</v>
      </c>
      <c r="AL2" s="20" t="s">
        <v>88</v>
      </c>
      <c r="AM2" s="21"/>
      <c r="AN2" s="21"/>
      <c r="AO2" s="21"/>
      <c r="AP2" s="20" t="s">
        <v>89</v>
      </c>
      <c r="AQ2" s="20" t="s">
        <v>90</v>
      </c>
      <c r="AR2" s="20" t="s">
        <v>91</v>
      </c>
      <c r="AS2" s="20" t="s">
        <v>92</v>
      </c>
      <c r="AT2" s="20" t="s">
        <v>93</v>
      </c>
      <c r="AU2" s="20">
        <v>15.0</v>
      </c>
      <c r="AV2" s="20" t="s">
        <v>86</v>
      </c>
      <c r="AW2" s="20" t="s">
        <v>95</v>
      </c>
      <c r="AX2" s="20" t="s">
        <v>96</v>
      </c>
      <c r="AY2" s="20" t="s">
        <v>84</v>
      </c>
      <c r="AZ2" s="20" t="s">
        <v>98</v>
      </c>
      <c r="BA2" s="20" t="s">
        <v>99</v>
      </c>
      <c r="BB2" s="20" t="s">
        <v>100</v>
      </c>
      <c r="BC2" s="20" t="s">
        <v>101</v>
      </c>
    </row>
    <row r="3" ht="22.5" customHeight="1">
      <c r="A3" s="22">
        <v>46267.54657431713</v>
      </c>
      <c r="B3" s="23" t="s">
        <v>127</v>
      </c>
      <c r="C3" s="23">
        <v>2022.0</v>
      </c>
      <c r="D3" s="23">
        <v>2023.0</v>
      </c>
      <c r="E3" s="23" t="s">
        <v>74</v>
      </c>
      <c r="F3" s="23" t="s">
        <v>128</v>
      </c>
      <c r="G3" s="23" t="s">
        <v>129</v>
      </c>
      <c r="H3" s="23" t="s">
        <v>130</v>
      </c>
      <c r="I3" s="23" t="s">
        <v>131</v>
      </c>
      <c r="J3" s="23" t="s">
        <v>132</v>
      </c>
      <c r="K3" s="23" t="s">
        <v>133</v>
      </c>
      <c r="L3" s="23" t="s">
        <v>133</v>
      </c>
      <c r="M3" s="23" t="s">
        <v>104</v>
      </c>
      <c r="N3" s="23" t="s">
        <v>130</v>
      </c>
      <c r="O3" s="23" t="s">
        <v>134</v>
      </c>
      <c r="P3" s="23" t="s">
        <v>134</v>
      </c>
      <c r="Q3" s="23" t="s">
        <v>133</v>
      </c>
      <c r="R3" s="23" t="s">
        <v>103</v>
      </c>
      <c r="S3" s="23" t="s">
        <v>135</v>
      </c>
      <c r="T3" s="23" t="s">
        <v>136</v>
      </c>
      <c r="U3" s="23" t="s">
        <v>137</v>
      </c>
      <c r="V3" s="23" t="s">
        <v>138</v>
      </c>
      <c r="W3" s="23" t="s">
        <v>139</v>
      </c>
      <c r="X3" s="23" t="s">
        <v>140</v>
      </c>
      <c r="Y3" s="23" t="s">
        <v>140</v>
      </c>
      <c r="Z3" s="23" t="s">
        <v>141</v>
      </c>
      <c r="AA3" s="23">
        <v>24.0</v>
      </c>
      <c r="AB3" s="23">
        <v>5.0</v>
      </c>
      <c r="AC3" s="23" t="s">
        <v>86</v>
      </c>
      <c r="AD3" s="23" t="s">
        <v>142</v>
      </c>
      <c r="AE3" s="23" t="s">
        <v>143</v>
      </c>
      <c r="AF3" s="23" t="s">
        <v>144</v>
      </c>
      <c r="AG3" s="23" t="s">
        <v>145</v>
      </c>
      <c r="AH3" s="23" t="s">
        <v>146</v>
      </c>
      <c r="AI3" s="23" t="s">
        <v>84</v>
      </c>
      <c r="AJ3" s="23" t="s">
        <v>133</v>
      </c>
      <c r="AK3" s="23">
        <v>0.0</v>
      </c>
      <c r="AL3" s="23" t="s">
        <v>148</v>
      </c>
      <c r="AM3" s="23" t="s">
        <v>149</v>
      </c>
      <c r="AN3" s="23" t="s">
        <v>150</v>
      </c>
      <c r="AO3" s="23">
        <v>3.0</v>
      </c>
      <c r="AP3" s="23" t="s">
        <v>151</v>
      </c>
      <c r="AQ3" s="23" t="s">
        <v>152</v>
      </c>
      <c r="AR3" s="23" t="s">
        <v>153</v>
      </c>
      <c r="AS3" s="23" t="s">
        <v>154</v>
      </c>
      <c r="AT3" s="23" t="s">
        <v>155</v>
      </c>
      <c r="AU3" s="23">
        <v>16.0</v>
      </c>
      <c r="AV3" s="23" t="s">
        <v>84</v>
      </c>
      <c r="AW3" s="23" t="s">
        <v>156</v>
      </c>
      <c r="AX3" s="23">
        <v>4.0</v>
      </c>
      <c r="AY3" s="23" t="s">
        <v>84</v>
      </c>
      <c r="AZ3" s="23" t="s">
        <v>158</v>
      </c>
      <c r="BA3" s="23" t="s">
        <v>159</v>
      </c>
      <c r="BB3" s="23" t="s">
        <v>160</v>
      </c>
      <c r="BC3" s="23" t="s">
        <v>161</v>
      </c>
    </row>
    <row r="4" ht="22.5" customHeight="1">
      <c r="A4" s="19">
        <v>46267.24386480324</v>
      </c>
      <c r="B4" s="20" t="s">
        <v>102</v>
      </c>
      <c r="C4" s="20">
        <v>2017.0</v>
      </c>
      <c r="D4" s="20">
        <v>2017.0</v>
      </c>
      <c r="E4" s="20" t="s">
        <v>103</v>
      </c>
      <c r="F4" s="20">
        <v>150.0</v>
      </c>
      <c r="G4" s="20" t="s">
        <v>104</v>
      </c>
      <c r="H4" s="20" t="s">
        <v>77</v>
      </c>
      <c r="I4" s="20">
        <v>10.0</v>
      </c>
      <c r="J4" s="24">
        <v>4000.0</v>
      </c>
      <c r="K4" s="20" t="s">
        <v>106</v>
      </c>
      <c r="L4" s="20">
        <v>200.0</v>
      </c>
      <c r="M4" s="20" t="s">
        <v>76</v>
      </c>
      <c r="N4" s="20" t="s">
        <v>77</v>
      </c>
      <c r="O4" s="20">
        <v>9.0</v>
      </c>
      <c r="P4" s="24">
        <v>1600.0</v>
      </c>
      <c r="Q4" s="20" t="s">
        <v>107</v>
      </c>
      <c r="R4" s="20" t="s">
        <v>103</v>
      </c>
      <c r="S4" s="20" t="s">
        <v>103</v>
      </c>
      <c r="T4" s="20" t="s">
        <v>108</v>
      </c>
      <c r="U4" s="24">
        <v>6000.0</v>
      </c>
      <c r="V4" s="24">
        <v>9000.0</v>
      </c>
      <c r="W4" s="24">
        <v>6000.0</v>
      </c>
      <c r="X4" s="24">
        <v>7360.0</v>
      </c>
      <c r="Y4" s="20">
        <v>0.0</v>
      </c>
      <c r="Z4" s="20">
        <v>10.0</v>
      </c>
      <c r="AA4" s="20">
        <v>14.0</v>
      </c>
      <c r="AB4" s="20">
        <v>4.0</v>
      </c>
      <c r="AC4" s="20" t="s">
        <v>86</v>
      </c>
      <c r="AD4" s="20" t="s">
        <v>110</v>
      </c>
      <c r="AE4" s="20">
        <v>110.0</v>
      </c>
      <c r="AF4" s="20">
        <v>150.0</v>
      </c>
      <c r="AG4" s="20">
        <v>141.0</v>
      </c>
      <c r="AH4" s="20" t="s">
        <v>111</v>
      </c>
      <c r="AI4" s="20" t="s">
        <v>86</v>
      </c>
      <c r="AJ4" s="20" t="s">
        <v>112</v>
      </c>
      <c r="AK4" s="20">
        <v>4.0</v>
      </c>
      <c r="AL4" s="20" t="s">
        <v>113</v>
      </c>
      <c r="AM4" s="20" t="s">
        <v>114</v>
      </c>
      <c r="AN4" s="20" t="s">
        <v>115</v>
      </c>
      <c r="AO4" s="20">
        <v>3.0</v>
      </c>
      <c r="AP4" s="20" t="s">
        <v>116</v>
      </c>
      <c r="AQ4" s="20" t="s">
        <v>117</v>
      </c>
      <c r="AR4" s="20" t="s">
        <v>118</v>
      </c>
      <c r="AS4" s="20" t="s">
        <v>119</v>
      </c>
      <c r="AT4" s="20" t="s">
        <v>120</v>
      </c>
      <c r="AU4" s="20">
        <v>14.0</v>
      </c>
      <c r="AV4" s="20" t="s">
        <v>84</v>
      </c>
      <c r="AW4" s="20" t="s">
        <v>121</v>
      </c>
      <c r="AX4" s="20">
        <v>4.0</v>
      </c>
      <c r="AY4" s="20" t="s">
        <v>86</v>
      </c>
      <c r="AZ4" s="20" t="s">
        <v>122</v>
      </c>
      <c r="BA4" s="20" t="s">
        <v>123</v>
      </c>
      <c r="BB4" s="20" t="s">
        <v>125</v>
      </c>
      <c r="BC4" s="20" t="s">
        <v>126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21.57"/>
    <col customWidth="1" min="3" max="3" width="24.0"/>
    <col customWidth="1" min="4" max="4" width="43.0"/>
    <col customWidth="1" min="5" max="9" width="21.57"/>
    <col customWidth="1" min="10" max="10" width="29.14"/>
    <col customWidth="1" min="11" max="15" width="21.57"/>
    <col customWidth="1" min="16" max="16" width="29.14"/>
    <col customWidth="1" min="17" max="20" width="43.0"/>
    <col customWidth="1" min="21" max="21" width="42.57"/>
    <col customWidth="1" min="22" max="22" width="43.0"/>
    <col customWidth="1" min="23" max="23" width="40.57"/>
    <col customWidth="1" min="24" max="24" width="29.29"/>
    <col customWidth="1" min="25" max="29" width="43.0"/>
    <col customWidth="1" min="30" max="30" width="36.86"/>
    <col customWidth="1" min="31" max="31" width="37.29"/>
    <col customWidth="1" min="32" max="32" width="29.0"/>
    <col customWidth="1" min="33" max="52" width="43.0"/>
    <col customWidth="1" min="53" max="53" width="41.71"/>
    <col customWidth="1" min="54" max="61" width="43.0"/>
  </cols>
  <sheetData>
    <row r="1" ht="22.5" customHeight="1">
      <c r="A1" s="3" t="s">
        <v>0</v>
      </c>
      <c r="B1" s="3" t="s">
        <v>2</v>
      </c>
      <c r="C1" s="3" t="s">
        <v>3</v>
      </c>
      <c r="D1" s="3" t="s">
        <v>10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11</v>
      </c>
      <c r="K1" s="3" t="s">
        <v>13</v>
      </c>
      <c r="L1" s="3" t="s">
        <v>15</v>
      </c>
      <c r="M1" s="3" t="s">
        <v>17</v>
      </c>
      <c r="N1" s="3" t="s">
        <v>19</v>
      </c>
      <c r="O1" s="3" t="s">
        <v>21</v>
      </c>
      <c r="P1" s="3" t="s">
        <v>28</v>
      </c>
      <c r="Q1" s="3" t="s">
        <v>12</v>
      </c>
      <c r="R1" s="3" t="s">
        <v>14</v>
      </c>
      <c r="S1" s="3" t="s">
        <v>16</v>
      </c>
      <c r="T1" s="3" t="s">
        <v>18</v>
      </c>
      <c r="U1" s="3" t="s">
        <v>20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37</v>
      </c>
      <c r="AA1" s="3" t="s">
        <v>27</v>
      </c>
      <c r="AB1" s="3" t="s">
        <v>40</v>
      </c>
      <c r="AC1" s="3" t="s">
        <v>41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46</v>
      </c>
      <c r="AJ1" s="3" t="s">
        <v>38</v>
      </c>
      <c r="AK1" s="3" t="s">
        <v>48</v>
      </c>
      <c r="AL1" s="3" t="s">
        <v>50</v>
      </c>
      <c r="AM1" s="3" t="s">
        <v>52</v>
      </c>
      <c r="AN1" s="3" t="s">
        <v>54</v>
      </c>
      <c r="AO1" s="3" t="s">
        <v>45</v>
      </c>
      <c r="AP1" s="3" t="s">
        <v>47</v>
      </c>
      <c r="AQ1" s="3" t="s">
        <v>57</v>
      </c>
      <c r="AR1" s="3" t="s">
        <v>59</v>
      </c>
      <c r="AS1" s="3" t="s">
        <v>53</v>
      </c>
      <c r="AT1" s="3" t="s">
        <v>55</v>
      </c>
      <c r="AU1" s="3" t="s">
        <v>61</v>
      </c>
      <c r="AV1" s="3" t="s">
        <v>63</v>
      </c>
      <c r="AW1" s="3" t="s">
        <v>60</v>
      </c>
      <c r="AX1" s="3" t="s">
        <v>65</v>
      </c>
      <c r="AY1" s="3" t="s">
        <v>66</v>
      </c>
      <c r="AZ1" s="6" t="s">
        <v>68</v>
      </c>
      <c r="BA1" s="3" t="s">
        <v>69</v>
      </c>
      <c r="BB1" s="3" t="s">
        <v>70</v>
      </c>
      <c r="BC1" s="3"/>
      <c r="BD1" s="3"/>
      <c r="BE1" s="3"/>
      <c r="BF1" s="3"/>
      <c r="BG1" s="3"/>
      <c r="BH1" s="3"/>
      <c r="BI1" s="3"/>
    </row>
    <row r="2" ht="22.5" customHeight="1">
      <c r="A2" s="9">
        <v>46265.56216658565</v>
      </c>
      <c r="B2" s="10" t="s">
        <v>72</v>
      </c>
      <c r="C2" s="10">
        <v>2025.0</v>
      </c>
      <c r="D2" s="10"/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/>
      <c r="L2" s="10"/>
      <c r="M2" s="10"/>
      <c r="N2" s="10"/>
      <c r="O2" s="10"/>
      <c r="P2" s="10"/>
      <c r="Q2" s="10" t="s">
        <v>81</v>
      </c>
      <c r="R2" s="10" t="s">
        <v>81</v>
      </c>
      <c r="S2" s="10" t="s">
        <v>82</v>
      </c>
      <c r="T2" s="10" t="s">
        <v>79</v>
      </c>
      <c r="U2" s="10" t="s">
        <v>79</v>
      </c>
      <c r="V2" s="10" t="s">
        <v>79</v>
      </c>
      <c r="W2" s="10" t="s">
        <v>83</v>
      </c>
      <c r="X2" s="10"/>
      <c r="Y2" s="10">
        <v>4.0</v>
      </c>
      <c r="Z2" s="10">
        <v>16.0</v>
      </c>
      <c r="AA2" s="10">
        <v>5.0</v>
      </c>
      <c r="AB2" s="10" t="s">
        <v>84</v>
      </c>
      <c r="AC2" s="10"/>
      <c r="AD2" s="10">
        <v>80.0</v>
      </c>
      <c r="AE2" s="10">
        <v>100.0</v>
      </c>
      <c r="AF2" s="10">
        <v>85.0</v>
      </c>
      <c r="AG2" s="10" t="s">
        <v>85</v>
      </c>
      <c r="AH2" s="10" t="s">
        <v>86</v>
      </c>
      <c r="AI2" s="10" t="s">
        <v>87</v>
      </c>
      <c r="AJ2" s="10">
        <v>0.0</v>
      </c>
      <c r="AK2" s="10" t="s">
        <v>88</v>
      </c>
      <c r="AL2" s="10"/>
      <c r="AM2" s="10"/>
      <c r="AN2" s="10"/>
      <c r="AO2" s="10" t="s">
        <v>89</v>
      </c>
      <c r="AP2" s="10" t="s">
        <v>90</v>
      </c>
      <c r="AQ2" s="10" t="s">
        <v>91</v>
      </c>
      <c r="AR2" s="10" t="s">
        <v>92</v>
      </c>
      <c r="AS2" s="10" t="s">
        <v>93</v>
      </c>
      <c r="AT2" s="10">
        <v>15.0</v>
      </c>
      <c r="AU2" s="10" t="s">
        <v>86</v>
      </c>
      <c r="AV2" s="10" t="s">
        <v>95</v>
      </c>
      <c r="AW2" s="10" t="s">
        <v>96</v>
      </c>
      <c r="AX2" s="10" t="s">
        <v>84</v>
      </c>
      <c r="AY2" s="12" t="s">
        <v>98</v>
      </c>
      <c r="AZ2" s="10" t="s">
        <v>99</v>
      </c>
      <c r="BA2" s="10" t="s">
        <v>100</v>
      </c>
      <c r="BB2" s="10" t="s">
        <v>101</v>
      </c>
      <c r="BC2" s="10"/>
      <c r="BD2" s="10"/>
      <c r="BE2" s="10"/>
      <c r="BF2" s="10"/>
      <c r="BG2" s="10"/>
      <c r="BH2" s="10"/>
      <c r="BI2" s="10"/>
    </row>
    <row r="3">
      <c r="A3" s="13">
        <v>46267.24386480324</v>
      </c>
      <c r="B3" s="14" t="s">
        <v>102</v>
      </c>
      <c r="C3" s="14">
        <v>2017.0</v>
      </c>
      <c r="D3" s="14">
        <v>2017.0</v>
      </c>
      <c r="E3" s="14" t="s">
        <v>103</v>
      </c>
      <c r="F3" s="14">
        <v>150.0</v>
      </c>
      <c r="G3" s="14" t="s">
        <v>104</v>
      </c>
      <c r="H3" s="14" t="s">
        <v>77</v>
      </c>
      <c r="I3" s="14">
        <v>10.0</v>
      </c>
      <c r="J3" s="15">
        <v>4000.0</v>
      </c>
      <c r="K3" s="14" t="s">
        <v>106</v>
      </c>
      <c r="L3" s="14">
        <v>200.0</v>
      </c>
      <c r="M3" s="14" t="s">
        <v>76</v>
      </c>
      <c r="N3" s="14" t="s">
        <v>77</v>
      </c>
      <c r="O3" s="14">
        <v>9.0</v>
      </c>
      <c r="P3" s="15">
        <v>1600.0</v>
      </c>
      <c r="Q3" s="14" t="s">
        <v>107</v>
      </c>
      <c r="R3" s="14" t="s">
        <v>103</v>
      </c>
      <c r="S3" s="14" t="s">
        <v>103</v>
      </c>
      <c r="T3" s="14" t="s">
        <v>108</v>
      </c>
      <c r="U3" s="15">
        <v>6000.0</v>
      </c>
      <c r="V3" s="15">
        <v>9000.0</v>
      </c>
      <c r="W3" s="15">
        <v>6000.0</v>
      </c>
      <c r="X3" s="15">
        <v>7360.0</v>
      </c>
      <c r="Y3" s="14">
        <v>0.0</v>
      </c>
      <c r="Z3" s="14">
        <v>10.0</v>
      </c>
      <c r="AA3" s="14">
        <v>14.0</v>
      </c>
      <c r="AB3" s="14">
        <v>4.0</v>
      </c>
      <c r="AC3" s="14" t="s">
        <v>86</v>
      </c>
      <c r="AD3" s="14" t="s">
        <v>110</v>
      </c>
      <c r="AE3" s="14">
        <v>110.0</v>
      </c>
      <c r="AF3" s="14">
        <v>150.0</v>
      </c>
      <c r="AG3" s="14">
        <v>141.0</v>
      </c>
      <c r="AH3" s="14" t="s">
        <v>111</v>
      </c>
      <c r="AI3" s="14" t="s">
        <v>86</v>
      </c>
      <c r="AJ3" s="14" t="s">
        <v>112</v>
      </c>
      <c r="AK3" s="14">
        <v>4.0</v>
      </c>
      <c r="AL3" s="14" t="s">
        <v>113</v>
      </c>
      <c r="AM3" s="14" t="s">
        <v>114</v>
      </c>
      <c r="AN3" s="14" t="s">
        <v>115</v>
      </c>
      <c r="AO3" s="14">
        <v>3.0</v>
      </c>
      <c r="AP3" s="14" t="s">
        <v>116</v>
      </c>
      <c r="AQ3" s="14" t="s">
        <v>117</v>
      </c>
      <c r="AR3" s="14" t="s">
        <v>118</v>
      </c>
      <c r="AS3" s="14" t="s">
        <v>119</v>
      </c>
      <c r="AT3" s="14" t="s">
        <v>120</v>
      </c>
      <c r="AU3" s="14">
        <v>14.0</v>
      </c>
      <c r="AV3" s="14" t="s">
        <v>84</v>
      </c>
      <c r="AW3" s="14" t="s">
        <v>121</v>
      </c>
      <c r="AX3" s="14">
        <v>4.0</v>
      </c>
      <c r="AY3" s="14" t="s">
        <v>86</v>
      </c>
      <c r="AZ3" s="14" t="s">
        <v>122</v>
      </c>
      <c r="BA3" s="14" t="s">
        <v>123</v>
      </c>
      <c r="BB3" s="14" t="s">
        <v>125</v>
      </c>
      <c r="BC3" s="14" t="s">
        <v>126</v>
      </c>
    </row>
    <row r="4">
      <c r="A4" s="16">
        <v>46267.54657431713</v>
      </c>
      <c r="B4" s="17" t="s">
        <v>127</v>
      </c>
      <c r="C4" s="17">
        <v>2022.0</v>
      </c>
      <c r="D4" s="17">
        <v>2023.0</v>
      </c>
      <c r="E4" s="17" t="s">
        <v>74</v>
      </c>
      <c r="F4" s="17" t="s">
        <v>128</v>
      </c>
      <c r="G4" s="17" t="s">
        <v>129</v>
      </c>
      <c r="H4" s="17" t="s">
        <v>130</v>
      </c>
      <c r="I4" s="17" t="s">
        <v>131</v>
      </c>
      <c r="J4" s="17" t="s">
        <v>132</v>
      </c>
      <c r="K4" s="17" t="s">
        <v>133</v>
      </c>
      <c r="L4" s="17" t="s">
        <v>133</v>
      </c>
      <c r="M4" s="17" t="s">
        <v>104</v>
      </c>
      <c r="N4" s="17" t="s">
        <v>130</v>
      </c>
      <c r="O4" s="17" t="s">
        <v>134</v>
      </c>
      <c r="P4" s="17" t="s">
        <v>134</v>
      </c>
      <c r="Q4" s="17" t="s">
        <v>133</v>
      </c>
      <c r="R4" s="17" t="s">
        <v>103</v>
      </c>
      <c r="S4" s="17" t="s">
        <v>135</v>
      </c>
      <c r="T4" s="17" t="s">
        <v>136</v>
      </c>
      <c r="U4" s="17" t="s">
        <v>137</v>
      </c>
      <c r="V4" s="17" t="s">
        <v>138</v>
      </c>
      <c r="W4" s="17" t="s">
        <v>139</v>
      </c>
      <c r="X4" s="17" t="s">
        <v>140</v>
      </c>
      <c r="Y4" s="17" t="s">
        <v>140</v>
      </c>
      <c r="Z4" s="17" t="s">
        <v>141</v>
      </c>
      <c r="AA4" s="17">
        <v>24.0</v>
      </c>
      <c r="AB4" s="17">
        <v>5.0</v>
      </c>
      <c r="AC4" s="17" t="s">
        <v>86</v>
      </c>
      <c r="AD4" s="17" t="s">
        <v>142</v>
      </c>
      <c r="AE4" s="17" t="s">
        <v>143</v>
      </c>
      <c r="AF4" s="17" t="s">
        <v>144</v>
      </c>
      <c r="AG4" s="17" t="s">
        <v>145</v>
      </c>
      <c r="AH4" s="17" t="s">
        <v>146</v>
      </c>
      <c r="AI4" s="17" t="s">
        <v>84</v>
      </c>
      <c r="AJ4" s="17" t="s">
        <v>133</v>
      </c>
      <c r="AK4" s="17">
        <v>0.0</v>
      </c>
      <c r="AL4" s="17" t="s">
        <v>148</v>
      </c>
      <c r="AM4" s="17" t="s">
        <v>149</v>
      </c>
      <c r="AN4" s="17" t="s">
        <v>150</v>
      </c>
      <c r="AO4" s="17">
        <v>3.0</v>
      </c>
      <c r="AP4" s="17" t="s">
        <v>151</v>
      </c>
      <c r="AQ4" s="17" t="s">
        <v>152</v>
      </c>
      <c r="AR4" s="17" t="s">
        <v>153</v>
      </c>
      <c r="AS4" s="17" t="s">
        <v>154</v>
      </c>
      <c r="AT4" s="17" t="s">
        <v>155</v>
      </c>
      <c r="AU4" s="17">
        <v>16.0</v>
      </c>
      <c r="AV4" s="17" t="s">
        <v>84</v>
      </c>
      <c r="AW4" s="17" t="s">
        <v>156</v>
      </c>
      <c r="AX4" s="17">
        <v>4.0</v>
      </c>
      <c r="AY4" s="17" t="s">
        <v>84</v>
      </c>
      <c r="AZ4" s="17" t="s">
        <v>158</v>
      </c>
      <c r="BA4" s="17" t="s">
        <v>159</v>
      </c>
      <c r="BB4" s="17" t="s">
        <v>160</v>
      </c>
      <c r="BC4" s="17" t="s">
        <v>161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6" width="8.71"/>
  </cols>
  <sheetData>
    <row r="1" ht="17.25" customHeight="1">
      <c r="A1" s="1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 t="s">
        <v>71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80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" t="s">
        <v>94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 t="s">
        <v>105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109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124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 t="s">
        <v>157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162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" t="s">
        <v>163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" t="s">
        <v>164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" t="s">
        <v>165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" t="s">
        <v>166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" t="s">
        <v>167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 t="s">
        <v>168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169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170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172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174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176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177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178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179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180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8" t="s">
        <v>181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 t="s">
        <v>182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 t="s">
        <v>183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8" t="s">
        <v>184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8" t="s">
        <v>185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8" t="s">
        <v>186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8" t="s">
        <v>187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4" width="18.0"/>
  </cols>
  <sheetData>
    <row r="1" ht="60.0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14</v>
      </c>
      <c r="S1" s="2" t="s">
        <v>16</v>
      </c>
      <c r="T1" s="2" t="s">
        <v>18</v>
      </c>
      <c r="U1" s="2" t="s">
        <v>20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38</v>
      </c>
      <c r="AK1" s="2" t="s">
        <v>39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47</v>
      </c>
      <c r="AQ1" s="2" t="s">
        <v>49</v>
      </c>
      <c r="AR1" s="2" t="s">
        <v>51</v>
      </c>
      <c r="AS1" s="2" t="s">
        <v>53</v>
      </c>
      <c r="AT1" s="2" t="s">
        <v>55</v>
      </c>
      <c r="AU1" s="2" t="s">
        <v>56</v>
      </c>
      <c r="AV1" s="2" t="s">
        <v>58</v>
      </c>
      <c r="AW1" s="2" t="s">
        <v>60</v>
      </c>
      <c r="AX1" s="2" t="s">
        <v>62</v>
      </c>
      <c r="AY1" s="2" t="s">
        <v>64</v>
      </c>
      <c r="AZ1" s="2" t="s">
        <v>67</v>
      </c>
      <c r="BA1" s="2" t="s">
        <v>69</v>
      </c>
      <c r="BB1" s="2" t="s">
        <v>70</v>
      </c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ht="15.0" customHeight="1">
      <c r="A3" s="11" t="s">
        <v>73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ht="15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10" width="20.0"/>
  </cols>
  <sheetData>
    <row r="1" ht="45.0" customHeight="1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5" t="str">
        <f>IF(Respostas_Brutas!B2="","",Respostas_Brutas!B2)</f>
        <v>Sannara Freitas</v>
      </c>
      <c r="B2" s="26" t="str">
        <f>IF(Respostas_Brutas!B2="","",IFERROR(IF(IFERROR(VALUE(TRIM(SUBSTITUTE(SUBSTITUTE(SUBSTITUTE(TRIM(Respostas_Brutas!AS2),"R$",""),".",""),",","."))),0)=0,"",(IFERROR(VALUE(TRIM(SUBSTITUTE(SUBSTITUTE(SUBSTITUTE(TRIM(Respostas_Brutas!AS2),"R$",""),".",""),",","."))),0)-IFERROR(VALUE(TRIM(SUBSTITUTE(SUBSTITUTE(SUBSTITUTE(TRIM(Respostas_Brutas!T2),"R$",""),".",""),",","."))),0))/IFERROR(VALUE(TRIM(SUBSTITUTE(SUBSTITUTE(SUBSTITUTE(TRIM(Respostas_Brutas!AS2),"R$",""),".",""),",","."))),0)),""))</f>
        <v/>
      </c>
      <c r="C2" s="26">
        <f>IF(Respostas_Brutas!B2="","",MIN(1,(IFERROR(VALUE(LEFT(Respostas_Brutas!I2,IFERROR(FIND(" ",Respostas_Brutas!I2)-1,LEN(Respostas_Brutas!I2)))),0)+IFERROR(VALUE(LEFT(Respostas_Brutas!O2,IFERROR(FIND(" ",Respostas_Brutas!O2)-1,LEN(Respostas_Brutas!O2)))),0))/20))</f>
        <v>0.2</v>
      </c>
      <c r="D2" s="26" t="str">
        <f>IF(Respostas_Brutas!B2="","",IF(Respostas_Brutas!D2="","",MIN(1,MAX(0,(YEAR(TODAY())-N(Respostas_Brutas!D2))/15))))</f>
        <v/>
      </c>
      <c r="E2" s="26">
        <f>IF(Respostas_Brutas!B2="","",IF(ISNUMBER(SEARCH("Sim",Respostas_Brutas!S2)),1,0))</f>
        <v>1</v>
      </c>
      <c r="F2" s="26">
        <f>IF(Respostas_Brutas!B2="","",IFERROR(N(Respostas_Brutas!Y2)/N(Respostas_Brutas!Z2),""))</f>
        <v>0.25</v>
      </c>
      <c r="G2" s="26">
        <f>IF(Respostas_Brutas!B2="","",IF(Respostas_Brutas!K2&lt;&gt;"",1,0))</f>
        <v>0</v>
      </c>
      <c r="H2" s="26">
        <f>IF(Respostas_Brutas!B2="","",IF(ISNUMBER(SEARCH("Não",Respostas_Brutas!AH2)),1,0))</f>
        <v>0</v>
      </c>
      <c r="I2" s="26">
        <f>IF(Respostas_Brutas!B2="","",IF(ISNUMBER(SEARCH("Sim",Respostas_Brutas!AL2)),1,0))</f>
        <v>0</v>
      </c>
      <c r="J2" s="26" t="str">
        <f>IF(Respostas_Brutas!B2="","",IF(Respostas_Brutas!AN2="","",MIN(1,MAX(0,(N(Respostas_Brutas!AN2)-1)/4))))</f>
        <v/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 t="str">
        <f>IF(Respostas_Brutas!B3="","",Respostas_Brutas!B3)</f>
        <v>Marissa Lima </v>
      </c>
      <c r="B3" s="4" t="str">
        <f>IF(Respostas_Brutas!B3="","",IFERROR(IF(IFERROR(VALUE(TRIM(SUBSTITUTE(SUBSTITUTE(SUBSTITUTE(TRIM(Respostas_Brutas!AS3),"R$",""),".",""),",","."))),0)=0,"",(IFERROR(VALUE(TRIM(SUBSTITUTE(SUBSTITUTE(SUBSTITUTE(TRIM(Respostas_Brutas!AS3),"R$",""),".",""),",","."))),0)-IFERROR(VALUE(TRIM(SUBSTITUTE(SUBSTITUTE(SUBSTITUTE(TRIM(Respostas_Brutas!T3),"R$",""),".",""),",","."))),0))/IFERROR(VALUE(TRIM(SUBSTITUTE(SUBSTITUTE(SUBSTITUTE(TRIM(Respostas_Brutas!AS3),"R$",""),".",""),",","."))),0)),""))</f>
        <v/>
      </c>
      <c r="C3" s="4">
        <f>IF(Respostas_Brutas!B3="","",MIN(1,(IFERROR(VALUE(LEFT(Respostas_Brutas!I3,IFERROR(FIND(" ",Respostas_Brutas!I3)-1,LEN(Respostas_Brutas!I3)))),0)+IFERROR(VALUE(LEFT(Respostas_Brutas!O3,IFERROR(FIND(" ",Respostas_Brutas!O3)-1,LEN(Respostas_Brutas!O3)))),0))/20))</f>
        <v>0.95</v>
      </c>
      <c r="D3" s="4">
        <f>IF(Respostas_Brutas!B3="","",IF(Respostas_Brutas!D3="","",MIN(1,MAX(0,(YEAR(TODAY())-N(Respostas_Brutas!D3))/15))))</f>
        <v>0.6</v>
      </c>
      <c r="E3" s="4">
        <f>IF(Respostas_Brutas!B3="","",IF(ISNUMBER(SEARCH("Sim",Respostas_Brutas!S3)),1,0))</f>
        <v>0</v>
      </c>
      <c r="F3" s="4">
        <f>IF(Respostas_Brutas!B3="","",IFERROR(N(Respostas_Brutas!Y3)/N(Respostas_Brutas!Z3),""))</f>
        <v>0</v>
      </c>
      <c r="G3" s="4">
        <f>IF(Respostas_Brutas!B3="","",IF(Respostas_Brutas!K3&lt;&gt;"",1,0))</f>
        <v>1</v>
      </c>
      <c r="H3" s="4">
        <f>IF(Respostas_Brutas!B3="","",IF(ISNUMBER(SEARCH("Não",Respostas_Brutas!AH3)),1,0))</f>
        <v>0</v>
      </c>
      <c r="I3" s="4">
        <f>IF(Respostas_Brutas!B3="","",IF(ISNUMBER(SEARCH("Sim",Respostas_Brutas!AL3)),1,0))</f>
        <v>0</v>
      </c>
      <c r="J3" s="4">
        <f>IF(Respostas_Brutas!B3="","",IF(Respostas_Brutas!AN3="","",MIN(1,MAX(0,(N(Respostas_Brutas!AN3)-1)/4))))</f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 t="str">
        <f>IF(Respostas_Brutas!B4="","",Respostas_Brutas!B4)</f>
        <v>Francisca ROSELI de Alcântara Madeiro</v>
      </c>
      <c r="B4" s="4" t="str">
        <f>IF(Respostas_Brutas!B4="","",IFERROR(IF(IFERROR(VALUE(TRIM(SUBSTITUTE(SUBSTITUTE(SUBSTITUTE(TRIM(Respostas_Brutas!AS4),"R$",""),".",""),",","."))),0)=0,"",(IFERROR(VALUE(TRIM(SUBSTITUTE(SUBSTITUTE(SUBSTITUTE(TRIM(Respostas_Brutas!AS4),"R$",""),".",""),",","."))),0)-IFERROR(VALUE(TRIM(SUBSTITUTE(SUBSTITUTE(SUBSTITUTE(TRIM(Respostas_Brutas!T4),"R$",""),".",""),",","."))),0))/IFERROR(VALUE(TRIM(SUBSTITUTE(SUBSTITUTE(SUBSTITUTE(TRIM(Respostas_Brutas!AS4),"R$",""),".",""),",","."))),0)),""))</f>
        <v/>
      </c>
      <c r="C4" s="4">
        <f>IF(Respostas_Brutas!B4="","",MIN(1,(IFERROR(VALUE(LEFT(Respostas_Brutas!I4,IFERROR(FIND(" ",Respostas_Brutas!I4)-1,LEN(Respostas_Brutas!I4)))),0)+IFERROR(VALUE(LEFT(Respostas_Brutas!O4,IFERROR(FIND(" ",Respostas_Brutas!O4)-1,LEN(Respostas_Brutas!O4)))),0))/20))</f>
        <v>0</v>
      </c>
      <c r="D4" s="4">
        <f>IF(Respostas_Brutas!B4="","",IF(Respostas_Brutas!D4="","",MIN(1,MAX(0,(YEAR(TODAY())-N(Respostas_Brutas!D4))/15))))</f>
        <v>0.2</v>
      </c>
      <c r="E4" s="4">
        <f>IF(Respostas_Brutas!B4="","",IF(ISNUMBER(SEARCH("Sim",Respostas_Brutas!S4)),1,0))</f>
        <v>0</v>
      </c>
      <c r="F4" s="4" t="str">
        <f>IF(Respostas_Brutas!B4="","",IFERROR(N(Respostas_Brutas!Y4)/N(Respostas_Brutas!Z4),""))</f>
        <v/>
      </c>
      <c r="G4" s="4">
        <f>IF(Respostas_Brutas!B4="","",IF(Respostas_Brutas!K4&lt;&gt;"",1,0))</f>
        <v>1</v>
      </c>
      <c r="H4" s="4">
        <f>IF(Respostas_Brutas!B4="","",IF(ISNUMBER(SEARCH("Não",Respostas_Brutas!AH4)),1,0))</f>
        <v>0</v>
      </c>
      <c r="I4" s="4">
        <f>IF(Respostas_Brutas!B4="","",IF(ISNUMBER(SEARCH("Sim",Respostas_Brutas!AL4)),1,0))</f>
        <v>0</v>
      </c>
      <c r="J4" s="4">
        <f>IF(Respostas_Brutas!B4="","",IF(Respostas_Brutas!AN4="","",MIN(1,MAX(0,(N(Respostas_Brutas!AN4)-1)/4))))</f>
        <v>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 t="str">
        <f>IF(Respostas_Brutas!B5="","",Respostas_Brutas!B5)</f>
        <v/>
      </c>
      <c r="B5" s="4" t="str">
        <f>IF(Respostas_Brutas!B5="","",IFERROR(IF(IFERROR(VALUE(TRIM(SUBSTITUTE(SUBSTITUTE(SUBSTITUTE(TRIM(Respostas_Brutas!AS5),"R$",""),".",""),",","."))),0)=0,"",(IFERROR(VALUE(TRIM(SUBSTITUTE(SUBSTITUTE(SUBSTITUTE(TRIM(Respostas_Brutas!AS5),"R$",""),".",""),",","."))),0)-IFERROR(VALUE(TRIM(SUBSTITUTE(SUBSTITUTE(SUBSTITUTE(TRIM(Respostas_Brutas!T5),"R$",""),".",""),",","."))),0))/IFERROR(VALUE(TRIM(SUBSTITUTE(SUBSTITUTE(SUBSTITUTE(TRIM(Respostas_Brutas!AS5),"R$",""),".",""),",","."))),0)),""))</f>
        <v/>
      </c>
      <c r="C5" s="4" t="str">
        <f>IF(Respostas_Brutas!B5="","",MIN(1,(IFERROR(VALUE(LEFT(Respostas_Brutas!I5,IFERROR(FIND(" ",Respostas_Brutas!I5)-1,LEN(Respostas_Brutas!I5)))),0)+IFERROR(VALUE(LEFT(Respostas_Brutas!O5,IFERROR(FIND(" ",Respostas_Brutas!O5)-1,LEN(Respostas_Brutas!O5)))),0))/20))</f>
        <v/>
      </c>
      <c r="D5" s="4" t="str">
        <f>IF(Respostas_Brutas!B5="","",IF(Respostas_Brutas!D5="","",MIN(1,MAX(0,(YEAR(TODAY())-N(Respostas_Brutas!D5))/15))))</f>
        <v/>
      </c>
      <c r="E5" s="4" t="str">
        <f>IF(Respostas_Brutas!B5="","",IF(ISNUMBER(SEARCH("Sim",Respostas_Brutas!S5)),1,0))</f>
        <v/>
      </c>
      <c r="F5" s="4" t="str">
        <f>IF(Respostas_Brutas!B5="","",IFERROR(N(Respostas_Brutas!Y5)/N(Respostas_Brutas!Z5),""))</f>
        <v/>
      </c>
      <c r="G5" s="4" t="str">
        <f>IF(Respostas_Brutas!B5="","",IF(Respostas_Brutas!K5&lt;&gt;"",1,0))</f>
        <v/>
      </c>
      <c r="H5" s="4" t="str">
        <f>IF(Respostas_Brutas!B5="","",IF(ISNUMBER(SEARCH("Não",Respostas_Brutas!AH5)),1,0))</f>
        <v/>
      </c>
      <c r="I5" s="4" t="str">
        <f>IF(Respostas_Brutas!B5="","",IF(ISNUMBER(SEARCH("Sim",Respostas_Brutas!AL5)),1,0))</f>
        <v/>
      </c>
      <c r="J5" s="4" t="str">
        <f>IF(Respostas_Brutas!B5="","",IF(Respostas_Brutas!AN5="","",MIN(1,MAX(0,(N(Respostas_Brutas!AN5)-1)/4))))</f>
        <v/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 t="str">
        <f>IF(Respostas_Brutas!B6="","",Respostas_Brutas!B6)</f>
        <v/>
      </c>
      <c r="B6" s="4" t="str">
        <f>IF(Respostas_Brutas!B6="","",IFERROR(IF(IFERROR(VALUE(TRIM(SUBSTITUTE(SUBSTITUTE(SUBSTITUTE(TRIM(Respostas_Brutas!AS6),"R$",""),".",""),",","."))),0)=0,"",(IFERROR(VALUE(TRIM(SUBSTITUTE(SUBSTITUTE(SUBSTITUTE(TRIM(Respostas_Brutas!AS6),"R$",""),".",""),",","."))),0)-IFERROR(VALUE(TRIM(SUBSTITUTE(SUBSTITUTE(SUBSTITUTE(TRIM(Respostas_Brutas!T6),"R$",""),".",""),",","."))),0))/IFERROR(VALUE(TRIM(SUBSTITUTE(SUBSTITUTE(SUBSTITUTE(TRIM(Respostas_Brutas!AS6),"R$",""),".",""),",","."))),0)),""))</f>
        <v/>
      </c>
      <c r="C6" s="4" t="str">
        <f>IF(Respostas_Brutas!B6="","",MIN(1,(IFERROR(VALUE(LEFT(Respostas_Brutas!I6,IFERROR(FIND(" ",Respostas_Brutas!I6)-1,LEN(Respostas_Brutas!I6)))),0)+IFERROR(VALUE(LEFT(Respostas_Brutas!O6,IFERROR(FIND(" ",Respostas_Brutas!O6)-1,LEN(Respostas_Brutas!O6)))),0))/20))</f>
        <v/>
      </c>
      <c r="D6" s="4" t="str">
        <f>IF(Respostas_Brutas!B6="","",IF(Respostas_Brutas!D6="","",MIN(1,MAX(0,(YEAR(TODAY())-N(Respostas_Brutas!D6))/15))))</f>
        <v/>
      </c>
      <c r="E6" s="4" t="str">
        <f>IF(Respostas_Brutas!B6="","",IF(ISNUMBER(SEARCH("Sim",Respostas_Brutas!S6)),1,0))</f>
        <v/>
      </c>
      <c r="F6" s="4" t="str">
        <f>IF(Respostas_Brutas!B6="","",IFERROR(N(Respostas_Brutas!Y6)/N(Respostas_Brutas!Z6),""))</f>
        <v/>
      </c>
      <c r="G6" s="4" t="str">
        <f>IF(Respostas_Brutas!B6="","",IF(Respostas_Brutas!K6&lt;&gt;"",1,0))</f>
        <v/>
      </c>
      <c r="H6" s="4" t="str">
        <f>IF(Respostas_Brutas!B6="","",IF(ISNUMBER(SEARCH("Não",Respostas_Brutas!AH6)),1,0))</f>
        <v/>
      </c>
      <c r="I6" s="4" t="str">
        <f>IF(Respostas_Brutas!B6="","",IF(ISNUMBER(SEARCH("Sim",Respostas_Brutas!AL6)),1,0))</f>
        <v/>
      </c>
      <c r="J6" s="4" t="str">
        <f>IF(Respostas_Brutas!B6="","",IF(Respostas_Brutas!AN6="","",MIN(1,MAX(0,(N(Respostas_Brutas!AN6)-1)/4))))</f>
        <v/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 t="str">
        <f>IF(Respostas_Brutas!B7="","",Respostas_Brutas!B7)</f>
        <v/>
      </c>
      <c r="B7" s="4" t="str">
        <f>IF(Respostas_Brutas!B7="","",IFERROR(IF(IFERROR(VALUE(TRIM(SUBSTITUTE(SUBSTITUTE(SUBSTITUTE(TRIM(Respostas_Brutas!AS7),"R$",""),".",""),",","."))),0)=0,"",(IFERROR(VALUE(TRIM(SUBSTITUTE(SUBSTITUTE(SUBSTITUTE(TRIM(Respostas_Brutas!AS7),"R$",""),".",""),",","."))),0)-IFERROR(VALUE(TRIM(SUBSTITUTE(SUBSTITUTE(SUBSTITUTE(TRIM(Respostas_Brutas!T7),"R$",""),".",""),",","."))),0))/IFERROR(VALUE(TRIM(SUBSTITUTE(SUBSTITUTE(SUBSTITUTE(TRIM(Respostas_Brutas!AS7),"R$",""),".",""),",","."))),0)),""))</f>
        <v/>
      </c>
      <c r="C7" s="4" t="str">
        <f>IF(Respostas_Brutas!B7="","",MIN(1,(IFERROR(VALUE(LEFT(Respostas_Brutas!I7,IFERROR(FIND(" ",Respostas_Brutas!I7)-1,LEN(Respostas_Brutas!I7)))),0)+IFERROR(VALUE(LEFT(Respostas_Brutas!O7,IFERROR(FIND(" ",Respostas_Brutas!O7)-1,LEN(Respostas_Brutas!O7)))),0))/20))</f>
        <v/>
      </c>
      <c r="D7" s="4" t="str">
        <f>IF(Respostas_Brutas!B7="","",IF(Respostas_Brutas!D7="","",MIN(1,MAX(0,(YEAR(TODAY())-N(Respostas_Brutas!D7))/15))))</f>
        <v/>
      </c>
      <c r="E7" s="4" t="str">
        <f>IF(Respostas_Brutas!B7="","",IF(ISNUMBER(SEARCH("Sim",Respostas_Brutas!S7)),1,0))</f>
        <v/>
      </c>
      <c r="F7" s="4" t="str">
        <f>IF(Respostas_Brutas!B7="","",IFERROR(N(Respostas_Brutas!Y7)/N(Respostas_Brutas!Z7),""))</f>
        <v/>
      </c>
      <c r="G7" s="4" t="str">
        <f>IF(Respostas_Brutas!B7="","",IF(Respostas_Brutas!K7&lt;&gt;"",1,0))</f>
        <v/>
      </c>
      <c r="H7" s="4" t="str">
        <f>IF(Respostas_Brutas!B7="","",IF(ISNUMBER(SEARCH("Não",Respostas_Brutas!AH7)),1,0))</f>
        <v/>
      </c>
      <c r="I7" s="4" t="str">
        <f>IF(Respostas_Brutas!B7="","",IF(ISNUMBER(SEARCH("Sim",Respostas_Brutas!AL7)),1,0))</f>
        <v/>
      </c>
      <c r="J7" s="4" t="str">
        <f>IF(Respostas_Brutas!B7="","",IF(Respostas_Brutas!AN7="","",MIN(1,MAX(0,(N(Respostas_Brutas!AN7)-1)/4))))</f>
        <v/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 t="str">
        <f>IF(Respostas_Brutas!B8="","",Respostas_Brutas!B8)</f>
        <v/>
      </c>
      <c r="B8" s="4" t="str">
        <f>IF(Respostas_Brutas!B8="","",IFERROR(IF(IFERROR(VALUE(TRIM(SUBSTITUTE(SUBSTITUTE(SUBSTITUTE(TRIM(Respostas_Brutas!AS8),"R$",""),".",""),",","."))),0)=0,"",(IFERROR(VALUE(TRIM(SUBSTITUTE(SUBSTITUTE(SUBSTITUTE(TRIM(Respostas_Brutas!AS8),"R$",""),".",""),",","."))),0)-IFERROR(VALUE(TRIM(SUBSTITUTE(SUBSTITUTE(SUBSTITUTE(TRIM(Respostas_Brutas!T8),"R$",""),".",""),",","."))),0))/IFERROR(VALUE(TRIM(SUBSTITUTE(SUBSTITUTE(SUBSTITUTE(TRIM(Respostas_Brutas!AS8),"R$",""),".",""),",","."))),0)),""))</f>
        <v/>
      </c>
      <c r="C8" s="4" t="str">
        <f>IF(Respostas_Brutas!B8="","",MIN(1,(IFERROR(VALUE(LEFT(Respostas_Brutas!I8,IFERROR(FIND(" ",Respostas_Brutas!I8)-1,LEN(Respostas_Brutas!I8)))),0)+IFERROR(VALUE(LEFT(Respostas_Brutas!O8,IFERROR(FIND(" ",Respostas_Brutas!O8)-1,LEN(Respostas_Brutas!O8)))),0))/20))</f>
        <v/>
      </c>
      <c r="D8" s="4" t="str">
        <f>IF(Respostas_Brutas!B8="","",IF(Respostas_Brutas!D8="","",MIN(1,MAX(0,(YEAR(TODAY())-N(Respostas_Brutas!D8))/15))))</f>
        <v/>
      </c>
      <c r="E8" s="4" t="str">
        <f>IF(Respostas_Brutas!B8="","",IF(ISNUMBER(SEARCH("Sim",Respostas_Brutas!S8)),1,0))</f>
        <v/>
      </c>
      <c r="F8" s="4" t="str">
        <f>IF(Respostas_Brutas!B8="","",IFERROR(N(Respostas_Brutas!Y8)/N(Respostas_Brutas!Z8),""))</f>
        <v/>
      </c>
      <c r="G8" s="4" t="str">
        <f>IF(Respostas_Brutas!B8="","",IF(Respostas_Brutas!K8&lt;&gt;"",1,0))</f>
        <v/>
      </c>
      <c r="H8" s="4" t="str">
        <f>IF(Respostas_Brutas!B8="","",IF(ISNUMBER(SEARCH("Não",Respostas_Brutas!AH8)),1,0))</f>
        <v/>
      </c>
      <c r="I8" s="4" t="str">
        <f>IF(Respostas_Brutas!B8="","",IF(ISNUMBER(SEARCH("Sim",Respostas_Brutas!AL8)),1,0))</f>
        <v/>
      </c>
      <c r="J8" s="4" t="str">
        <f>IF(Respostas_Brutas!B8="","",IF(Respostas_Brutas!AN8="","",MIN(1,MAX(0,(N(Respostas_Brutas!AN8)-1)/4))))</f>
        <v/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 t="str">
        <f>IF(Respostas_Brutas!B9="","",Respostas_Brutas!B9)</f>
        <v/>
      </c>
      <c r="B9" s="4" t="str">
        <f>IF(Respostas_Brutas!B9="","",IFERROR(IF(IFERROR(VALUE(TRIM(SUBSTITUTE(SUBSTITUTE(SUBSTITUTE(TRIM(Respostas_Brutas!AS9),"R$",""),".",""),",","."))),0)=0,"",(IFERROR(VALUE(TRIM(SUBSTITUTE(SUBSTITUTE(SUBSTITUTE(TRIM(Respostas_Brutas!AS9),"R$",""),".",""),",","."))),0)-IFERROR(VALUE(TRIM(SUBSTITUTE(SUBSTITUTE(SUBSTITUTE(TRIM(Respostas_Brutas!T9),"R$",""),".",""),",","."))),0))/IFERROR(VALUE(TRIM(SUBSTITUTE(SUBSTITUTE(SUBSTITUTE(TRIM(Respostas_Brutas!AS9),"R$",""),".",""),",","."))),0)),""))</f>
        <v/>
      </c>
      <c r="C9" s="4" t="str">
        <f>IF(Respostas_Brutas!B9="","",MIN(1,(IFERROR(VALUE(LEFT(Respostas_Brutas!I9,IFERROR(FIND(" ",Respostas_Brutas!I9)-1,LEN(Respostas_Brutas!I9)))),0)+IFERROR(VALUE(LEFT(Respostas_Brutas!O9,IFERROR(FIND(" ",Respostas_Brutas!O9)-1,LEN(Respostas_Brutas!O9)))),0))/20))</f>
        <v/>
      </c>
      <c r="D9" s="4" t="str">
        <f>IF(Respostas_Brutas!B9="","",IF(Respostas_Brutas!D9="","",MIN(1,MAX(0,(YEAR(TODAY())-N(Respostas_Brutas!D9))/15))))</f>
        <v/>
      </c>
      <c r="E9" s="4" t="str">
        <f>IF(Respostas_Brutas!B9="","",IF(ISNUMBER(SEARCH("Sim",Respostas_Brutas!S9)),1,0))</f>
        <v/>
      </c>
      <c r="F9" s="4" t="str">
        <f>IF(Respostas_Brutas!B9="","",IFERROR(N(Respostas_Brutas!Y9)/N(Respostas_Brutas!Z9),""))</f>
        <v/>
      </c>
      <c r="G9" s="4" t="str">
        <f>IF(Respostas_Brutas!B9="","",IF(Respostas_Brutas!K9&lt;&gt;"",1,0))</f>
        <v/>
      </c>
      <c r="H9" s="4" t="str">
        <f>IF(Respostas_Brutas!B9="","",IF(ISNUMBER(SEARCH("Não",Respostas_Brutas!AH9)),1,0))</f>
        <v/>
      </c>
      <c r="I9" s="4" t="str">
        <f>IF(Respostas_Brutas!B9="","",IF(ISNUMBER(SEARCH("Sim",Respostas_Brutas!AL9)),1,0))</f>
        <v/>
      </c>
      <c r="J9" s="4" t="str">
        <f>IF(Respostas_Brutas!B9="","",IF(Respostas_Brutas!AN9="","",MIN(1,MAX(0,(N(Respostas_Brutas!AN9)-1)/4))))</f>
        <v/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 t="str">
        <f>IF(Respostas_Brutas!B10="","",Respostas_Brutas!B10)</f>
        <v/>
      </c>
      <c r="B10" s="4" t="str">
        <f>IF(Respostas_Brutas!B10="","",IFERROR(IF(IFERROR(VALUE(TRIM(SUBSTITUTE(SUBSTITUTE(SUBSTITUTE(TRIM(Respostas_Brutas!AS10),"R$",""),".",""),",","."))),0)=0,"",(IFERROR(VALUE(TRIM(SUBSTITUTE(SUBSTITUTE(SUBSTITUTE(TRIM(Respostas_Brutas!AS10),"R$",""),".",""),",","."))),0)-IFERROR(VALUE(TRIM(SUBSTITUTE(SUBSTITUTE(SUBSTITUTE(TRIM(Respostas_Brutas!T10),"R$",""),".",""),",","."))),0))/IFERROR(VALUE(TRIM(SUBSTITUTE(SUBSTITUTE(SUBSTITUTE(TRIM(Respostas_Brutas!AS10),"R$",""),".",""),",","."))),0)),""))</f>
        <v/>
      </c>
      <c r="C10" s="4" t="str">
        <f>IF(Respostas_Brutas!B10="","",MIN(1,(IFERROR(VALUE(LEFT(Respostas_Brutas!I10,IFERROR(FIND(" ",Respostas_Brutas!I10)-1,LEN(Respostas_Brutas!I10)))),0)+IFERROR(VALUE(LEFT(Respostas_Brutas!O10,IFERROR(FIND(" ",Respostas_Brutas!O10)-1,LEN(Respostas_Brutas!O10)))),0))/20))</f>
        <v/>
      </c>
      <c r="D10" s="4" t="str">
        <f>IF(Respostas_Brutas!B10="","",IF(Respostas_Brutas!D10="","",MIN(1,MAX(0,(YEAR(TODAY())-N(Respostas_Brutas!D10))/15))))</f>
        <v/>
      </c>
      <c r="E10" s="4" t="str">
        <f>IF(Respostas_Brutas!B10="","",IF(ISNUMBER(SEARCH("Sim",Respostas_Brutas!S10)),1,0))</f>
        <v/>
      </c>
      <c r="F10" s="4" t="str">
        <f>IF(Respostas_Brutas!B10="","",IFERROR(N(Respostas_Brutas!Y10)/N(Respostas_Brutas!Z10),""))</f>
        <v/>
      </c>
      <c r="G10" s="4" t="str">
        <f>IF(Respostas_Brutas!B10="","",IF(Respostas_Brutas!K10&lt;&gt;"",1,0))</f>
        <v/>
      </c>
      <c r="H10" s="4" t="str">
        <f>IF(Respostas_Brutas!B10="","",IF(ISNUMBER(SEARCH("Não",Respostas_Brutas!AH10)),1,0))</f>
        <v/>
      </c>
      <c r="I10" s="4" t="str">
        <f>IF(Respostas_Brutas!B10="","",IF(ISNUMBER(SEARCH("Sim",Respostas_Brutas!AL10)),1,0))</f>
        <v/>
      </c>
      <c r="J10" s="4" t="str">
        <f>IF(Respostas_Brutas!B10="","",IF(Respostas_Brutas!AN10="","",MIN(1,MAX(0,(N(Respostas_Brutas!AN10)-1)/4))))</f>
        <v/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 t="str">
        <f>IF(Respostas_Brutas!B11="","",Respostas_Brutas!B11)</f>
        <v/>
      </c>
      <c r="B11" s="4" t="str">
        <f>IF(Respostas_Brutas!B11="","",IFERROR(IF(IFERROR(VALUE(TRIM(SUBSTITUTE(SUBSTITUTE(SUBSTITUTE(TRIM(Respostas_Brutas!AS11),"R$",""),".",""),",","."))),0)=0,"",(IFERROR(VALUE(TRIM(SUBSTITUTE(SUBSTITUTE(SUBSTITUTE(TRIM(Respostas_Brutas!AS11),"R$",""),".",""),",","."))),0)-IFERROR(VALUE(TRIM(SUBSTITUTE(SUBSTITUTE(SUBSTITUTE(TRIM(Respostas_Brutas!T11),"R$",""),".",""),",","."))),0))/IFERROR(VALUE(TRIM(SUBSTITUTE(SUBSTITUTE(SUBSTITUTE(TRIM(Respostas_Brutas!AS11),"R$",""),".",""),",","."))),0)),""))</f>
        <v/>
      </c>
      <c r="C11" s="4" t="str">
        <f>IF(Respostas_Brutas!B11="","",MIN(1,(IFERROR(VALUE(LEFT(Respostas_Brutas!I11,IFERROR(FIND(" ",Respostas_Brutas!I11)-1,LEN(Respostas_Brutas!I11)))),0)+IFERROR(VALUE(LEFT(Respostas_Brutas!O11,IFERROR(FIND(" ",Respostas_Brutas!O11)-1,LEN(Respostas_Brutas!O11)))),0))/20))</f>
        <v/>
      </c>
      <c r="D11" s="4" t="str">
        <f>IF(Respostas_Brutas!B11="","",IF(Respostas_Brutas!D11="","",MIN(1,MAX(0,(YEAR(TODAY())-N(Respostas_Brutas!D11))/15))))</f>
        <v/>
      </c>
      <c r="E11" s="4" t="str">
        <f>IF(Respostas_Brutas!B11="","",IF(ISNUMBER(SEARCH("Sim",Respostas_Brutas!S11)),1,0))</f>
        <v/>
      </c>
      <c r="F11" s="4" t="str">
        <f>IF(Respostas_Brutas!B11="","",IFERROR(N(Respostas_Brutas!Y11)/N(Respostas_Brutas!Z11),""))</f>
        <v/>
      </c>
      <c r="G11" s="4" t="str">
        <f>IF(Respostas_Brutas!B11="","",IF(Respostas_Brutas!K11&lt;&gt;"",1,0))</f>
        <v/>
      </c>
      <c r="H11" s="4" t="str">
        <f>IF(Respostas_Brutas!B11="","",IF(ISNUMBER(SEARCH("Não",Respostas_Brutas!AH11)),1,0))</f>
        <v/>
      </c>
      <c r="I11" s="4" t="str">
        <f>IF(Respostas_Brutas!B11="","",IF(ISNUMBER(SEARCH("Sim",Respostas_Brutas!AL11)),1,0))</f>
        <v/>
      </c>
      <c r="J11" s="4" t="str">
        <f>IF(Respostas_Brutas!B11="","",IF(Respostas_Brutas!AN11="","",MIN(1,MAX(0,(N(Respostas_Brutas!AN11)-1)/4))))</f>
        <v/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 t="str">
        <f>IF(Respostas_Brutas!B12="","",Respostas_Brutas!B12)</f>
        <v/>
      </c>
      <c r="B12" s="4" t="str">
        <f>IF(Respostas_Brutas!B12="","",IFERROR(IF(IFERROR(VALUE(TRIM(SUBSTITUTE(SUBSTITUTE(SUBSTITUTE(TRIM(Respostas_Brutas!AS12),"R$",""),".",""),",","."))),0)=0,"",(IFERROR(VALUE(TRIM(SUBSTITUTE(SUBSTITUTE(SUBSTITUTE(TRIM(Respostas_Brutas!AS12),"R$",""),".",""),",","."))),0)-IFERROR(VALUE(TRIM(SUBSTITUTE(SUBSTITUTE(SUBSTITUTE(TRIM(Respostas_Brutas!T12),"R$",""),".",""),",","."))),0))/IFERROR(VALUE(TRIM(SUBSTITUTE(SUBSTITUTE(SUBSTITUTE(TRIM(Respostas_Brutas!AS12),"R$",""),".",""),",","."))),0)),""))</f>
        <v/>
      </c>
      <c r="C12" s="4" t="str">
        <f>IF(Respostas_Brutas!B12="","",MIN(1,(IFERROR(VALUE(LEFT(Respostas_Brutas!I12,IFERROR(FIND(" ",Respostas_Brutas!I12)-1,LEN(Respostas_Brutas!I12)))),0)+IFERROR(VALUE(LEFT(Respostas_Brutas!O12,IFERROR(FIND(" ",Respostas_Brutas!O12)-1,LEN(Respostas_Brutas!O12)))),0))/20))</f>
        <v/>
      </c>
      <c r="D12" s="4" t="str">
        <f>IF(Respostas_Brutas!B12="","",IF(Respostas_Brutas!D12="","",MIN(1,MAX(0,(YEAR(TODAY())-N(Respostas_Brutas!D12))/15))))</f>
        <v/>
      </c>
      <c r="E12" s="4" t="str">
        <f>IF(Respostas_Brutas!B12="","",IF(ISNUMBER(SEARCH("Sim",Respostas_Brutas!S12)),1,0))</f>
        <v/>
      </c>
      <c r="F12" s="4" t="str">
        <f>IF(Respostas_Brutas!B12="","",IFERROR(N(Respostas_Brutas!Y12)/N(Respostas_Brutas!Z12),""))</f>
        <v/>
      </c>
      <c r="G12" s="4" t="str">
        <f>IF(Respostas_Brutas!B12="","",IF(Respostas_Brutas!K12&lt;&gt;"",1,0))</f>
        <v/>
      </c>
      <c r="H12" s="4" t="str">
        <f>IF(Respostas_Brutas!B12="","",IF(ISNUMBER(SEARCH("Não",Respostas_Brutas!AH12)),1,0))</f>
        <v/>
      </c>
      <c r="I12" s="4" t="str">
        <f>IF(Respostas_Brutas!B12="","",IF(ISNUMBER(SEARCH("Sim",Respostas_Brutas!AL12)),1,0))</f>
        <v/>
      </c>
      <c r="J12" s="4" t="str">
        <f>IF(Respostas_Brutas!B12="","",IF(Respostas_Brutas!AN12="","",MIN(1,MAX(0,(N(Respostas_Brutas!AN12)-1)/4))))</f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tr">
        <f>IF(Respostas_Brutas!B13="","",Respostas_Brutas!B13)</f>
        <v/>
      </c>
      <c r="B13" s="4" t="str">
        <f>IF(Respostas_Brutas!B13="","",IFERROR(IF(IFERROR(VALUE(TRIM(SUBSTITUTE(SUBSTITUTE(SUBSTITUTE(TRIM(Respostas_Brutas!AS13),"R$",""),".",""),",","."))),0)=0,"",(IFERROR(VALUE(TRIM(SUBSTITUTE(SUBSTITUTE(SUBSTITUTE(TRIM(Respostas_Brutas!AS13),"R$",""),".",""),",","."))),0)-IFERROR(VALUE(TRIM(SUBSTITUTE(SUBSTITUTE(SUBSTITUTE(TRIM(Respostas_Brutas!T13),"R$",""),".",""),",","."))),0))/IFERROR(VALUE(TRIM(SUBSTITUTE(SUBSTITUTE(SUBSTITUTE(TRIM(Respostas_Brutas!AS13),"R$",""),".",""),",","."))),0)),""))</f>
        <v/>
      </c>
      <c r="C13" s="4" t="str">
        <f>IF(Respostas_Brutas!B13="","",MIN(1,(IFERROR(VALUE(LEFT(Respostas_Brutas!I13,IFERROR(FIND(" ",Respostas_Brutas!I13)-1,LEN(Respostas_Brutas!I13)))),0)+IFERROR(VALUE(LEFT(Respostas_Brutas!O13,IFERROR(FIND(" ",Respostas_Brutas!O13)-1,LEN(Respostas_Brutas!O13)))),0))/20))</f>
        <v/>
      </c>
      <c r="D13" s="4" t="str">
        <f>IF(Respostas_Brutas!B13="","",IF(Respostas_Brutas!D13="","",MIN(1,MAX(0,(YEAR(TODAY())-N(Respostas_Brutas!D13))/15))))</f>
        <v/>
      </c>
      <c r="E13" s="4" t="str">
        <f>IF(Respostas_Brutas!B13="","",IF(ISNUMBER(SEARCH("Sim",Respostas_Brutas!S13)),1,0))</f>
        <v/>
      </c>
      <c r="F13" s="4" t="str">
        <f>IF(Respostas_Brutas!B13="","",IFERROR(N(Respostas_Brutas!Y13)/N(Respostas_Brutas!Z13),""))</f>
        <v/>
      </c>
      <c r="G13" s="4" t="str">
        <f>IF(Respostas_Brutas!B13="","",IF(Respostas_Brutas!K13&lt;&gt;"",1,0))</f>
        <v/>
      </c>
      <c r="H13" s="4" t="str">
        <f>IF(Respostas_Brutas!B13="","",IF(ISNUMBER(SEARCH("Não",Respostas_Brutas!AH13)),1,0))</f>
        <v/>
      </c>
      <c r="I13" s="4" t="str">
        <f>IF(Respostas_Brutas!B13="","",IF(ISNUMBER(SEARCH("Sim",Respostas_Brutas!AL13)),1,0))</f>
        <v/>
      </c>
      <c r="J13" s="4" t="str">
        <f>IF(Respostas_Brutas!B13="","",IF(Respostas_Brutas!AN13="","",MIN(1,MAX(0,(N(Respostas_Brutas!AN13)-1)/4))))</f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 t="str">
        <f>IF(Respostas_Brutas!B14="","",Respostas_Brutas!B14)</f>
        <v/>
      </c>
      <c r="B14" s="4" t="str">
        <f>IF(Respostas_Brutas!B14="","",IFERROR(IF(IFERROR(VALUE(TRIM(SUBSTITUTE(SUBSTITUTE(SUBSTITUTE(TRIM(Respostas_Brutas!AS14),"R$",""),".",""),",","."))),0)=0,"",(IFERROR(VALUE(TRIM(SUBSTITUTE(SUBSTITUTE(SUBSTITUTE(TRIM(Respostas_Brutas!AS14),"R$",""),".",""),",","."))),0)-IFERROR(VALUE(TRIM(SUBSTITUTE(SUBSTITUTE(SUBSTITUTE(TRIM(Respostas_Brutas!T14),"R$",""),".",""),",","."))),0))/IFERROR(VALUE(TRIM(SUBSTITUTE(SUBSTITUTE(SUBSTITUTE(TRIM(Respostas_Brutas!AS14),"R$",""),".",""),",","."))),0)),""))</f>
        <v/>
      </c>
      <c r="C14" s="4" t="str">
        <f>IF(Respostas_Brutas!B14="","",MIN(1,(IFERROR(VALUE(LEFT(Respostas_Brutas!I14,IFERROR(FIND(" ",Respostas_Brutas!I14)-1,LEN(Respostas_Brutas!I14)))),0)+IFERROR(VALUE(LEFT(Respostas_Brutas!O14,IFERROR(FIND(" ",Respostas_Brutas!O14)-1,LEN(Respostas_Brutas!O14)))),0))/20))</f>
        <v/>
      </c>
      <c r="D14" s="4" t="str">
        <f>IF(Respostas_Brutas!B14="","",IF(Respostas_Brutas!D14="","",MIN(1,MAX(0,(YEAR(TODAY())-N(Respostas_Brutas!D14))/15))))</f>
        <v/>
      </c>
      <c r="E14" s="4" t="str">
        <f>IF(Respostas_Brutas!B14="","",IF(ISNUMBER(SEARCH("Sim",Respostas_Brutas!S14)),1,0))</f>
        <v/>
      </c>
      <c r="F14" s="4" t="str">
        <f>IF(Respostas_Brutas!B14="","",IFERROR(N(Respostas_Brutas!Y14)/N(Respostas_Brutas!Z14),""))</f>
        <v/>
      </c>
      <c r="G14" s="4" t="str">
        <f>IF(Respostas_Brutas!B14="","",IF(Respostas_Brutas!K14&lt;&gt;"",1,0))</f>
        <v/>
      </c>
      <c r="H14" s="4" t="str">
        <f>IF(Respostas_Brutas!B14="","",IF(ISNUMBER(SEARCH("Não",Respostas_Brutas!AH14)),1,0))</f>
        <v/>
      </c>
      <c r="I14" s="4" t="str">
        <f>IF(Respostas_Brutas!B14="","",IF(ISNUMBER(SEARCH("Sim",Respostas_Brutas!AL14)),1,0))</f>
        <v/>
      </c>
      <c r="J14" s="4" t="str">
        <f>IF(Respostas_Brutas!B14="","",IF(Respostas_Brutas!AN14="","",MIN(1,MAX(0,(N(Respostas_Brutas!AN14)-1)/4))))</f>
        <v/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 t="str">
        <f>IF(Respostas_Brutas!B15="","",Respostas_Brutas!B15)</f>
        <v/>
      </c>
      <c r="B15" s="4" t="str">
        <f>IF(Respostas_Brutas!B15="","",IFERROR(IF(IFERROR(VALUE(TRIM(SUBSTITUTE(SUBSTITUTE(SUBSTITUTE(TRIM(Respostas_Brutas!AS15),"R$",""),".",""),",","."))),0)=0,"",(IFERROR(VALUE(TRIM(SUBSTITUTE(SUBSTITUTE(SUBSTITUTE(TRIM(Respostas_Brutas!AS15),"R$",""),".",""),",","."))),0)-IFERROR(VALUE(TRIM(SUBSTITUTE(SUBSTITUTE(SUBSTITUTE(TRIM(Respostas_Brutas!T15),"R$",""),".",""),",","."))),0))/IFERROR(VALUE(TRIM(SUBSTITUTE(SUBSTITUTE(SUBSTITUTE(TRIM(Respostas_Brutas!AS15),"R$",""),".",""),",","."))),0)),""))</f>
        <v/>
      </c>
      <c r="C15" s="4" t="str">
        <f>IF(Respostas_Brutas!B15="","",MIN(1,(IFERROR(VALUE(LEFT(Respostas_Brutas!I15,IFERROR(FIND(" ",Respostas_Brutas!I15)-1,LEN(Respostas_Brutas!I15)))),0)+IFERROR(VALUE(LEFT(Respostas_Brutas!O15,IFERROR(FIND(" ",Respostas_Brutas!O15)-1,LEN(Respostas_Brutas!O15)))),0))/20))</f>
        <v/>
      </c>
      <c r="D15" s="4" t="str">
        <f>IF(Respostas_Brutas!B15="","",IF(Respostas_Brutas!D15="","",MIN(1,MAX(0,(YEAR(TODAY())-N(Respostas_Brutas!D15))/15))))</f>
        <v/>
      </c>
      <c r="E15" s="4" t="str">
        <f>IF(Respostas_Brutas!B15="","",IF(ISNUMBER(SEARCH("Sim",Respostas_Brutas!S15)),1,0))</f>
        <v/>
      </c>
      <c r="F15" s="4" t="str">
        <f>IF(Respostas_Brutas!B15="","",IFERROR(N(Respostas_Brutas!Y15)/N(Respostas_Brutas!Z15),""))</f>
        <v/>
      </c>
      <c r="G15" s="4" t="str">
        <f>IF(Respostas_Brutas!B15="","",IF(Respostas_Brutas!K15&lt;&gt;"",1,0))</f>
        <v/>
      </c>
      <c r="H15" s="4" t="str">
        <f>IF(Respostas_Brutas!B15="","",IF(ISNUMBER(SEARCH("Não",Respostas_Brutas!AH15)),1,0))</f>
        <v/>
      </c>
      <c r="I15" s="4" t="str">
        <f>IF(Respostas_Brutas!B15="","",IF(ISNUMBER(SEARCH("Sim",Respostas_Brutas!AL15)),1,0))</f>
        <v/>
      </c>
      <c r="J15" s="4" t="str">
        <f>IF(Respostas_Brutas!B15="","",IF(Respostas_Brutas!AN15="","",MIN(1,MAX(0,(N(Respostas_Brutas!AN15)-1)/4))))</f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 t="str">
        <f>IF(Respostas_Brutas!B16="","",Respostas_Brutas!B16)</f>
        <v/>
      </c>
      <c r="B16" s="4" t="str">
        <f>IF(Respostas_Brutas!B16="","",IFERROR(IF(IFERROR(VALUE(TRIM(SUBSTITUTE(SUBSTITUTE(SUBSTITUTE(TRIM(Respostas_Brutas!AS16),"R$",""),".",""),",","."))),0)=0,"",(IFERROR(VALUE(TRIM(SUBSTITUTE(SUBSTITUTE(SUBSTITUTE(TRIM(Respostas_Brutas!AS16),"R$",""),".",""),",","."))),0)-IFERROR(VALUE(TRIM(SUBSTITUTE(SUBSTITUTE(SUBSTITUTE(TRIM(Respostas_Brutas!T16),"R$",""),".",""),",","."))),0))/IFERROR(VALUE(TRIM(SUBSTITUTE(SUBSTITUTE(SUBSTITUTE(TRIM(Respostas_Brutas!AS16),"R$",""),".",""),",","."))),0)),""))</f>
        <v/>
      </c>
      <c r="C16" s="4" t="str">
        <f>IF(Respostas_Brutas!B16="","",MIN(1,(IFERROR(VALUE(LEFT(Respostas_Brutas!I16,IFERROR(FIND(" ",Respostas_Brutas!I16)-1,LEN(Respostas_Brutas!I16)))),0)+IFERROR(VALUE(LEFT(Respostas_Brutas!O16,IFERROR(FIND(" ",Respostas_Brutas!O16)-1,LEN(Respostas_Brutas!O16)))),0))/20))</f>
        <v/>
      </c>
      <c r="D16" s="4" t="str">
        <f>IF(Respostas_Brutas!B16="","",IF(Respostas_Brutas!D16="","",MIN(1,MAX(0,(YEAR(TODAY())-N(Respostas_Brutas!D16))/15))))</f>
        <v/>
      </c>
      <c r="E16" s="4" t="str">
        <f>IF(Respostas_Brutas!B16="","",IF(ISNUMBER(SEARCH("Sim",Respostas_Brutas!S16)),1,0))</f>
        <v/>
      </c>
      <c r="F16" s="4" t="str">
        <f>IF(Respostas_Brutas!B16="","",IFERROR(N(Respostas_Brutas!Y16)/N(Respostas_Brutas!Z16),""))</f>
        <v/>
      </c>
      <c r="G16" s="4" t="str">
        <f>IF(Respostas_Brutas!B16="","",IF(Respostas_Brutas!K16&lt;&gt;"",1,0))</f>
        <v/>
      </c>
      <c r="H16" s="4" t="str">
        <f>IF(Respostas_Brutas!B16="","",IF(ISNUMBER(SEARCH("Não",Respostas_Brutas!AH16)),1,0))</f>
        <v/>
      </c>
      <c r="I16" s="4" t="str">
        <f>IF(Respostas_Brutas!B16="","",IF(ISNUMBER(SEARCH("Sim",Respostas_Brutas!AL16)),1,0))</f>
        <v/>
      </c>
      <c r="J16" s="4" t="str">
        <f>IF(Respostas_Brutas!B16="","",IF(Respostas_Brutas!AN16="","",MIN(1,MAX(0,(N(Respostas_Brutas!AN16)-1)/4))))</f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 t="str">
        <f>IF(Respostas_Brutas!B17="","",Respostas_Brutas!B17)</f>
        <v/>
      </c>
      <c r="B17" s="4" t="str">
        <f>IF(Respostas_Brutas!B17="","",IFERROR(IF(IFERROR(VALUE(TRIM(SUBSTITUTE(SUBSTITUTE(SUBSTITUTE(TRIM(Respostas_Brutas!AS17),"R$",""),".",""),",","."))),0)=0,"",(IFERROR(VALUE(TRIM(SUBSTITUTE(SUBSTITUTE(SUBSTITUTE(TRIM(Respostas_Brutas!AS17),"R$",""),".",""),",","."))),0)-IFERROR(VALUE(TRIM(SUBSTITUTE(SUBSTITUTE(SUBSTITUTE(TRIM(Respostas_Brutas!T17),"R$",""),".",""),",","."))),0))/IFERROR(VALUE(TRIM(SUBSTITUTE(SUBSTITUTE(SUBSTITUTE(TRIM(Respostas_Brutas!AS17),"R$",""),".",""),",","."))),0)),""))</f>
        <v/>
      </c>
      <c r="C17" s="4" t="str">
        <f>IF(Respostas_Brutas!B17="","",MIN(1,(IFERROR(VALUE(LEFT(Respostas_Brutas!I17,IFERROR(FIND(" ",Respostas_Brutas!I17)-1,LEN(Respostas_Brutas!I17)))),0)+IFERROR(VALUE(LEFT(Respostas_Brutas!O17,IFERROR(FIND(" ",Respostas_Brutas!O17)-1,LEN(Respostas_Brutas!O17)))),0))/20))</f>
        <v/>
      </c>
      <c r="D17" s="4" t="str">
        <f>IF(Respostas_Brutas!B17="","",IF(Respostas_Brutas!D17="","",MIN(1,MAX(0,(YEAR(TODAY())-N(Respostas_Brutas!D17))/15))))</f>
        <v/>
      </c>
      <c r="E17" s="4" t="str">
        <f>IF(Respostas_Brutas!B17="","",IF(ISNUMBER(SEARCH("Sim",Respostas_Brutas!S17)),1,0))</f>
        <v/>
      </c>
      <c r="F17" s="4" t="str">
        <f>IF(Respostas_Brutas!B17="","",IFERROR(N(Respostas_Brutas!Y17)/N(Respostas_Brutas!Z17),""))</f>
        <v/>
      </c>
      <c r="G17" s="4" t="str">
        <f>IF(Respostas_Brutas!B17="","",IF(Respostas_Brutas!K17&lt;&gt;"",1,0))</f>
        <v/>
      </c>
      <c r="H17" s="4" t="str">
        <f>IF(Respostas_Brutas!B17="","",IF(ISNUMBER(SEARCH("Não",Respostas_Brutas!AH17)),1,0))</f>
        <v/>
      </c>
      <c r="I17" s="4" t="str">
        <f>IF(Respostas_Brutas!B17="","",IF(ISNUMBER(SEARCH("Sim",Respostas_Brutas!AL17)),1,0))</f>
        <v/>
      </c>
      <c r="J17" s="4" t="str">
        <f>IF(Respostas_Brutas!B17="","",IF(Respostas_Brutas!AN17="","",MIN(1,MAX(0,(N(Respostas_Brutas!AN17)-1)/4))))</f>
        <v/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 t="str">
        <f>IF(Respostas_Brutas!B18="","",Respostas_Brutas!B18)</f>
        <v/>
      </c>
      <c r="B18" s="4" t="str">
        <f>IF(Respostas_Brutas!B18="","",IFERROR(IF(IFERROR(VALUE(TRIM(SUBSTITUTE(SUBSTITUTE(SUBSTITUTE(TRIM(Respostas_Brutas!AS18),"R$",""),".",""),",","."))),0)=0,"",(IFERROR(VALUE(TRIM(SUBSTITUTE(SUBSTITUTE(SUBSTITUTE(TRIM(Respostas_Brutas!AS18),"R$",""),".",""),",","."))),0)-IFERROR(VALUE(TRIM(SUBSTITUTE(SUBSTITUTE(SUBSTITUTE(TRIM(Respostas_Brutas!T18),"R$",""),".",""),",","."))),0))/IFERROR(VALUE(TRIM(SUBSTITUTE(SUBSTITUTE(SUBSTITUTE(TRIM(Respostas_Brutas!AS18),"R$",""),".",""),",","."))),0)),""))</f>
        <v/>
      </c>
      <c r="C18" s="4" t="str">
        <f>IF(Respostas_Brutas!B18="","",MIN(1,(IFERROR(VALUE(LEFT(Respostas_Brutas!I18,IFERROR(FIND(" ",Respostas_Brutas!I18)-1,LEN(Respostas_Brutas!I18)))),0)+IFERROR(VALUE(LEFT(Respostas_Brutas!O18,IFERROR(FIND(" ",Respostas_Brutas!O18)-1,LEN(Respostas_Brutas!O18)))),0))/20))</f>
        <v/>
      </c>
      <c r="D18" s="4" t="str">
        <f>IF(Respostas_Brutas!B18="","",IF(Respostas_Brutas!D18="","",MIN(1,MAX(0,(YEAR(TODAY())-N(Respostas_Brutas!D18))/15))))</f>
        <v/>
      </c>
      <c r="E18" s="4" t="str">
        <f>IF(Respostas_Brutas!B18="","",IF(ISNUMBER(SEARCH("Sim",Respostas_Brutas!S18)),1,0))</f>
        <v/>
      </c>
      <c r="F18" s="4" t="str">
        <f>IF(Respostas_Brutas!B18="","",IFERROR(N(Respostas_Brutas!Y18)/N(Respostas_Brutas!Z18),""))</f>
        <v/>
      </c>
      <c r="G18" s="4" t="str">
        <f>IF(Respostas_Brutas!B18="","",IF(Respostas_Brutas!K18&lt;&gt;"",1,0))</f>
        <v/>
      </c>
      <c r="H18" s="4" t="str">
        <f>IF(Respostas_Brutas!B18="","",IF(ISNUMBER(SEARCH("Não",Respostas_Brutas!AH18)),1,0))</f>
        <v/>
      </c>
      <c r="I18" s="4" t="str">
        <f>IF(Respostas_Brutas!B18="","",IF(ISNUMBER(SEARCH("Sim",Respostas_Brutas!AL18)),1,0))</f>
        <v/>
      </c>
      <c r="J18" s="4" t="str">
        <f>IF(Respostas_Brutas!B18="","",IF(Respostas_Brutas!AN18="","",MIN(1,MAX(0,(N(Respostas_Brutas!AN18)-1)/4))))</f>
        <v/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 t="str">
        <f>IF(Respostas_Brutas!B19="","",Respostas_Brutas!B19)</f>
        <v/>
      </c>
      <c r="B19" s="4" t="str">
        <f>IF(Respostas_Brutas!B19="","",IFERROR(IF(IFERROR(VALUE(TRIM(SUBSTITUTE(SUBSTITUTE(SUBSTITUTE(TRIM(Respostas_Brutas!AS19),"R$",""),".",""),",","."))),0)=0,"",(IFERROR(VALUE(TRIM(SUBSTITUTE(SUBSTITUTE(SUBSTITUTE(TRIM(Respostas_Brutas!AS19),"R$",""),".",""),",","."))),0)-IFERROR(VALUE(TRIM(SUBSTITUTE(SUBSTITUTE(SUBSTITUTE(TRIM(Respostas_Brutas!T19),"R$",""),".",""),",","."))),0))/IFERROR(VALUE(TRIM(SUBSTITUTE(SUBSTITUTE(SUBSTITUTE(TRIM(Respostas_Brutas!AS19),"R$",""),".",""),",","."))),0)),""))</f>
        <v/>
      </c>
      <c r="C19" s="4" t="str">
        <f>IF(Respostas_Brutas!B19="","",MIN(1,(IFERROR(VALUE(LEFT(Respostas_Brutas!I19,IFERROR(FIND(" ",Respostas_Brutas!I19)-1,LEN(Respostas_Brutas!I19)))),0)+IFERROR(VALUE(LEFT(Respostas_Brutas!O19,IFERROR(FIND(" ",Respostas_Brutas!O19)-1,LEN(Respostas_Brutas!O19)))),0))/20))</f>
        <v/>
      </c>
      <c r="D19" s="4" t="str">
        <f>IF(Respostas_Brutas!B19="","",IF(Respostas_Brutas!D19="","",MIN(1,MAX(0,(YEAR(TODAY())-N(Respostas_Brutas!D19))/15))))</f>
        <v/>
      </c>
      <c r="E19" s="4" t="str">
        <f>IF(Respostas_Brutas!B19="","",IF(ISNUMBER(SEARCH("Sim",Respostas_Brutas!S19)),1,0))</f>
        <v/>
      </c>
      <c r="F19" s="4" t="str">
        <f>IF(Respostas_Brutas!B19="","",IFERROR(N(Respostas_Brutas!Y19)/N(Respostas_Brutas!Z19),""))</f>
        <v/>
      </c>
      <c r="G19" s="4" t="str">
        <f>IF(Respostas_Brutas!B19="","",IF(Respostas_Brutas!K19&lt;&gt;"",1,0))</f>
        <v/>
      </c>
      <c r="H19" s="4" t="str">
        <f>IF(Respostas_Brutas!B19="","",IF(ISNUMBER(SEARCH("Não",Respostas_Brutas!AH19)),1,0))</f>
        <v/>
      </c>
      <c r="I19" s="4" t="str">
        <f>IF(Respostas_Brutas!B19="","",IF(ISNUMBER(SEARCH("Sim",Respostas_Brutas!AL19)),1,0))</f>
        <v/>
      </c>
      <c r="J19" s="4" t="str">
        <f>IF(Respostas_Brutas!B19="","",IF(Respostas_Brutas!AN19="","",MIN(1,MAX(0,(N(Respostas_Brutas!AN19)-1)/4))))</f>
        <v/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 t="str">
        <f>IF(Respostas_Brutas!B20="","",Respostas_Brutas!B20)</f>
        <v/>
      </c>
      <c r="B20" s="4" t="str">
        <f>IF(Respostas_Brutas!B20="","",IFERROR(IF(IFERROR(VALUE(TRIM(SUBSTITUTE(SUBSTITUTE(SUBSTITUTE(TRIM(Respostas_Brutas!AS20),"R$",""),".",""),",","."))),0)=0,"",(IFERROR(VALUE(TRIM(SUBSTITUTE(SUBSTITUTE(SUBSTITUTE(TRIM(Respostas_Brutas!AS20),"R$",""),".",""),",","."))),0)-IFERROR(VALUE(TRIM(SUBSTITUTE(SUBSTITUTE(SUBSTITUTE(TRIM(Respostas_Brutas!T20),"R$",""),".",""),",","."))),0))/IFERROR(VALUE(TRIM(SUBSTITUTE(SUBSTITUTE(SUBSTITUTE(TRIM(Respostas_Brutas!AS20),"R$",""),".",""),",","."))),0)),""))</f>
        <v/>
      </c>
      <c r="C20" s="4" t="str">
        <f>IF(Respostas_Brutas!B20="","",MIN(1,(IFERROR(VALUE(LEFT(Respostas_Brutas!I20,IFERROR(FIND(" ",Respostas_Brutas!I20)-1,LEN(Respostas_Brutas!I20)))),0)+IFERROR(VALUE(LEFT(Respostas_Brutas!O20,IFERROR(FIND(" ",Respostas_Brutas!O20)-1,LEN(Respostas_Brutas!O20)))),0))/20))</f>
        <v/>
      </c>
      <c r="D20" s="4" t="str">
        <f>IF(Respostas_Brutas!B20="","",IF(Respostas_Brutas!D20="","",MIN(1,MAX(0,(YEAR(TODAY())-N(Respostas_Brutas!D20))/15))))</f>
        <v/>
      </c>
      <c r="E20" s="4" t="str">
        <f>IF(Respostas_Brutas!B20="","",IF(ISNUMBER(SEARCH("Sim",Respostas_Brutas!S20)),1,0))</f>
        <v/>
      </c>
      <c r="F20" s="4" t="str">
        <f>IF(Respostas_Brutas!B20="","",IFERROR(N(Respostas_Brutas!Y20)/N(Respostas_Brutas!Z20),""))</f>
        <v/>
      </c>
      <c r="G20" s="4" t="str">
        <f>IF(Respostas_Brutas!B20="","",IF(Respostas_Brutas!K20&lt;&gt;"",1,0))</f>
        <v/>
      </c>
      <c r="H20" s="4" t="str">
        <f>IF(Respostas_Brutas!B20="","",IF(ISNUMBER(SEARCH("Não",Respostas_Brutas!AH20)),1,0))</f>
        <v/>
      </c>
      <c r="I20" s="4" t="str">
        <f>IF(Respostas_Brutas!B20="","",IF(ISNUMBER(SEARCH("Sim",Respostas_Brutas!AL20)),1,0))</f>
        <v/>
      </c>
      <c r="J20" s="4" t="str">
        <f>IF(Respostas_Brutas!B20="","",IF(Respostas_Brutas!AN20="","",MIN(1,MAX(0,(N(Respostas_Brutas!AN20)-1)/4))))</f>
        <v/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tr">
        <f>IF(Respostas_Brutas!B21="","",Respostas_Brutas!B21)</f>
        <v/>
      </c>
      <c r="B21" s="4" t="str">
        <f>IF(Respostas_Brutas!B21="","",IFERROR(IF(IFERROR(VALUE(TRIM(SUBSTITUTE(SUBSTITUTE(SUBSTITUTE(TRIM(Respostas_Brutas!AS21),"R$",""),".",""),",","."))),0)=0,"",(IFERROR(VALUE(TRIM(SUBSTITUTE(SUBSTITUTE(SUBSTITUTE(TRIM(Respostas_Brutas!AS21),"R$",""),".",""),",","."))),0)-IFERROR(VALUE(TRIM(SUBSTITUTE(SUBSTITUTE(SUBSTITUTE(TRIM(Respostas_Brutas!T21),"R$",""),".",""),",","."))),0))/IFERROR(VALUE(TRIM(SUBSTITUTE(SUBSTITUTE(SUBSTITUTE(TRIM(Respostas_Brutas!AS21),"R$",""),".",""),",","."))),0)),""))</f>
        <v/>
      </c>
      <c r="C21" s="4" t="str">
        <f>IF(Respostas_Brutas!B21="","",MIN(1,(IFERROR(VALUE(LEFT(Respostas_Brutas!I21,IFERROR(FIND(" ",Respostas_Brutas!I21)-1,LEN(Respostas_Brutas!I21)))),0)+IFERROR(VALUE(LEFT(Respostas_Brutas!O21,IFERROR(FIND(" ",Respostas_Brutas!O21)-1,LEN(Respostas_Brutas!O21)))),0))/20))</f>
        <v/>
      </c>
      <c r="D21" s="4" t="str">
        <f>IF(Respostas_Brutas!B21="","",IF(Respostas_Brutas!D21="","",MIN(1,MAX(0,(YEAR(TODAY())-N(Respostas_Brutas!D21))/15))))</f>
        <v/>
      </c>
      <c r="E21" s="4" t="str">
        <f>IF(Respostas_Brutas!B21="","",IF(ISNUMBER(SEARCH("Sim",Respostas_Brutas!S21)),1,0))</f>
        <v/>
      </c>
      <c r="F21" s="4" t="str">
        <f>IF(Respostas_Brutas!B21="","",IFERROR(N(Respostas_Brutas!Y21)/N(Respostas_Brutas!Z21),""))</f>
        <v/>
      </c>
      <c r="G21" s="4" t="str">
        <f>IF(Respostas_Brutas!B21="","",IF(Respostas_Brutas!K21&lt;&gt;"",1,0))</f>
        <v/>
      </c>
      <c r="H21" s="4" t="str">
        <f>IF(Respostas_Brutas!B21="","",IF(ISNUMBER(SEARCH("Não",Respostas_Brutas!AH21)),1,0))</f>
        <v/>
      </c>
      <c r="I21" s="4" t="str">
        <f>IF(Respostas_Brutas!B21="","",IF(ISNUMBER(SEARCH("Sim",Respostas_Brutas!AL21)),1,0))</f>
        <v/>
      </c>
      <c r="J21" s="4" t="str">
        <f>IF(Respostas_Brutas!B21="","",IF(Respostas_Brutas!AN21="","",MIN(1,MAX(0,(N(Respostas_Brutas!AN21)-1)/4))))</f>
        <v/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tr">
        <f>IF(Respostas_Brutas!B22="","",Respostas_Brutas!B22)</f>
        <v/>
      </c>
      <c r="B22" s="4" t="str">
        <f>IF(Respostas_Brutas!B22="","",IFERROR(IF(IFERROR(VALUE(TRIM(SUBSTITUTE(SUBSTITUTE(SUBSTITUTE(TRIM(Respostas_Brutas!AS22),"R$",""),".",""),",","."))),0)=0,"",(IFERROR(VALUE(TRIM(SUBSTITUTE(SUBSTITUTE(SUBSTITUTE(TRIM(Respostas_Brutas!AS22),"R$",""),".",""),",","."))),0)-IFERROR(VALUE(TRIM(SUBSTITUTE(SUBSTITUTE(SUBSTITUTE(TRIM(Respostas_Brutas!T22),"R$",""),".",""),",","."))),0))/IFERROR(VALUE(TRIM(SUBSTITUTE(SUBSTITUTE(SUBSTITUTE(TRIM(Respostas_Brutas!AS22),"R$",""),".",""),",","."))),0)),""))</f>
        <v/>
      </c>
      <c r="C22" s="4" t="str">
        <f>IF(Respostas_Brutas!B22="","",MIN(1,(IFERROR(VALUE(LEFT(Respostas_Brutas!I22,IFERROR(FIND(" ",Respostas_Brutas!I22)-1,LEN(Respostas_Brutas!I22)))),0)+IFERROR(VALUE(LEFT(Respostas_Brutas!O22,IFERROR(FIND(" ",Respostas_Brutas!O22)-1,LEN(Respostas_Brutas!O22)))),0))/20))</f>
        <v/>
      </c>
      <c r="D22" s="4" t="str">
        <f>IF(Respostas_Brutas!B22="","",IF(Respostas_Brutas!D22="","",MIN(1,MAX(0,(YEAR(TODAY())-N(Respostas_Brutas!D22))/15))))</f>
        <v/>
      </c>
      <c r="E22" s="4" t="str">
        <f>IF(Respostas_Brutas!B22="","",IF(ISNUMBER(SEARCH("Sim",Respostas_Brutas!S22)),1,0))</f>
        <v/>
      </c>
      <c r="F22" s="4" t="str">
        <f>IF(Respostas_Brutas!B22="","",IFERROR(N(Respostas_Brutas!Y22)/N(Respostas_Brutas!Z22),""))</f>
        <v/>
      </c>
      <c r="G22" s="4" t="str">
        <f>IF(Respostas_Brutas!B22="","",IF(Respostas_Brutas!K22&lt;&gt;"",1,0))</f>
        <v/>
      </c>
      <c r="H22" s="4" t="str">
        <f>IF(Respostas_Brutas!B22="","",IF(ISNUMBER(SEARCH("Não",Respostas_Brutas!AH22)),1,0))</f>
        <v/>
      </c>
      <c r="I22" s="4" t="str">
        <f>IF(Respostas_Brutas!B22="","",IF(ISNUMBER(SEARCH("Sim",Respostas_Brutas!AL22)),1,0))</f>
        <v/>
      </c>
      <c r="J22" s="4" t="str">
        <f>IF(Respostas_Brutas!B22="","",IF(Respostas_Brutas!AN22="","",MIN(1,MAX(0,(N(Respostas_Brutas!AN22)-1)/4))))</f>
        <v/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tr">
        <f>IF(Respostas_Brutas!B23="","",Respostas_Brutas!B23)</f>
        <v/>
      </c>
      <c r="B23" s="4" t="str">
        <f>IF(Respostas_Brutas!B23="","",IFERROR(IF(IFERROR(VALUE(TRIM(SUBSTITUTE(SUBSTITUTE(SUBSTITUTE(TRIM(Respostas_Brutas!AS23),"R$",""),".",""),",","."))),0)=0,"",(IFERROR(VALUE(TRIM(SUBSTITUTE(SUBSTITUTE(SUBSTITUTE(TRIM(Respostas_Brutas!AS23),"R$",""),".",""),",","."))),0)-IFERROR(VALUE(TRIM(SUBSTITUTE(SUBSTITUTE(SUBSTITUTE(TRIM(Respostas_Brutas!T23),"R$",""),".",""),",","."))),0))/IFERROR(VALUE(TRIM(SUBSTITUTE(SUBSTITUTE(SUBSTITUTE(TRIM(Respostas_Brutas!AS23),"R$",""),".",""),",","."))),0)),""))</f>
        <v/>
      </c>
      <c r="C23" s="4" t="str">
        <f>IF(Respostas_Brutas!B23="","",MIN(1,(IFERROR(VALUE(LEFT(Respostas_Brutas!I23,IFERROR(FIND(" ",Respostas_Brutas!I23)-1,LEN(Respostas_Brutas!I23)))),0)+IFERROR(VALUE(LEFT(Respostas_Brutas!O23,IFERROR(FIND(" ",Respostas_Brutas!O23)-1,LEN(Respostas_Brutas!O23)))),0))/20))</f>
        <v/>
      </c>
      <c r="D23" s="4" t="str">
        <f>IF(Respostas_Brutas!B23="","",IF(Respostas_Brutas!D23="","",MIN(1,MAX(0,(YEAR(TODAY())-N(Respostas_Brutas!D23))/15))))</f>
        <v/>
      </c>
      <c r="E23" s="4" t="str">
        <f>IF(Respostas_Brutas!B23="","",IF(ISNUMBER(SEARCH("Sim",Respostas_Brutas!S23)),1,0))</f>
        <v/>
      </c>
      <c r="F23" s="4" t="str">
        <f>IF(Respostas_Brutas!B23="","",IFERROR(N(Respostas_Brutas!Y23)/N(Respostas_Brutas!Z23),""))</f>
        <v/>
      </c>
      <c r="G23" s="4" t="str">
        <f>IF(Respostas_Brutas!B23="","",IF(Respostas_Brutas!K23&lt;&gt;"",1,0))</f>
        <v/>
      </c>
      <c r="H23" s="4" t="str">
        <f>IF(Respostas_Brutas!B23="","",IF(ISNUMBER(SEARCH("Não",Respostas_Brutas!AH23)),1,0))</f>
        <v/>
      </c>
      <c r="I23" s="4" t="str">
        <f>IF(Respostas_Brutas!B23="","",IF(ISNUMBER(SEARCH("Sim",Respostas_Brutas!AL23)),1,0))</f>
        <v/>
      </c>
      <c r="J23" s="4" t="str">
        <f>IF(Respostas_Brutas!B23="","",IF(Respostas_Brutas!AN23="","",MIN(1,MAX(0,(N(Respostas_Brutas!AN23)-1)/4))))</f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tr">
        <f>IF(Respostas_Brutas!B24="","",Respostas_Brutas!B24)</f>
        <v/>
      </c>
      <c r="B24" s="4" t="str">
        <f>IF(Respostas_Brutas!B24="","",IFERROR(IF(IFERROR(VALUE(TRIM(SUBSTITUTE(SUBSTITUTE(SUBSTITUTE(TRIM(Respostas_Brutas!AS24),"R$",""),".",""),",","."))),0)=0,"",(IFERROR(VALUE(TRIM(SUBSTITUTE(SUBSTITUTE(SUBSTITUTE(TRIM(Respostas_Brutas!AS24),"R$",""),".",""),",","."))),0)-IFERROR(VALUE(TRIM(SUBSTITUTE(SUBSTITUTE(SUBSTITUTE(TRIM(Respostas_Brutas!T24),"R$",""),".",""),",","."))),0))/IFERROR(VALUE(TRIM(SUBSTITUTE(SUBSTITUTE(SUBSTITUTE(TRIM(Respostas_Brutas!AS24),"R$",""),".",""),",","."))),0)),""))</f>
        <v/>
      </c>
      <c r="C24" s="4" t="str">
        <f>IF(Respostas_Brutas!B24="","",MIN(1,(IFERROR(VALUE(LEFT(Respostas_Brutas!I24,IFERROR(FIND(" ",Respostas_Brutas!I24)-1,LEN(Respostas_Brutas!I24)))),0)+IFERROR(VALUE(LEFT(Respostas_Brutas!O24,IFERROR(FIND(" ",Respostas_Brutas!O24)-1,LEN(Respostas_Brutas!O24)))),0))/20))</f>
        <v/>
      </c>
      <c r="D24" s="4" t="str">
        <f>IF(Respostas_Brutas!B24="","",IF(Respostas_Brutas!D24="","",MIN(1,MAX(0,(YEAR(TODAY())-N(Respostas_Brutas!D24))/15))))</f>
        <v/>
      </c>
      <c r="E24" s="4" t="str">
        <f>IF(Respostas_Brutas!B24="","",IF(ISNUMBER(SEARCH("Sim",Respostas_Brutas!S24)),1,0))</f>
        <v/>
      </c>
      <c r="F24" s="4" t="str">
        <f>IF(Respostas_Brutas!B24="","",IFERROR(N(Respostas_Brutas!Y24)/N(Respostas_Brutas!Z24),""))</f>
        <v/>
      </c>
      <c r="G24" s="4" t="str">
        <f>IF(Respostas_Brutas!B24="","",IF(Respostas_Brutas!K24&lt;&gt;"",1,0))</f>
        <v/>
      </c>
      <c r="H24" s="4" t="str">
        <f>IF(Respostas_Brutas!B24="","",IF(ISNUMBER(SEARCH("Não",Respostas_Brutas!AH24)),1,0))</f>
        <v/>
      </c>
      <c r="I24" s="4" t="str">
        <f>IF(Respostas_Brutas!B24="","",IF(ISNUMBER(SEARCH("Sim",Respostas_Brutas!AL24)),1,0))</f>
        <v/>
      </c>
      <c r="J24" s="4" t="str">
        <f>IF(Respostas_Brutas!B24="","",IF(Respostas_Brutas!AN24="","",MIN(1,MAX(0,(N(Respostas_Brutas!AN24)-1)/4))))</f>
        <v/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tr">
        <f>IF(Respostas_Brutas!B25="","",Respostas_Brutas!B25)</f>
        <v/>
      </c>
      <c r="B25" s="4" t="str">
        <f>IF(Respostas_Brutas!B25="","",IFERROR(IF(IFERROR(VALUE(TRIM(SUBSTITUTE(SUBSTITUTE(SUBSTITUTE(TRIM(Respostas_Brutas!AS25),"R$",""),".",""),",","."))),0)=0,"",(IFERROR(VALUE(TRIM(SUBSTITUTE(SUBSTITUTE(SUBSTITUTE(TRIM(Respostas_Brutas!AS25),"R$",""),".",""),",","."))),0)-IFERROR(VALUE(TRIM(SUBSTITUTE(SUBSTITUTE(SUBSTITUTE(TRIM(Respostas_Brutas!T25),"R$",""),".",""),",","."))),0))/IFERROR(VALUE(TRIM(SUBSTITUTE(SUBSTITUTE(SUBSTITUTE(TRIM(Respostas_Brutas!AS25),"R$",""),".",""),",","."))),0)),""))</f>
        <v/>
      </c>
      <c r="C25" s="4" t="str">
        <f>IF(Respostas_Brutas!B25="","",MIN(1,(IFERROR(VALUE(LEFT(Respostas_Brutas!I25,IFERROR(FIND(" ",Respostas_Brutas!I25)-1,LEN(Respostas_Brutas!I25)))),0)+IFERROR(VALUE(LEFT(Respostas_Brutas!O25,IFERROR(FIND(" ",Respostas_Brutas!O25)-1,LEN(Respostas_Brutas!O25)))),0))/20))</f>
        <v/>
      </c>
      <c r="D25" s="4" t="str">
        <f>IF(Respostas_Brutas!B25="","",IF(Respostas_Brutas!D25="","",MIN(1,MAX(0,(YEAR(TODAY())-N(Respostas_Brutas!D25))/15))))</f>
        <v/>
      </c>
      <c r="E25" s="4" t="str">
        <f>IF(Respostas_Brutas!B25="","",IF(ISNUMBER(SEARCH("Sim",Respostas_Brutas!S25)),1,0))</f>
        <v/>
      </c>
      <c r="F25" s="4" t="str">
        <f>IF(Respostas_Brutas!B25="","",IFERROR(N(Respostas_Brutas!Y25)/N(Respostas_Brutas!Z25),""))</f>
        <v/>
      </c>
      <c r="G25" s="4" t="str">
        <f>IF(Respostas_Brutas!B25="","",IF(Respostas_Brutas!K25&lt;&gt;"",1,0))</f>
        <v/>
      </c>
      <c r="H25" s="4" t="str">
        <f>IF(Respostas_Brutas!B25="","",IF(ISNUMBER(SEARCH("Não",Respostas_Brutas!AH25)),1,0))</f>
        <v/>
      </c>
      <c r="I25" s="4" t="str">
        <f>IF(Respostas_Brutas!B25="","",IF(ISNUMBER(SEARCH("Sim",Respostas_Brutas!AL25)),1,0))</f>
        <v/>
      </c>
      <c r="J25" s="4" t="str">
        <f>IF(Respostas_Brutas!B25="","",IF(Respostas_Brutas!AN25="","",MIN(1,MAX(0,(N(Respostas_Brutas!AN25)-1)/4))))</f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tr">
        <f>IF(Respostas_Brutas!B26="","",Respostas_Brutas!B26)</f>
        <v/>
      </c>
      <c r="B26" s="4" t="str">
        <f>IF(Respostas_Brutas!B26="","",IFERROR(IF(IFERROR(VALUE(TRIM(SUBSTITUTE(SUBSTITUTE(SUBSTITUTE(TRIM(Respostas_Brutas!AS26),"R$",""),".",""),",","."))),0)=0,"",(IFERROR(VALUE(TRIM(SUBSTITUTE(SUBSTITUTE(SUBSTITUTE(TRIM(Respostas_Brutas!AS26),"R$",""),".",""),",","."))),0)-IFERROR(VALUE(TRIM(SUBSTITUTE(SUBSTITUTE(SUBSTITUTE(TRIM(Respostas_Brutas!T26),"R$",""),".",""),",","."))),0))/IFERROR(VALUE(TRIM(SUBSTITUTE(SUBSTITUTE(SUBSTITUTE(TRIM(Respostas_Brutas!AS26),"R$",""),".",""),",","."))),0)),""))</f>
        <v/>
      </c>
      <c r="C26" s="4" t="str">
        <f>IF(Respostas_Brutas!B26="","",MIN(1,(IFERROR(VALUE(LEFT(Respostas_Brutas!I26,IFERROR(FIND(" ",Respostas_Brutas!I26)-1,LEN(Respostas_Brutas!I26)))),0)+IFERROR(VALUE(LEFT(Respostas_Brutas!O26,IFERROR(FIND(" ",Respostas_Brutas!O26)-1,LEN(Respostas_Brutas!O26)))),0))/20))</f>
        <v/>
      </c>
      <c r="D26" s="4" t="str">
        <f>IF(Respostas_Brutas!B26="","",IF(Respostas_Brutas!D26="","",MIN(1,MAX(0,(YEAR(TODAY())-N(Respostas_Brutas!D26))/15))))</f>
        <v/>
      </c>
      <c r="E26" s="4" t="str">
        <f>IF(Respostas_Brutas!B26="","",IF(ISNUMBER(SEARCH("Sim",Respostas_Brutas!S26)),1,0))</f>
        <v/>
      </c>
      <c r="F26" s="4" t="str">
        <f>IF(Respostas_Brutas!B26="","",IFERROR(N(Respostas_Brutas!Y26)/N(Respostas_Brutas!Z26),""))</f>
        <v/>
      </c>
      <c r="G26" s="4" t="str">
        <f>IF(Respostas_Brutas!B26="","",IF(Respostas_Brutas!K26&lt;&gt;"",1,0))</f>
        <v/>
      </c>
      <c r="H26" s="4" t="str">
        <f>IF(Respostas_Brutas!B26="","",IF(ISNUMBER(SEARCH("Não",Respostas_Brutas!AH26)),1,0))</f>
        <v/>
      </c>
      <c r="I26" s="4" t="str">
        <f>IF(Respostas_Brutas!B26="","",IF(ISNUMBER(SEARCH("Sim",Respostas_Brutas!AL26)),1,0))</f>
        <v/>
      </c>
      <c r="J26" s="4" t="str">
        <f>IF(Respostas_Brutas!B26="","",IF(Respostas_Brutas!AN26="","",MIN(1,MAX(0,(N(Respostas_Brutas!AN26)-1)/4))))</f>
        <v/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tr">
        <f>IF(Respostas_Brutas!B27="","",Respostas_Brutas!B27)</f>
        <v/>
      </c>
      <c r="B27" s="4" t="str">
        <f>IF(Respostas_Brutas!B27="","",IFERROR(IF(IFERROR(VALUE(TRIM(SUBSTITUTE(SUBSTITUTE(SUBSTITUTE(TRIM(Respostas_Brutas!AS27),"R$",""),".",""),",","."))),0)=0,"",(IFERROR(VALUE(TRIM(SUBSTITUTE(SUBSTITUTE(SUBSTITUTE(TRIM(Respostas_Brutas!AS27),"R$",""),".",""),",","."))),0)-IFERROR(VALUE(TRIM(SUBSTITUTE(SUBSTITUTE(SUBSTITUTE(TRIM(Respostas_Brutas!T27),"R$",""),".",""),",","."))),0))/IFERROR(VALUE(TRIM(SUBSTITUTE(SUBSTITUTE(SUBSTITUTE(TRIM(Respostas_Brutas!AS27),"R$",""),".",""),",","."))),0)),""))</f>
        <v/>
      </c>
      <c r="C27" s="4" t="str">
        <f>IF(Respostas_Brutas!B27="","",MIN(1,(IFERROR(VALUE(LEFT(Respostas_Brutas!I27,IFERROR(FIND(" ",Respostas_Brutas!I27)-1,LEN(Respostas_Brutas!I27)))),0)+IFERROR(VALUE(LEFT(Respostas_Brutas!O27,IFERROR(FIND(" ",Respostas_Brutas!O27)-1,LEN(Respostas_Brutas!O27)))),0))/20))</f>
        <v/>
      </c>
      <c r="D27" s="4" t="str">
        <f>IF(Respostas_Brutas!B27="","",IF(Respostas_Brutas!D27="","",MIN(1,MAX(0,(YEAR(TODAY())-N(Respostas_Brutas!D27))/15))))</f>
        <v/>
      </c>
      <c r="E27" s="4" t="str">
        <f>IF(Respostas_Brutas!B27="","",IF(ISNUMBER(SEARCH("Sim",Respostas_Brutas!S27)),1,0))</f>
        <v/>
      </c>
      <c r="F27" s="4" t="str">
        <f>IF(Respostas_Brutas!B27="","",IFERROR(N(Respostas_Brutas!Y27)/N(Respostas_Brutas!Z27),""))</f>
        <v/>
      </c>
      <c r="G27" s="4" t="str">
        <f>IF(Respostas_Brutas!B27="","",IF(Respostas_Brutas!K27&lt;&gt;"",1,0))</f>
        <v/>
      </c>
      <c r="H27" s="4" t="str">
        <f>IF(Respostas_Brutas!B27="","",IF(ISNUMBER(SEARCH("Não",Respostas_Brutas!AH27)),1,0))</f>
        <v/>
      </c>
      <c r="I27" s="4" t="str">
        <f>IF(Respostas_Brutas!B27="","",IF(ISNUMBER(SEARCH("Sim",Respostas_Brutas!AL27)),1,0))</f>
        <v/>
      </c>
      <c r="J27" s="4" t="str">
        <f>IF(Respostas_Brutas!B27="","",IF(Respostas_Brutas!AN27="","",MIN(1,MAX(0,(N(Respostas_Brutas!AN27)-1)/4))))</f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tr">
        <f>IF(Respostas_Brutas!B28="","",Respostas_Brutas!B28)</f>
        <v/>
      </c>
      <c r="B28" s="4" t="str">
        <f>IF(Respostas_Brutas!B28="","",IFERROR(IF(IFERROR(VALUE(TRIM(SUBSTITUTE(SUBSTITUTE(SUBSTITUTE(TRIM(Respostas_Brutas!AS28),"R$",""),".",""),",","."))),0)=0,"",(IFERROR(VALUE(TRIM(SUBSTITUTE(SUBSTITUTE(SUBSTITUTE(TRIM(Respostas_Brutas!AS28),"R$",""),".",""),",","."))),0)-IFERROR(VALUE(TRIM(SUBSTITUTE(SUBSTITUTE(SUBSTITUTE(TRIM(Respostas_Brutas!T28),"R$",""),".",""),",","."))),0))/IFERROR(VALUE(TRIM(SUBSTITUTE(SUBSTITUTE(SUBSTITUTE(TRIM(Respostas_Brutas!AS28),"R$",""),".",""),",","."))),0)),""))</f>
        <v/>
      </c>
      <c r="C28" s="4" t="str">
        <f>IF(Respostas_Brutas!B28="","",MIN(1,(IFERROR(VALUE(LEFT(Respostas_Brutas!I28,IFERROR(FIND(" ",Respostas_Brutas!I28)-1,LEN(Respostas_Brutas!I28)))),0)+IFERROR(VALUE(LEFT(Respostas_Brutas!O28,IFERROR(FIND(" ",Respostas_Brutas!O28)-1,LEN(Respostas_Brutas!O28)))),0))/20))</f>
        <v/>
      </c>
      <c r="D28" s="4" t="str">
        <f>IF(Respostas_Brutas!B28="","",IF(Respostas_Brutas!D28="","",MIN(1,MAX(0,(YEAR(TODAY())-N(Respostas_Brutas!D28))/15))))</f>
        <v/>
      </c>
      <c r="E28" s="4" t="str">
        <f>IF(Respostas_Brutas!B28="","",IF(ISNUMBER(SEARCH("Sim",Respostas_Brutas!S28)),1,0))</f>
        <v/>
      </c>
      <c r="F28" s="4" t="str">
        <f>IF(Respostas_Brutas!B28="","",IFERROR(N(Respostas_Brutas!Y28)/N(Respostas_Brutas!Z28),""))</f>
        <v/>
      </c>
      <c r="G28" s="4" t="str">
        <f>IF(Respostas_Brutas!B28="","",IF(Respostas_Brutas!K28&lt;&gt;"",1,0))</f>
        <v/>
      </c>
      <c r="H28" s="4" t="str">
        <f>IF(Respostas_Brutas!B28="","",IF(ISNUMBER(SEARCH("Não",Respostas_Brutas!AH28)),1,0))</f>
        <v/>
      </c>
      <c r="I28" s="4" t="str">
        <f>IF(Respostas_Brutas!B28="","",IF(ISNUMBER(SEARCH("Sim",Respostas_Brutas!AL28)),1,0))</f>
        <v/>
      </c>
      <c r="J28" s="4" t="str">
        <f>IF(Respostas_Brutas!B28="","",IF(Respostas_Brutas!AN28="","",MIN(1,MAX(0,(N(Respostas_Brutas!AN28)-1)/4))))</f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tr">
        <f>IF(Respostas_Brutas!B29="","",Respostas_Brutas!B29)</f>
        <v/>
      </c>
      <c r="B29" s="4" t="str">
        <f>IF(Respostas_Brutas!B29="","",IFERROR(IF(IFERROR(VALUE(TRIM(SUBSTITUTE(SUBSTITUTE(SUBSTITUTE(TRIM(Respostas_Brutas!AS29),"R$",""),".",""),",","."))),0)=0,"",(IFERROR(VALUE(TRIM(SUBSTITUTE(SUBSTITUTE(SUBSTITUTE(TRIM(Respostas_Brutas!AS29),"R$",""),".",""),",","."))),0)-IFERROR(VALUE(TRIM(SUBSTITUTE(SUBSTITUTE(SUBSTITUTE(TRIM(Respostas_Brutas!T29),"R$",""),".",""),",","."))),0))/IFERROR(VALUE(TRIM(SUBSTITUTE(SUBSTITUTE(SUBSTITUTE(TRIM(Respostas_Brutas!AS29),"R$",""),".",""),",","."))),0)),""))</f>
        <v/>
      </c>
      <c r="C29" s="4" t="str">
        <f>IF(Respostas_Brutas!B29="","",MIN(1,(IFERROR(VALUE(LEFT(Respostas_Brutas!I29,IFERROR(FIND(" ",Respostas_Brutas!I29)-1,LEN(Respostas_Brutas!I29)))),0)+IFERROR(VALUE(LEFT(Respostas_Brutas!O29,IFERROR(FIND(" ",Respostas_Brutas!O29)-1,LEN(Respostas_Brutas!O29)))),0))/20))</f>
        <v/>
      </c>
      <c r="D29" s="4" t="str">
        <f>IF(Respostas_Brutas!B29="","",IF(Respostas_Brutas!D29="","",MIN(1,MAX(0,(YEAR(TODAY())-N(Respostas_Brutas!D29))/15))))</f>
        <v/>
      </c>
      <c r="E29" s="4" t="str">
        <f>IF(Respostas_Brutas!B29="","",IF(ISNUMBER(SEARCH("Sim",Respostas_Brutas!S29)),1,0))</f>
        <v/>
      </c>
      <c r="F29" s="4" t="str">
        <f>IF(Respostas_Brutas!B29="","",IFERROR(N(Respostas_Brutas!Y29)/N(Respostas_Brutas!Z29),""))</f>
        <v/>
      </c>
      <c r="G29" s="4" t="str">
        <f>IF(Respostas_Brutas!B29="","",IF(Respostas_Brutas!K29&lt;&gt;"",1,0))</f>
        <v/>
      </c>
      <c r="H29" s="4" t="str">
        <f>IF(Respostas_Brutas!B29="","",IF(ISNUMBER(SEARCH("Não",Respostas_Brutas!AH29)),1,0))</f>
        <v/>
      </c>
      <c r="I29" s="4" t="str">
        <f>IF(Respostas_Brutas!B29="","",IF(ISNUMBER(SEARCH("Sim",Respostas_Brutas!AL29)),1,0))</f>
        <v/>
      </c>
      <c r="J29" s="4" t="str">
        <f>IF(Respostas_Brutas!B29="","",IF(Respostas_Brutas!AN29="","",MIN(1,MAX(0,(N(Respostas_Brutas!AN29)-1)/4))))</f>
        <v/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tr">
        <f>IF(Respostas_Brutas!B30="","",Respostas_Brutas!B30)</f>
        <v/>
      </c>
      <c r="B30" s="4" t="str">
        <f>IF(Respostas_Brutas!B30="","",IFERROR(IF(IFERROR(VALUE(TRIM(SUBSTITUTE(SUBSTITUTE(SUBSTITUTE(TRIM(Respostas_Brutas!AS30),"R$",""),".",""),",","."))),0)=0,"",(IFERROR(VALUE(TRIM(SUBSTITUTE(SUBSTITUTE(SUBSTITUTE(TRIM(Respostas_Brutas!AS30),"R$",""),".",""),",","."))),0)-IFERROR(VALUE(TRIM(SUBSTITUTE(SUBSTITUTE(SUBSTITUTE(TRIM(Respostas_Brutas!T30),"R$",""),".",""),",","."))),0))/IFERROR(VALUE(TRIM(SUBSTITUTE(SUBSTITUTE(SUBSTITUTE(TRIM(Respostas_Brutas!AS30),"R$",""),".",""),",","."))),0)),""))</f>
        <v/>
      </c>
      <c r="C30" s="4" t="str">
        <f>IF(Respostas_Brutas!B30="","",MIN(1,(IFERROR(VALUE(LEFT(Respostas_Brutas!I30,IFERROR(FIND(" ",Respostas_Brutas!I30)-1,LEN(Respostas_Brutas!I30)))),0)+IFERROR(VALUE(LEFT(Respostas_Brutas!O30,IFERROR(FIND(" ",Respostas_Brutas!O30)-1,LEN(Respostas_Brutas!O30)))),0))/20))</f>
        <v/>
      </c>
      <c r="D30" s="4" t="str">
        <f>IF(Respostas_Brutas!B30="","",IF(Respostas_Brutas!D30="","",MIN(1,MAX(0,(YEAR(TODAY())-N(Respostas_Brutas!D30))/15))))</f>
        <v/>
      </c>
      <c r="E30" s="4" t="str">
        <f>IF(Respostas_Brutas!B30="","",IF(ISNUMBER(SEARCH("Sim",Respostas_Brutas!S30)),1,0))</f>
        <v/>
      </c>
      <c r="F30" s="4" t="str">
        <f>IF(Respostas_Brutas!B30="","",IFERROR(N(Respostas_Brutas!Y30)/N(Respostas_Brutas!Z30),""))</f>
        <v/>
      </c>
      <c r="G30" s="4" t="str">
        <f>IF(Respostas_Brutas!B30="","",IF(Respostas_Brutas!K30&lt;&gt;"",1,0))</f>
        <v/>
      </c>
      <c r="H30" s="4" t="str">
        <f>IF(Respostas_Brutas!B30="","",IF(ISNUMBER(SEARCH("Não",Respostas_Brutas!AH30)),1,0))</f>
        <v/>
      </c>
      <c r="I30" s="4" t="str">
        <f>IF(Respostas_Brutas!B30="","",IF(ISNUMBER(SEARCH("Sim",Respostas_Brutas!AL30)),1,0))</f>
        <v/>
      </c>
      <c r="J30" s="4" t="str">
        <f>IF(Respostas_Brutas!B30="","",IF(Respostas_Brutas!AN30="","",MIN(1,MAX(0,(N(Respostas_Brutas!AN30)-1)/4))))</f>
        <v/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tr">
        <f>IF(Respostas_Brutas!B31="","",Respostas_Brutas!B31)</f>
        <v/>
      </c>
      <c r="B31" s="4" t="str">
        <f>IF(Respostas_Brutas!B31="","",IFERROR(IF(IFERROR(VALUE(TRIM(SUBSTITUTE(SUBSTITUTE(SUBSTITUTE(TRIM(Respostas_Brutas!AS31),"R$",""),".",""),",","."))),0)=0,"",(IFERROR(VALUE(TRIM(SUBSTITUTE(SUBSTITUTE(SUBSTITUTE(TRIM(Respostas_Brutas!AS31),"R$",""),".",""),",","."))),0)-IFERROR(VALUE(TRIM(SUBSTITUTE(SUBSTITUTE(SUBSTITUTE(TRIM(Respostas_Brutas!T31),"R$",""),".",""),",","."))),0))/IFERROR(VALUE(TRIM(SUBSTITUTE(SUBSTITUTE(SUBSTITUTE(TRIM(Respostas_Brutas!AS31),"R$",""),".",""),",","."))),0)),""))</f>
        <v/>
      </c>
      <c r="C31" s="4" t="str">
        <f>IF(Respostas_Brutas!B31="","",MIN(1,(IFERROR(VALUE(LEFT(Respostas_Brutas!I31,IFERROR(FIND(" ",Respostas_Brutas!I31)-1,LEN(Respostas_Brutas!I31)))),0)+IFERROR(VALUE(LEFT(Respostas_Brutas!O31,IFERROR(FIND(" ",Respostas_Brutas!O31)-1,LEN(Respostas_Brutas!O31)))),0))/20))</f>
        <v/>
      </c>
      <c r="D31" s="4" t="str">
        <f>IF(Respostas_Brutas!B31="","",IF(Respostas_Brutas!D31="","",MIN(1,MAX(0,(YEAR(TODAY())-N(Respostas_Brutas!D31))/15))))</f>
        <v/>
      </c>
      <c r="E31" s="4" t="str">
        <f>IF(Respostas_Brutas!B31="","",IF(ISNUMBER(SEARCH("Sim",Respostas_Brutas!S31)),1,0))</f>
        <v/>
      </c>
      <c r="F31" s="4" t="str">
        <f>IF(Respostas_Brutas!B31="","",IFERROR(N(Respostas_Brutas!Y31)/N(Respostas_Brutas!Z31),""))</f>
        <v/>
      </c>
      <c r="G31" s="4" t="str">
        <f>IF(Respostas_Brutas!B31="","",IF(Respostas_Brutas!K31&lt;&gt;"",1,0))</f>
        <v/>
      </c>
      <c r="H31" s="4" t="str">
        <f>IF(Respostas_Brutas!B31="","",IF(ISNUMBER(SEARCH("Não",Respostas_Brutas!AH31)),1,0))</f>
        <v/>
      </c>
      <c r="I31" s="4" t="str">
        <f>IF(Respostas_Brutas!B31="","",IF(ISNUMBER(SEARCH("Sim",Respostas_Brutas!AL31)),1,0))</f>
        <v/>
      </c>
      <c r="J31" s="4" t="str">
        <f>IF(Respostas_Brutas!B31="","",IF(Respostas_Brutas!AN31="","",MIN(1,MAX(0,(N(Respostas_Brutas!AN31)-1)/4))))</f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tr">
        <f>IF(Respostas_Brutas!B32="","",Respostas_Brutas!B32)</f>
        <v/>
      </c>
      <c r="B32" s="4" t="str">
        <f>IF(Respostas_Brutas!B32="","",IFERROR(IF(IFERROR(VALUE(TRIM(SUBSTITUTE(SUBSTITUTE(SUBSTITUTE(TRIM(Respostas_Brutas!AS32),"R$",""),".",""),",","."))),0)=0,"",(IFERROR(VALUE(TRIM(SUBSTITUTE(SUBSTITUTE(SUBSTITUTE(TRIM(Respostas_Brutas!AS32),"R$",""),".",""),",","."))),0)-IFERROR(VALUE(TRIM(SUBSTITUTE(SUBSTITUTE(SUBSTITUTE(TRIM(Respostas_Brutas!T32),"R$",""),".",""),",","."))),0))/IFERROR(VALUE(TRIM(SUBSTITUTE(SUBSTITUTE(SUBSTITUTE(TRIM(Respostas_Brutas!AS32),"R$",""),".",""),",","."))),0)),""))</f>
        <v/>
      </c>
      <c r="C32" s="4" t="str">
        <f>IF(Respostas_Brutas!B32="","",MIN(1,(IFERROR(VALUE(LEFT(Respostas_Brutas!I32,IFERROR(FIND(" ",Respostas_Brutas!I32)-1,LEN(Respostas_Brutas!I32)))),0)+IFERROR(VALUE(LEFT(Respostas_Brutas!O32,IFERROR(FIND(" ",Respostas_Brutas!O32)-1,LEN(Respostas_Brutas!O32)))),0))/20))</f>
        <v/>
      </c>
      <c r="D32" s="4" t="str">
        <f>IF(Respostas_Brutas!B32="","",IF(Respostas_Brutas!D32="","",MIN(1,MAX(0,(YEAR(TODAY())-N(Respostas_Brutas!D32))/15))))</f>
        <v/>
      </c>
      <c r="E32" s="4" t="str">
        <f>IF(Respostas_Brutas!B32="","",IF(ISNUMBER(SEARCH("Sim",Respostas_Brutas!S32)),1,0))</f>
        <v/>
      </c>
      <c r="F32" s="4" t="str">
        <f>IF(Respostas_Brutas!B32="","",IFERROR(N(Respostas_Brutas!Y32)/N(Respostas_Brutas!Z32),""))</f>
        <v/>
      </c>
      <c r="G32" s="4" t="str">
        <f>IF(Respostas_Brutas!B32="","",IF(Respostas_Brutas!K32&lt;&gt;"",1,0))</f>
        <v/>
      </c>
      <c r="H32" s="4" t="str">
        <f>IF(Respostas_Brutas!B32="","",IF(ISNUMBER(SEARCH("Não",Respostas_Brutas!AH32)),1,0))</f>
        <v/>
      </c>
      <c r="I32" s="4" t="str">
        <f>IF(Respostas_Brutas!B32="","",IF(ISNUMBER(SEARCH("Sim",Respostas_Brutas!AL32)),1,0))</f>
        <v/>
      </c>
      <c r="J32" s="4" t="str">
        <f>IF(Respostas_Brutas!B32="","",IF(Respostas_Brutas!AN32="","",MIN(1,MAX(0,(N(Respostas_Brutas!AN32)-1)/4))))</f>
        <v/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tr">
        <f>IF(Respostas_Brutas!B33="","",Respostas_Brutas!B33)</f>
        <v/>
      </c>
      <c r="B33" s="4" t="str">
        <f>IF(Respostas_Brutas!B33="","",IFERROR(IF(IFERROR(VALUE(TRIM(SUBSTITUTE(SUBSTITUTE(SUBSTITUTE(TRIM(Respostas_Brutas!AS33),"R$",""),".",""),",","."))),0)=0,"",(IFERROR(VALUE(TRIM(SUBSTITUTE(SUBSTITUTE(SUBSTITUTE(TRIM(Respostas_Brutas!AS33),"R$",""),".",""),",","."))),0)-IFERROR(VALUE(TRIM(SUBSTITUTE(SUBSTITUTE(SUBSTITUTE(TRIM(Respostas_Brutas!T33),"R$",""),".",""),",","."))),0))/IFERROR(VALUE(TRIM(SUBSTITUTE(SUBSTITUTE(SUBSTITUTE(TRIM(Respostas_Brutas!AS33),"R$",""),".",""),",","."))),0)),""))</f>
        <v/>
      </c>
      <c r="C33" s="4" t="str">
        <f>IF(Respostas_Brutas!B33="","",MIN(1,(IFERROR(VALUE(LEFT(Respostas_Brutas!I33,IFERROR(FIND(" ",Respostas_Brutas!I33)-1,LEN(Respostas_Brutas!I33)))),0)+IFERROR(VALUE(LEFT(Respostas_Brutas!O33,IFERROR(FIND(" ",Respostas_Brutas!O33)-1,LEN(Respostas_Brutas!O33)))),0))/20))</f>
        <v/>
      </c>
      <c r="D33" s="4" t="str">
        <f>IF(Respostas_Brutas!B33="","",IF(Respostas_Brutas!D33="","",MIN(1,MAX(0,(YEAR(TODAY())-N(Respostas_Brutas!D33))/15))))</f>
        <v/>
      </c>
      <c r="E33" s="4" t="str">
        <f>IF(Respostas_Brutas!B33="","",IF(ISNUMBER(SEARCH("Sim",Respostas_Brutas!S33)),1,0))</f>
        <v/>
      </c>
      <c r="F33" s="4" t="str">
        <f>IF(Respostas_Brutas!B33="","",IFERROR(N(Respostas_Brutas!Y33)/N(Respostas_Brutas!Z33),""))</f>
        <v/>
      </c>
      <c r="G33" s="4" t="str">
        <f>IF(Respostas_Brutas!B33="","",IF(Respostas_Brutas!K33&lt;&gt;"",1,0))</f>
        <v/>
      </c>
      <c r="H33" s="4" t="str">
        <f>IF(Respostas_Brutas!B33="","",IF(ISNUMBER(SEARCH("Não",Respostas_Brutas!AH33)),1,0))</f>
        <v/>
      </c>
      <c r="I33" s="4" t="str">
        <f>IF(Respostas_Brutas!B33="","",IF(ISNUMBER(SEARCH("Sim",Respostas_Brutas!AL33)),1,0))</f>
        <v/>
      </c>
      <c r="J33" s="4" t="str">
        <f>IF(Respostas_Brutas!B33="","",IF(Respostas_Brutas!AN33="","",MIN(1,MAX(0,(N(Respostas_Brutas!AN33)-1)/4))))</f>
        <v/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tr">
        <f>IF(Respostas_Brutas!B34="","",Respostas_Brutas!B34)</f>
        <v/>
      </c>
      <c r="B34" s="4" t="str">
        <f>IF(Respostas_Brutas!B34="","",IFERROR(IF(IFERROR(VALUE(TRIM(SUBSTITUTE(SUBSTITUTE(SUBSTITUTE(TRIM(Respostas_Brutas!AS34),"R$",""),".",""),",","."))),0)=0,"",(IFERROR(VALUE(TRIM(SUBSTITUTE(SUBSTITUTE(SUBSTITUTE(TRIM(Respostas_Brutas!AS34),"R$",""),".",""),",","."))),0)-IFERROR(VALUE(TRIM(SUBSTITUTE(SUBSTITUTE(SUBSTITUTE(TRIM(Respostas_Brutas!T34),"R$",""),".",""),",","."))),0))/IFERROR(VALUE(TRIM(SUBSTITUTE(SUBSTITUTE(SUBSTITUTE(TRIM(Respostas_Brutas!AS34),"R$",""),".",""),",","."))),0)),""))</f>
        <v/>
      </c>
      <c r="C34" s="4" t="str">
        <f>IF(Respostas_Brutas!B34="","",MIN(1,(IFERROR(VALUE(LEFT(Respostas_Brutas!I34,IFERROR(FIND(" ",Respostas_Brutas!I34)-1,LEN(Respostas_Brutas!I34)))),0)+IFERROR(VALUE(LEFT(Respostas_Brutas!O34,IFERROR(FIND(" ",Respostas_Brutas!O34)-1,LEN(Respostas_Brutas!O34)))),0))/20))</f>
        <v/>
      </c>
      <c r="D34" s="4" t="str">
        <f>IF(Respostas_Brutas!B34="","",IF(Respostas_Brutas!D34="","",MIN(1,MAX(0,(YEAR(TODAY())-N(Respostas_Brutas!D34))/15))))</f>
        <v/>
      </c>
      <c r="E34" s="4" t="str">
        <f>IF(Respostas_Brutas!B34="","",IF(ISNUMBER(SEARCH("Sim",Respostas_Brutas!S34)),1,0))</f>
        <v/>
      </c>
      <c r="F34" s="4" t="str">
        <f>IF(Respostas_Brutas!B34="","",IFERROR(N(Respostas_Brutas!Y34)/N(Respostas_Brutas!Z34),""))</f>
        <v/>
      </c>
      <c r="G34" s="4" t="str">
        <f>IF(Respostas_Brutas!B34="","",IF(Respostas_Brutas!K34&lt;&gt;"",1,0))</f>
        <v/>
      </c>
      <c r="H34" s="4" t="str">
        <f>IF(Respostas_Brutas!B34="","",IF(ISNUMBER(SEARCH("Não",Respostas_Brutas!AH34)),1,0))</f>
        <v/>
      </c>
      <c r="I34" s="4" t="str">
        <f>IF(Respostas_Brutas!B34="","",IF(ISNUMBER(SEARCH("Sim",Respostas_Brutas!AL34)),1,0))</f>
        <v/>
      </c>
      <c r="J34" s="4" t="str">
        <f>IF(Respostas_Brutas!B34="","",IF(Respostas_Brutas!AN34="","",MIN(1,MAX(0,(N(Respostas_Brutas!AN34)-1)/4))))</f>
        <v/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tr">
        <f>IF(Respostas_Brutas!B35="","",Respostas_Brutas!B35)</f>
        <v/>
      </c>
      <c r="B35" s="4" t="str">
        <f>IF(Respostas_Brutas!B35="","",IFERROR(IF(IFERROR(VALUE(TRIM(SUBSTITUTE(SUBSTITUTE(SUBSTITUTE(TRIM(Respostas_Brutas!AS35),"R$",""),".",""),",","."))),0)=0,"",(IFERROR(VALUE(TRIM(SUBSTITUTE(SUBSTITUTE(SUBSTITUTE(TRIM(Respostas_Brutas!AS35),"R$",""),".",""),",","."))),0)-IFERROR(VALUE(TRIM(SUBSTITUTE(SUBSTITUTE(SUBSTITUTE(TRIM(Respostas_Brutas!T35),"R$",""),".",""),",","."))),0))/IFERROR(VALUE(TRIM(SUBSTITUTE(SUBSTITUTE(SUBSTITUTE(TRIM(Respostas_Brutas!AS35),"R$",""),".",""),",","."))),0)),""))</f>
        <v/>
      </c>
      <c r="C35" s="4" t="str">
        <f>IF(Respostas_Brutas!B35="","",MIN(1,(IFERROR(VALUE(LEFT(Respostas_Brutas!I35,IFERROR(FIND(" ",Respostas_Brutas!I35)-1,LEN(Respostas_Brutas!I35)))),0)+IFERROR(VALUE(LEFT(Respostas_Brutas!O35,IFERROR(FIND(" ",Respostas_Brutas!O35)-1,LEN(Respostas_Brutas!O35)))),0))/20))</f>
        <v/>
      </c>
      <c r="D35" s="4" t="str">
        <f>IF(Respostas_Brutas!B35="","",IF(Respostas_Brutas!D35="","",MIN(1,MAX(0,(YEAR(TODAY())-N(Respostas_Brutas!D35))/15))))</f>
        <v/>
      </c>
      <c r="E35" s="4" t="str">
        <f>IF(Respostas_Brutas!B35="","",IF(ISNUMBER(SEARCH("Sim",Respostas_Brutas!S35)),1,0))</f>
        <v/>
      </c>
      <c r="F35" s="4" t="str">
        <f>IF(Respostas_Brutas!B35="","",IFERROR(N(Respostas_Brutas!Y35)/N(Respostas_Brutas!Z35),""))</f>
        <v/>
      </c>
      <c r="G35" s="4" t="str">
        <f>IF(Respostas_Brutas!B35="","",IF(Respostas_Brutas!K35&lt;&gt;"",1,0))</f>
        <v/>
      </c>
      <c r="H35" s="4" t="str">
        <f>IF(Respostas_Brutas!B35="","",IF(ISNUMBER(SEARCH("Não",Respostas_Brutas!AH35)),1,0))</f>
        <v/>
      </c>
      <c r="I35" s="4" t="str">
        <f>IF(Respostas_Brutas!B35="","",IF(ISNUMBER(SEARCH("Sim",Respostas_Brutas!AL35)),1,0))</f>
        <v/>
      </c>
      <c r="J35" s="4" t="str">
        <f>IF(Respostas_Brutas!B35="","",IF(Respostas_Brutas!AN35="","",MIN(1,MAX(0,(N(Respostas_Brutas!AN35)-1)/4))))</f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tr">
        <f>IF(Respostas_Brutas!B36="","",Respostas_Brutas!B36)</f>
        <v/>
      </c>
      <c r="B36" s="4" t="str">
        <f>IF(Respostas_Brutas!B36="","",IFERROR(IF(IFERROR(VALUE(TRIM(SUBSTITUTE(SUBSTITUTE(SUBSTITUTE(TRIM(Respostas_Brutas!AS36),"R$",""),".",""),",","."))),0)=0,"",(IFERROR(VALUE(TRIM(SUBSTITUTE(SUBSTITUTE(SUBSTITUTE(TRIM(Respostas_Brutas!AS36),"R$",""),".",""),",","."))),0)-IFERROR(VALUE(TRIM(SUBSTITUTE(SUBSTITUTE(SUBSTITUTE(TRIM(Respostas_Brutas!T36),"R$",""),".",""),",","."))),0))/IFERROR(VALUE(TRIM(SUBSTITUTE(SUBSTITUTE(SUBSTITUTE(TRIM(Respostas_Brutas!AS36),"R$",""),".",""),",","."))),0)),""))</f>
        <v/>
      </c>
      <c r="C36" s="4" t="str">
        <f>IF(Respostas_Brutas!B36="","",MIN(1,(IFERROR(VALUE(LEFT(Respostas_Brutas!I36,IFERROR(FIND(" ",Respostas_Brutas!I36)-1,LEN(Respostas_Brutas!I36)))),0)+IFERROR(VALUE(LEFT(Respostas_Brutas!O36,IFERROR(FIND(" ",Respostas_Brutas!O36)-1,LEN(Respostas_Brutas!O36)))),0))/20))</f>
        <v/>
      </c>
      <c r="D36" s="4" t="str">
        <f>IF(Respostas_Brutas!B36="","",IF(Respostas_Brutas!D36="","",MIN(1,MAX(0,(YEAR(TODAY())-N(Respostas_Brutas!D36))/15))))</f>
        <v/>
      </c>
      <c r="E36" s="4" t="str">
        <f>IF(Respostas_Brutas!B36="","",IF(ISNUMBER(SEARCH("Sim",Respostas_Brutas!S36)),1,0))</f>
        <v/>
      </c>
      <c r="F36" s="4" t="str">
        <f>IF(Respostas_Brutas!B36="","",IFERROR(N(Respostas_Brutas!Y36)/N(Respostas_Brutas!Z36),""))</f>
        <v/>
      </c>
      <c r="G36" s="4" t="str">
        <f>IF(Respostas_Brutas!B36="","",IF(Respostas_Brutas!K36&lt;&gt;"",1,0))</f>
        <v/>
      </c>
      <c r="H36" s="4" t="str">
        <f>IF(Respostas_Brutas!B36="","",IF(ISNUMBER(SEARCH("Não",Respostas_Brutas!AH36)),1,0))</f>
        <v/>
      </c>
      <c r="I36" s="4" t="str">
        <f>IF(Respostas_Brutas!B36="","",IF(ISNUMBER(SEARCH("Sim",Respostas_Brutas!AL36)),1,0))</f>
        <v/>
      </c>
      <c r="J36" s="4" t="str">
        <f>IF(Respostas_Brutas!B36="","",IF(Respostas_Brutas!AN36="","",MIN(1,MAX(0,(N(Respostas_Brutas!AN36)-1)/4))))</f>
        <v/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tr">
        <f>IF(Respostas_Brutas!B37="","",Respostas_Brutas!B37)</f>
        <v/>
      </c>
      <c r="B37" s="4" t="str">
        <f>IF(Respostas_Brutas!B37="","",IFERROR(IF(IFERROR(VALUE(TRIM(SUBSTITUTE(SUBSTITUTE(SUBSTITUTE(TRIM(Respostas_Brutas!AS37),"R$",""),".",""),",","."))),0)=0,"",(IFERROR(VALUE(TRIM(SUBSTITUTE(SUBSTITUTE(SUBSTITUTE(TRIM(Respostas_Brutas!AS37),"R$",""),".",""),",","."))),0)-IFERROR(VALUE(TRIM(SUBSTITUTE(SUBSTITUTE(SUBSTITUTE(TRIM(Respostas_Brutas!T37),"R$",""),".",""),",","."))),0))/IFERROR(VALUE(TRIM(SUBSTITUTE(SUBSTITUTE(SUBSTITUTE(TRIM(Respostas_Brutas!AS37),"R$",""),".",""),",","."))),0)),""))</f>
        <v/>
      </c>
      <c r="C37" s="4" t="str">
        <f>IF(Respostas_Brutas!B37="","",MIN(1,(IFERROR(VALUE(LEFT(Respostas_Brutas!I37,IFERROR(FIND(" ",Respostas_Brutas!I37)-1,LEN(Respostas_Brutas!I37)))),0)+IFERROR(VALUE(LEFT(Respostas_Brutas!O37,IFERROR(FIND(" ",Respostas_Brutas!O37)-1,LEN(Respostas_Brutas!O37)))),0))/20))</f>
        <v/>
      </c>
      <c r="D37" s="4" t="str">
        <f>IF(Respostas_Brutas!B37="","",IF(Respostas_Brutas!D37="","",MIN(1,MAX(0,(YEAR(TODAY())-N(Respostas_Brutas!D37))/15))))</f>
        <v/>
      </c>
      <c r="E37" s="4" t="str">
        <f>IF(Respostas_Brutas!B37="","",IF(ISNUMBER(SEARCH("Sim",Respostas_Brutas!S37)),1,0))</f>
        <v/>
      </c>
      <c r="F37" s="4" t="str">
        <f>IF(Respostas_Brutas!B37="","",IFERROR(N(Respostas_Brutas!Y37)/N(Respostas_Brutas!Z37),""))</f>
        <v/>
      </c>
      <c r="G37" s="4" t="str">
        <f>IF(Respostas_Brutas!B37="","",IF(Respostas_Brutas!K37&lt;&gt;"",1,0))</f>
        <v/>
      </c>
      <c r="H37" s="4" t="str">
        <f>IF(Respostas_Brutas!B37="","",IF(ISNUMBER(SEARCH("Não",Respostas_Brutas!AH37)),1,0))</f>
        <v/>
      </c>
      <c r="I37" s="4" t="str">
        <f>IF(Respostas_Brutas!B37="","",IF(ISNUMBER(SEARCH("Sim",Respostas_Brutas!AL37)),1,0))</f>
        <v/>
      </c>
      <c r="J37" s="4" t="str">
        <f>IF(Respostas_Brutas!B37="","",IF(Respostas_Brutas!AN37="","",MIN(1,MAX(0,(N(Respostas_Brutas!AN37)-1)/4))))</f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tr">
        <f>IF(Respostas_Brutas!B38="","",Respostas_Brutas!B38)</f>
        <v/>
      </c>
      <c r="B38" s="4" t="str">
        <f>IF(Respostas_Brutas!B38="","",IFERROR(IF(IFERROR(VALUE(TRIM(SUBSTITUTE(SUBSTITUTE(SUBSTITUTE(TRIM(Respostas_Brutas!AS38),"R$",""),".",""),",","."))),0)=0,"",(IFERROR(VALUE(TRIM(SUBSTITUTE(SUBSTITUTE(SUBSTITUTE(TRIM(Respostas_Brutas!AS38),"R$",""),".",""),",","."))),0)-IFERROR(VALUE(TRIM(SUBSTITUTE(SUBSTITUTE(SUBSTITUTE(TRIM(Respostas_Brutas!T38),"R$",""),".",""),",","."))),0))/IFERROR(VALUE(TRIM(SUBSTITUTE(SUBSTITUTE(SUBSTITUTE(TRIM(Respostas_Brutas!AS38),"R$",""),".",""),",","."))),0)),""))</f>
        <v/>
      </c>
      <c r="C38" s="4" t="str">
        <f>IF(Respostas_Brutas!B38="","",MIN(1,(IFERROR(VALUE(LEFT(Respostas_Brutas!I38,IFERROR(FIND(" ",Respostas_Brutas!I38)-1,LEN(Respostas_Brutas!I38)))),0)+IFERROR(VALUE(LEFT(Respostas_Brutas!O38,IFERROR(FIND(" ",Respostas_Brutas!O38)-1,LEN(Respostas_Brutas!O38)))),0))/20))</f>
        <v/>
      </c>
      <c r="D38" s="4" t="str">
        <f>IF(Respostas_Brutas!B38="","",IF(Respostas_Brutas!D38="","",MIN(1,MAX(0,(YEAR(TODAY())-N(Respostas_Brutas!D38))/15))))</f>
        <v/>
      </c>
      <c r="E38" s="4" t="str">
        <f>IF(Respostas_Brutas!B38="","",IF(ISNUMBER(SEARCH("Sim",Respostas_Brutas!S38)),1,0))</f>
        <v/>
      </c>
      <c r="F38" s="4" t="str">
        <f>IF(Respostas_Brutas!B38="","",IFERROR(N(Respostas_Brutas!Y38)/N(Respostas_Brutas!Z38),""))</f>
        <v/>
      </c>
      <c r="G38" s="4" t="str">
        <f>IF(Respostas_Brutas!B38="","",IF(Respostas_Brutas!K38&lt;&gt;"",1,0))</f>
        <v/>
      </c>
      <c r="H38" s="4" t="str">
        <f>IF(Respostas_Brutas!B38="","",IF(ISNUMBER(SEARCH("Não",Respostas_Brutas!AH38)),1,0))</f>
        <v/>
      </c>
      <c r="I38" s="4" t="str">
        <f>IF(Respostas_Brutas!B38="","",IF(ISNUMBER(SEARCH("Sim",Respostas_Brutas!AL38)),1,0))</f>
        <v/>
      </c>
      <c r="J38" s="4" t="str">
        <f>IF(Respostas_Brutas!B38="","",IF(Respostas_Brutas!AN38="","",MIN(1,MAX(0,(N(Respostas_Brutas!AN38)-1)/4))))</f>
        <v/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tr">
        <f>IF(Respostas_Brutas!B39="","",Respostas_Brutas!B39)</f>
        <v/>
      </c>
      <c r="B39" s="4" t="str">
        <f>IF(Respostas_Brutas!B39="","",IFERROR(IF(IFERROR(VALUE(TRIM(SUBSTITUTE(SUBSTITUTE(SUBSTITUTE(TRIM(Respostas_Brutas!AS39),"R$",""),".",""),",","."))),0)=0,"",(IFERROR(VALUE(TRIM(SUBSTITUTE(SUBSTITUTE(SUBSTITUTE(TRIM(Respostas_Brutas!AS39),"R$",""),".",""),",","."))),0)-IFERROR(VALUE(TRIM(SUBSTITUTE(SUBSTITUTE(SUBSTITUTE(TRIM(Respostas_Brutas!T39),"R$",""),".",""),",","."))),0))/IFERROR(VALUE(TRIM(SUBSTITUTE(SUBSTITUTE(SUBSTITUTE(TRIM(Respostas_Brutas!AS39),"R$",""),".",""),",","."))),0)),""))</f>
        <v/>
      </c>
      <c r="C39" s="4" t="str">
        <f>IF(Respostas_Brutas!B39="","",MIN(1,(IFERROR(VALUE(LEFT(Respostas_Brutas!I39,IFERROR(FIND(" ",Respostas_Brutas!I39)-1,LEN(Respostas_Brutas!I39)))),0)+IFERROR(VALUE(LEFT(Respostas_Brutas!O39,IFERROR(FIND(" ",Respostas_Brutas!O39)-1,LEN(Respostas_Brutas!O39)))),0))/20))</f>
        <v/>
      </c>
      <c r="D39" s="4" t="str">
        <f>IF(Respostas_Brutas!B39="","",IF(Respostas_Brutas!D39="","",MIN(1,MAX(0,(YEAR(TODAY())-N(Respostas_Brutas!D39))/15))))</f>
        <v/>
      </c>
      <c r="E39" s="4" t="str">
        <f>IF(Respostas_Brutas!B39="","",IF(ISNUMBER(SEARCH("Sim",Respostas_Brutas!S39)),1,0))</f>
        <v/>
      </c>
      <c r="F39" s="4" t="str">
        <f>IF(Respostas_Brutas!B39="","",IFERROR(N(Respostas_Brutas!Y39)/N(Respostas_Brutas!Z39),""))</f>
        <v/>
      </c>
      <c r="G39" s="4" t="str">
        <f>IF(Respostas_Brutas!B39="","",IF(Respostas_Brutas!K39&lt;&gt;"",1,0))</f>
        <v/>
      </c>
      <c r="H39" s="4" t="str">
        <f>IF(Respostas_Brutas!B39="","",IF(ISNUMBER(SEARCH("Não",Respostas_Brutas!AH39)),1,0))</f>
        <v/>
      </c>
      <c r="I39" s="4" t="str">
        <f>IF(Respostas_Brutas!B39="","",IF(ISNUMBER(SEARCH("Sim",Respostas_Brutas!AL39)),1,0))</f>
        <v/>
      </c>
      <c r="J39" s="4" t="str">
        <f>IF(Respostas_Brutas!B39="","",IF(Respostas_Brutas!AN39="","",MIN(1,MAX(0,(N(Respostas_Brutas!AN39)-1)/4))))</f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tr">
        <f>IF(Respostas_Brutas!B40="","",Respostas_Brutas!B40)</f>
        <v/>
      </c>
      <c r="B40" s="4" t="str">
        <f>IF(Respostas_Brutas!B40="","",IFERROR(IF(IFERROR(VALUE(TRIM(SUBSTITUTE(SUBSTITUTE(SUBSTITUTE(TRIM(Respostas_Brutas!AS40),"R$",""),".",""),",","."))),0)=0,"",(IFERROR(VALUE(TRIM(SUBSTITUTE(SUBSTITUTE(SUBSTITUTE(TRIM(Respostas_Brutas!AS40),"R$",""),".",""),",","."))),0)-IFERROR(VALUE(TRIM(SUBSTITUTE(SUBSTITUTE(SUBSTITUTE(TRIM(Respostas_Brutas!T40),"R$",""),".",""),",","."))),0))/IFERROR(VALUE(TRIM(SUBSTITUTE(SUBSTITUTE(SUBSTITUTE(TRIM(Respostas_Brutas!AS40),"R$",""),".",""),",","."))),0)),""))</f>
        <v/>
      </c>
      <c r="C40" s="4" t="str">
        <f>IF(Respostas_Brutas!B40="","",MIN(1,(IFERROR(VALUE(LEFT(Respostas_Brutas!I40,IFERROR(FIND(" ",Respostas_Brutas!I40)-1,LEN(Respostas_Brutas!I40)))),0)+IFERROR(VALUE(LEFT(Respostas_Brutas!O40,IFERROR(FIND(" ",Respostas_Brutas!O40)-1,LEN(Respostas_Brutas!O40)))),0))/20))</f>
        <v/>
      </c>
      <c r="D40" s="4" t="str">
        <f>IF(Respostas_Brutas!B40="","",IF(Respostas_Brutas!D40="","",MIN(1,MAX(0,(YEAR(TODAY())-N(Respostas_Brutas!D40))/15))))</f>
        <v/>
      </c>
      <c r="E40" s="4" t="str">
        <f>IF(Respostas_Brutas!B40="","",IF(ISNUMBER(SEARCH("Sim",Respostas_Brutas!S40)),1,0))</f>
        <v/>
      </c>
      <c r="F40" s="4" t="str">
        <f>IF(Respostas_Brutas!B40="","",IFERROR(N(Respostas_Brutas!Y40)/N(Respostas_Brutas!Z40),""))</f>
        <v/>
      </c>
      <c r="G40" s="4" t="str">
        <f>IF(Respostas_Brutas!B40="","",IF(Respostas_Brutas!K40&lt;&gt;"",1,0))</f>
        <v/>
      </c>
      <c r="H40" s="4" t="str">
        <f>IF(Respostas_Brutas!B40="","",IF(ISNUMBER(SEARCH("Não",Respostas_Brutas!AH40)),1,0))</f>
        <v/>
      </c>
      <c r="I40" s="4" t="str">
        <f>IF(Respostas_Brutas!B40="","",IF(ISNUMBER(SEARCH("Sim",Respostas_Brutas!AL40)),1,0))</f>
        <v/>
      </c>
      <c r="J40" s="4" t="str">
        <f>IF(Respostas_Brutas!B40="","",IF(Respostas_Brutas!AN40="","",MIN(1,MAX(0,(N(Respostas_Brutas!AN40)-1)/4))))</f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tr">
        <f>IF(Respostas_Brutas!B41="","",Respostas_Brutas!B41)</f>
        <v/>
      </c>
      <c r="B41" s="4" t="str">
        <f>IF(Respostas_Brutas!B41="","",IFERROR(IF(IFERROR(VALUE(TRIM(SUBSTITUTE(SUBSTITUTE(SUBSTITUTE(TRIM(Respostas_Brutas!AS41),"R$",""),".",""),",","."))),0)=0,"",(IFERROR(VALUE(TRIM(SUBSTITUTE(SUBSTITUTE(SUBSTITUTE(TRIM(Respostas_Brutas!AS41),"R$",""),".",""),",","."))),0)-IFERROR(VALUE(TRIM(SUBSTITUTE(SUBSTITUTE(SUBSTITUTE(TRIM(Respostas_Brutas!T41),"R$",""),".",""),",","."))),0))/IFERROR(VALUE(TRIM(SUBSTITUTE(SUBSTITUTE(SUBSTITUTE(TRIM(Respostas_Brutas!AS41),"R$",""),".",""),",","."))),0)),""))</f>
        <v/>
      </c>
      <c r="C41" s="4" t="str">
        <f>IF(Respostas_Brutas!B41="","",MIN(1,(IFERROR(VALUE(LEFT(Respostas_Brutas!I41,IFERROR(FIND(" ",Respostas_Brutas!I41)-1,LEN(Respostas_Brutas!I41)))),0)+IFERROR(VALUE(LEFT(Respostas_Brutas!O41,IFERROR(FIND(" ",Respostas_Brutas!O41)-1,LEN(Respostas_Brutas!O41)))),0))/20))</f>
        <v/>
      </c>
      <c r="D41" s="4" t="str">
        <f>IF(Respostas_Brutas!B41="","",IF(Respostas_Brutas!D41="","",MIN(1,MAX(0,(YEAR(TODAY())-N(Respostas_Brutas!D41))/15))))</f>
        <v/>
      </c>
      <c r="E41" s="4" t="str">
        <f>IF(Respostas_Brutas!B41="","",IF(ISNUMBER(SEARCH("Sim",Respostas_Brutas!S41)),1,0))</f>
        <v/>
      </c>
      <c r="F41" s="4" t="str">
        <f>IF(Respostas_Brutas!B41="","",IFERROR(N(Respostas_Brutas!Y41)/N(Respostas_Brutas!Z41),""))</f>
        <v/>
      </c>
      <c r="G41" s="4" t="str">
        <f>IF(Respostas_Brutas!B41="","",IF(Respostas_Brutas!K41&lt;&gt;"",1,0))</f>
        <v/>
      </c>
      <c r="H41" s="4" t="str">
        <f>IF(Respostas_Brutas!B41="","",IF(ISNUMBER(SEARCH("Não",Respostas_Brutas!AH41)),1,0))</f>
        <v/>
      </c>
      <c r="I41" s="4" t="str">
        <f>IF(Respostas_Brutas!B41="","",IF(ISNUMBER(SEARCH("Sim",Respostas_Brutas!AL41)),1,0))</f>
        <v/>
      </c>
      <c r="J41" s="4" t="str">
        <f>IF(Respostas_Brutas!B41="","",IF(Respostas_Brutas!AN41="","",MIN(1,MAX(0,(N(Respostas_Brutas!AN41)-1)/4))))</f>
        <v/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tr">
        <f>IF(Respostas_Brutas!B42="","",Respostas_Brutas!B42)</f>
        <v/>
      </c>
      <c r="B42" s="4" t="str">
        <f>IF(Respostas_Brutas!B42="","",IFERROR(IF(IFERROR(VALUE(TRIM(SUBSTITUTE(SUBSTITUTE(SUBSTITUTE(TRIM(Respostas_Brutas!AS42),"R$",""),".",""),",","."))),0)=0,"",(IFERROR(VALUE(TRIM(SUBSTITUTE(SUBSTITUTE(SUBSTITUTE(TRIM(Respostas_Brutas!AS42),"R$",""),".",""),",","."))),0)-IFERROR(VALUE(TRIM(SUBSTITUTE(SUBSTITUTE(SUBSTITUTE(TRIM(Respostas_Brutas!T42),"R$",""),".",""),",","."))),0))/IFERROR(VALUE(TRIM(SUBSTITUTE(SUBSTITUTE(SUBSTITUTE(TRIM(Respostas_Brutas!AS42),"R$",""),".",""),",","."))),0)),""))</f>
        <v/>
      </c>
      <c r="C42" s="4" t="str">
        <f>IF(Respostas_Brutas!B42="","",MIN(1,(IFERROR(VALUE(LEFT(Respostas_Brutas!I42,IFERROR(FIND(" ",Respostas_Brutas!I42)-1,LEN(Respostas_Brutas!I42)))),0)+IFERROR(VALUE(LEFT(Respostas_Brutas!O42,IFERROR(FIND(" ",Respostas_Brutas!O42)-1,LEN(Respostas_Brutas!O42)))),0))/20))</f>
        <v/>
      </c>
      <c r="D42" s="4" t="str">
        <f>IF(Respostas_Brutas!B42="","",IF(Respostas_Brutas!D42="","",MIN(1,MAX(0,(YEAR(TODAY())-N(Respostas_Brutas!D42))/15))))</f>
        <v/>
      </c>
      <c r="E42" s="4" t="str">
        <f>IF(Respostas_Brutas!B42="","",IF(ISNUMBER(SEARCH("Sim",Respostas_Brutas!S42)),1,0))</f>
        <v/>
      </c>
      <c r="F42" s="4" t="str">
        <f>IF(Respostas_Brutas!B42="","",IFERROR(N(Respostas_Brutas!Y42)/N(Respostas_Brutas!Z42),""))</f>
        <v/>
      </c>
      <c r="G42" s="4" t="str">
        <f>IF(Respostas_Brutas!B42="","",IF(Respostas_Brutas!K42&lt;&gt;"",1,0))</f>
        <v/>
      </c>
      <c r="H42" s="4" t="str">
        <f>IF(Respostas_Brutas!B42="","",IF(ISNUMBER(SEARCH("Não",Respostas_Brutas!AH42)),1,0))</f>
        <v/>
      </c>
      <c r="I42" s="4" t="str">
        <f>IF(Respostas_Brutas!B42="","",IF(ISNUMBER(SEARCH("Sim",Respostas_Brutas!AL42)),1,0))</f>
        <v/>
      </c>
      <c r="J42" s="4" t="str">
        <f>IF(Respostas_Brutas!B42="","",IF(Respostas_Brutas!AN42="","",MIN(1,MAX(0,(N(Respostas_Brutas!AN42)-1)/4))))</f>
        <v/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tr">
        <f>IF(Respostas_Brutas!B43="","",Respostas_Brutas!B43)</f>
        <v/>
      </c>
      <c r="B43" s="4" t="str">
        <f>IF(Respostas_Brutas!B43="","",IFERROR(IF(IFERROR(VALUE(TRIM(SUBSTITUTE(SUBSTITUTE(SUBSTITUTE(TRIM(Respostas_Brutas!AS43),"R$",""),".",""),",","."))),0)=0,"",(IFERROR(VALUE(TRIM(SUBSTITUTE(SUBSTITUTE(SUBSTITUTE(TRIM(Respostas_Brutas!AS43),"R$",""),".",""),",","."))),0)-IFERROR(VALUE(TRIM(SUBSTITUTE(SUBSTITUTE(SUBSTITUTE(TRIM(Respostas_Brutas!T43),"R$",""),".",""),",","."))),0))/IFERROR(VALUE(TRIM(SUBSTITUTE(SUBSTITUTE(SUBSTITUTE(TRIM(Respostas_Brutas!AS43),"R$",""),".",""),",","."))),0)),""))</f>
        <v/>
      </c>
      <c r="C43" s="4" t="str">
        <f>IF(Respostas_Brutas!B43="","",MIN(1,(IFERROR(VALUE(LEFT(Respostas_Brutas!I43,IFERROR(FIND(" ",Respostas_Brutas!I43)-1,LEN(Respostas_Brutas!I43)))),0)+IFERROR(VALUE(LEFT(Respostas_Brutas!O43,IFERROR(FIND(" ",Respostas_Brutas!O43)-1,LEN(Respostas_Brutas!O43)))),0))/20))</f>
        <v/>
      </c>
      <c r="D43" s="4" t="str">
        <f>IF(Respostas_Brutas!B43="","",IF(Respostas_Brutas!D43="","",MIN(1,MAX(0,(YEAR(TODAY())-N(Respostas_Brutas!D43))/15))))</f>
        <v/>
      </c>
      <c r="E43" s="4" t="str">
        <f>IF(Respostas_Brutas!B43="","",IF(ISNUMBER(SEARCH("Sim",Respostas_Brutas!S43)),1,0))</f>
        <v/>
      </c>
      <c r="F43" s="4" t="str">
        <f>IF(Respostas_Brutas!B43="","",IFERROR(N(Respostas_Brutas!Y43)/N(Respostas_Brutas!Z43),""))</f>
        <v/>
      </c>
      <c r="G43" s="4" t="str">
        <f>IF(Respostas_Brutas!B43="","",IF(Respostas_Brutas!K43&lt;&gt;"",1,0))</f>
        <v/>
      </c>
      <c r="H43" s="4" t="str">
        <f>IF(Respostas_Brutas!B43="","",IF(ISNUMBER(SEARCH("Não",Respostas_Brutas!AH43)),1,0))</f>
        <v/>
      </c>
      <c r="I43" s="4" t="str">
        <f>IF(Respostas_Brutas!B43="","",IF(ISNUMBER(SEARCH("Sim",Respostas_Brutas!AL43)),1,0))</f>
        <v/>
      </c>
      <c r="J43" s="4" t="str">
        <f>IF(Respostas_Brutas!B43="","",IF(Respostas_Brutas!AN43="","",MIN(1,MAX(0,(N(Respostas_Brutas!AN43)-1)/4))))</f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tr">
        <f>IF(Respostas_Brutas!B44="","",Respostas_Brutas!B44)</f>
        <v/>
      </c>
      <c r="B44" s="4" t="str">
        <f>IF(Respostas_Brutas!B44="","",IFERROR(IF(IFERROR(VALUE(TRIM(SUBSTITUTE(SUBSTITUTE(SUBSTITUTE(TRIM(Respostas_Brutas!AS44),"R$",""),".",""),",","."))),0)=0,"",(IFERROR(VALUE(TRIM(SUBSTITUTE(SUBSTITUTE(SUBSTITUTE(TRIM(Respostas_Brutas!AS44),"R$",""),".",""),",","."))),0)-IFERROR(VALUE(TRIM(SUBSTITUTE(SUBSTITUTE(SUBSTITUTE(TRIM(Respostas_Brutas!T44),"R$",""),".",""),",","."))),0))/IFERROR(VALUE(TRIM(SUBSTITUTE(SUBSTITUTE(SUBSTITUTE(TRIM(Respostas_Brutas!AS44),"R$",""),".",""),",","."))),0)),""))</f>
        <v/>
      </c>
      <c r="C44" s="4" t="str">
        <f>IF(Respostas_Brutas!B44="","",MIN(1,(IFERROR(VALUE(LEFT(Respostas_Brutas!I44,IFERROR(FIND(" ",Respostas_Brutas!I44)-1,LEN(Respostas_Brutas!I44)))),0)+IFERROR(VALUE(LEFT(Respostas_Brutas!O44,IFERROR(FIND(" ",Respostas_Brutas!O44)-1,LEN(Respostas_Brutas!O44)))),0))/20))</f>
        <v/>
      </c>
      <c r="D44" s="4" t="str">
        <f>IF(Respostas_Brutas!B44="","",IF(Respostas_Brutas!D44="","",MIN(1,MAX(0,(YEAR(TODAY())-N(Respostas_Brutas!D44))/15))))</f>
        <v/>
      </c>
      <c r="E44" s="4" t="str">
        <f>IF(Respostas_Brutas!B44="","",IF(ISNUMBER(SEARCH("Sim",Respostas_Brutas!S44)),1,0))</f>
        <v/>
      </c>
      <c r="F44" s="4" t="str">
        <f>IF(Respostas_Brutas!B44="","",IFERROR(N(Respostas_Brutas!Y44)/N(Respostas_Brutas!Z44),""))</f>
        <v/>
      </c>
      <c r="G44" s="4" t="str">
        <f>IF(Respostas_Brutas!B44="","",IF(Respostas_Brutas!K44&lt;&gt;"",1,0))</f>
        <v/>
      </c>
      <c r="H44" s="4" t="str">
        <f>IF(Respostas_Brutas!B44="","",IF(ISNUMBER(SEARCH("Não",Respostas_Brutas!AH44)),1,0))</f>
        <v/>
      </c>
      <c r="I44" s="4" t="str">
        <f>IF(Respostas_Brutas!B44="","",IF(ISNUMBER(SEARCH("Sim",Respostas_Brutas!AL44)),1,0))</f>
        <v/>
      </c>
      <c r="J44" s="4" t="str">
        <f>IF(Respostas_Brutas!B44="","",IF(Respostas_Brutas!AN44="","",MIN(1,MAX(0,(N(Respostas_Brutas!AN44)-1)/4))))</f>
        <v/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tr">
        <f>IF(Respostas_Brutas!B45="","",Respostas_Brutas!B45)</f>
        <v/>
      </c>
      <c r="B45" s="4" t="str">
        <f>IF(Respostas_Brutas!B45="","",IFERROR(IF(IFERROR(VALUE(TRIM(SUBSTITUTE(SUBSTITUTE(SUBSTITUTE(TRIM(Respostas_Brutas!AS45),"R$",""),".",""),",","."))),0)=0,"",(IFERROR(VALUE(TRIM(SUBSTITUTE(SUBSTITUTE(SUBSTITUTE(TRIM(Respostas_Brutas!AS45),"R$",""),".",""),",","."))),0)-IFERROR(VALUE(TRIM(SUBSTITUTE(SUBSTITUTE(SUBSTITUTE(TRIM(Respostas_Brutas!T45),"R$",""),".",""),",","."))),0))/IFERROR(VALUE(TRIM(SUBSTITUTE(SUBSTITUTE(SUBSTITUTE(TRIM(Respostas_Brutas!AS45),"R$",""),".",""),",","."))),0)),""))</f>
        <v/>
      </c>
      <c r="C45" s="4" t="str">
        <f>IF(Respostas_Brutas!B45="","",MIN(1,(IFERROR(VALUE(LEFT(Respostas_Brutas!I45,IFERROR(FIND(" ",Respostas_Brutas!I45)-1,LEN(Respostas_Brutas!I45)))),0)+IFERROR(VALUE(LEFT(Respostas_Brutas!O45,IFERROR(FIND(" ",Respostas_Brutas!O45)-1,LEN(Respostas_Brutas!O45)))),0))/20))</f>
        <v/>
      </c>
      <c r="D45" s="4" t="str">
        <f>IF(Respostas_Brutas!B45="","",IF(Respostas_Brutas!D45="","",MIN(1,MAX(0,(YEAR(TODAY())-N(Respostas_Brutas!D45))/15))))</f>
        <v/>
      </c>
      <c r="E45" s="4" t="str">
        <f>IF(Respostas_Brutas!B45="","",IF(ISNUMBER(SEARCH("Sim",Respostas_Brutas!S45)),1,0))</f>
        <v/>
      </c>
      <c r="F45" s="4" t="str">
        <f>IF(Respostas_Brutas!B45="","",IFERROR(N(Respostas_Brutas!Y45)/N(Respostas_Brutas!Z45),""))</f>
        <v/>
      </c>
      <c r="G45" s="4" t="str">
        <f>IF(Respostas_Brutas!B45="","",IF(Respostas_Brutas!K45&lt;&gt;"",1,0))</f>
        <v/>
      </c>
      <c r="H45" s="4" t="str">
        <f>IF(Respostas_Brutas!B45="","",IF(ISNUMBER(SEARCH("Não",Respostas_Brutas!AH45)),1,0))</f>
        <v/>
      </c>
      <c r="I45" s="4" t="str">
        <f>IF(Respostas_Brutas!B45="","",IF(ISNUMBER(SEARCH("Sim",Respostas_Brutas!AL45)),1,0))</f>
        <v/>
      </c>
      <c r="J45" s="4" t="str">
        <f>IF(Respostas_Brutas!B45="","",IF(Respostas_Brutas!AN45="","",MIN(1,MAX(0,(N(Respostas_Brutas!AN45)-1)/4))))</f>
        <v/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tr">
        <f>IF(Respostas_Brutas!B46="","",Respostas_Brutas!B46)</f>
        <v/>
      </c>
      <c r="B46" s="4" t="str">
        <f>IF(Respostas_Brutas!B46="","",IFERROR(IF(IFERROR(VALUE(TRIM(SUBSTITUTE(SUBSTITUTE(SUBSTITUTE(TRIM(Respostas_Brutas!AS46),"R$",""),".",""),",","."))),0)=0,"",(IFERROR(VALUE(TRIM(SUBSTITUTE(SUBSTITUTE(SUBSTITUTE(TRIM(Respostas_Brutas!AS46),"R$",""),".",""),",","."))),0)-IFERROR(VALUE(TRIM(SUBSTITUTE(SUBSTITUTE(SUBSTITUTE(TRIM(Respostas_Brutas!T46),"R$",""),".",""),",","."))),0))/IFERROR(VALUE(TRIM(SUBSTITUTE(SUBSTITUTE(SUBSTITUTE(TRIM(Respostas_Brutas!AS46),"R$",""),".",""),",","."))),0)),""))</f>
        <v/>
      </c>
      <c r="C46" s="4" t="str">
        <f>IF(Respostas_Brutas!B46="","",MIN(1,(IFERROR(VALUE(LEFT(Respostas_Brutas!I46,IFERROR(FIND(" ",Respostas_Brutas!I46)-1,LEN(Respostas_Brutas!I46)))),0)+IFERROR(VALUE(LEFT(Respostas_Brutas!O46,IFERROR(FIND(" ",Respostas_Brutas!O46)-1,LEN(Respostas_Brutas!O46)))),0))/20))</f>
        <v/>
      </c>
      <c r="D46" s="4" t="str">
        <f>IF(Respostas_Brutas!B46="","",IF(Respostas_Brutas!D46="","",MIN(1,MAX(0,(YEAR(TODAY())-N(Respostas_Brutas!D46))/15))))</f>
        <v/>
      </c>
      <c r="E46" s="4" t="str">
        <f>IF(Respostas_Brutas!B46="","",IF(ISNUMBER(SEARCH("Sim",Respostas_Brutas!S46)),1,0))</f>
        <v/>
      </c>
      <c r="F46" s="4" t="str">
        <f>IF(Respostas_Brutas!B46="","",IFERROR(N(Respostas_Brutas!Y46)/N(Respostas_Brutas!Z46),""))</f>
        <v/>
      </c>
      <c r="G46" s="4" t="str">
        <f>IF(Respostas_Brutas!B46="","",IF(Respostas_Brutas!K46&lt;&gt;"",1,0))</f>
        <v/>
      </c>
      <c r="H46" s="4" t="str">
        <f>IF(Respostas_Brutas!B46="","",IF(ISNUMBER(SEARCH("Não",Respostas_Brutas!AH46)),1,0))</f>
        <v/>
      </c>
      <c r="I46" s="4" t="str">
        <f>IF(Respostas_Brutas!B46="","",IF(ISNUMBER(SEARCH("Sim",Respostas_Brutas!AL46)),1,0))</f>
        <v/>
      </c>
      <c r="J46" s="4" t="str">
        <f>IF(Respostas_Brutas!B46="","",IF(Respostas_Brutas!AN46="","",MIN(1,MAX(0,(N(Respostas_Brutas!AN46)-1)/4))))</f>
        <v/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tr">
        <f>IF(Respostas_Brutas!B47="","",Respostas_Brutas!B47)</f>
        <v/>
      </c>
      <c r="B47" s="4" t="str">
        <f>IF(Respostas_Brutas!B47="","",IFERROR(IF(IFERROR(VALUE(TRIM(SUBSTITUTE(SUBSTITUTE(SUBSTITUTE(TRIM(Respostas_Brutas!AS47),"R$",""),".",""),",","."))),0)=0,"",(IFERROR(VALUE(TRIM(SUBSTITUTE(SUBSTITUTE(SUBSTITUTE(TRIM(Respostas_Brutas!AS47),"R$",""),".",""),",","."))),0)-IFERROR(VALUE(TRIM(SUBSTITUTE(SUBSTITUTE(SUBSTITUTE(TRIM(Respostas_Brutas!T47),"R$",""),".",""),",","."))),0))/IFERROR(VALUE(TRIM(SUBSTITUTE(SUBSTITUTE(SUBSTITUTE(TRIM(Respostas_Brutas!AS47),"R$",""),".",""),",","."))),0)),""))</f>
        <v/>
      </c>
      <c r="C47" s="4" t="str">
        <f>IF(Respostas_Brutas!B47="","",MIN(1,(IFERROR(VALUE(LEFT(Respostas_Brutas!I47,IFERROR(FIND(" ",Respostas_Brutas!I47)-1,LEN(Respostas_Brutas!I47)))),0)+IFERROR(VALUE(LEFT(Respostas_Brutas!O47,IFERROR(FIND(" ",Respostas_Brutas!O47)-1,LEN(Respostas_Brutas!O47)))),0))/20))</f>
        <v/>
      </c>
      <c r="D47" s="4" t="str">
        <f>IF(Respostas_Brutas!B47="","",IF(Respostas_Brutas!D47="","",MIN(1,MAX(0,(YEAR(TODAY())-N(Respostas_Brutas!D47))/15))))</f>
        <v/>
      </c>
      <c r="E47" s="4" t="str">
        <f>IF(Respostas_Brutas!B47="","",IF(ISNUMBER(SEARCH("Sim",Respostas_Brutas!S47)),1,0))</f>
        <v/>
      </c>
      <c r="F47" s="4" t="str">
        <f>IF(Respostas_Brutas!B47="","",IFERROR(N(Respostas_Brutas!Y47)/N(Respostas_Brutas!Z47),""))</f>
        <v/>
      </c>
      <c r="G47" s="4" t="str">
        <f>IF(Respostas_Brutas!B47="","",IF(Respostas_Brutas!K47&lt;&gt;"",1,0))</f>
        <v/>
      </c>
      <c r="H47" s="4" t="str">
        <f>IF(Respostas_Brutas!B47="","",IF(ISNUMBER(SEARCH("Não",Respostas_Brutas!AH47)),1,0))</f>
        <v/>
      </c>
      <c r="I47" s="4" t="str">
        <f>IF(Respostas_Brutas!B47="","",IF(ISNUMBER(SEARCH("Sim",Respostas_Brutas!AL47)),1,0))</f>
        <v/>
      </c>
      <c r="J47" s="4" t="str">
        <f>IF(Respostas_Brutas!B47="","",IF(Respostas_Brutas!AN47="","",MIN(1,MAX(0,(N(Respostas_Brutas!AN47)-1)/4))))</f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tr">
        <f>IF(Respostas_Brutas!B48="","",Respostas_Brutas!B48)</f>
        <v/>
      </c>
      <c r="B48" s="4" t="str">
        <f>IF(Respostas_Brutas!B48="","",IFERROR(IF(IFERROR(VALUE(TRIM(SUBSTITUTE(SUBSTITUTE(SUBSTITUTE(TRIM(Respostas_Brutas!AS48),"R$",""),".",""),",","."))),0)=0,"",(IFERROR(VALUE(TRIM(SUBSTITUTE(SUBSTITUTE(SUBSTITUTE(TRIM(Respostas_Brutas!AS48),"R$",""),".",""),",","."))),0)-IFERROR(VALUE(TRIM(SUBSTITUTE(SUBSTITUTE(SUBSTITUTE(TRIM(Respostas_Brutas!T48),"R$",""),".",""),",","."))),0))/IFERROR(VALUE(TRIM(SUBSTITUTE(SUBSTITUTE(SUBSTITUTE(TRIM(Respostas_Brutas!AS48),"R$",""),".",""),",","."))),0)),""))</f>
        <v/>
      </c>
      <c r="C48" s="4" t="str">
        <f>IF(Respostas_Brutas!B48="","",MIN(1,(IFERROR(VALUE(LEFT(Respostas_Brutas!I48,IFERROR(FIND(" ",Respostas_Brutas!I48)-1,LEN(Respostas_Brutas!I48)))),0)+IFERROR(VALUE(LEFT(Respostas_Brutas!O48,IFERROR(FIND(" ",Respostas_Brutas!O48)-1,LEN(Respostas_Brutas!O48)))),0))/20))</f>
        <v/>
      </c>
      <c r="D48" s="4" t="str">
        <f>IF(Respostas_Brutas!B48="","",IF(Respostas_Brutas!D48="","",MIN(1,MAX(0,(YEAR(TODAY())-N(Respostas_Brutas!D48))/15))))</f>
        <v/>
      </c>
      <c r="E48" s="4" t="str">
        <f>IF(Respostas_Brutas!B48="","",IF(ISNUMBER(SEARCH("Sim",Respostas_Brutas!S48)),1,0))</f>
        <v/>
      </c>
      <c r="F48" s="4" t="str">
        <f>IF(Respostas_Brutas!B48="","",IFERROR(N(Respostas_Brutas!Y48)/N(Respostas_Brutas!Z48),""))</f>
        <v/>
      </c>
      <c r="G48" s="4" t="str">
        <f>IF(Respostas_Brutas!B48="","",IF(Respostas_Brutas!K48&lt;&gt;"",1,0))</f>
        <v/>
      </c>
      <c r="H48" s="4" t="str">
        <f>IF(Respostas_Brutas!B48="","",IF(ISNUMBER(SEARCH("Não",Respostas_Brutas!AH48)),1,0))</f>
        <v/>
      </c>
      <c r="I48" s="4" t="str">
        <f>IF(Respostas_Brutas!B48="","",IF(ISNUMBER(SEARCH("Sim",Respostas_Brutas!AL48)),1,0))</f>
        <v/>
      </c>
      <c r="J48" s="4" t="str">
        <f>IF(Respostas_Brutas!B48="","",IF(Respostas_Brutas!AN48="","",MIN(1,MAX(0,(N(Respostas_Brutas!AN48)-1)/4))))</f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tr">
        <f>IF(Respostas_Brutas!B49="","",Respostas_Brutas!B49)</f>
        <v/>
      </c>
      <c r="B49" s="4" t="str">
        <f>IF(Respostas_Brutas!B49="","",IFERROR(IF(IFERROR(VALUE(TRIM(SUBSTITUTE(SUBSTITUTE(SUBSTITUTE(TRIM(Respostas_Brutas!AS49),"R$",""),".",""),",","."))),0)=0,"",(IFERROR(VALUE(TRIM(SUBSTITUTE(SUBSTITUTE(SUBSTITUTE(TRIM(Respostas_Brutas!AS49),"R$",""),".",""),",","."))),0)-IFERROR(VALUE(TRIM(SUBSTITUTE(SUBSTITUTE(SUBSTITUTE(TRIM(Respostas_Brutas!T49),"R$",""),".",""),",","."))),0))/IFERROR(VALUE(TRIM(SUBSTITUTE(SUBSTITUTE(SUBSTITUTE(TRIM(Respostas_Brutas!AS49),"R$",""),".",""),",","."))),0)),""))</f>
        <v/>
      </c>
      <c r="C49" s="4" t="str">
        <f>IF(Respostas_Brutas!B49="","",MIN(1,(IFERROR(VALUE(LEFT(Respostas_Brutas!I49,IFERROR(FIND(" ",Respostas_Brutas!I49)-1,LEN(Respostas_Brutas!I49)))),0)+IFERROR(VALUE(LEFT(Respostas_Brutas!O49,IFERROR(FIND(" ",Respostas_Brutas!O49)-1,LEN(Respostas_Brutas!O49)))),0))/20))</f>
        <v/>
      </c>
      <c r="D49" s="4" t="str">
        <f>IF(Respostas_Brutas!B49="","",IF(Respostas_Brutas!D49="","",MIN(1,MAX(0,(YEAR(TODAY())-N(Respostas_Brutas!D49))/15))))</f>
        <v/>
      </c>
      <c r="E49" s="4" t="str">
        <f>IF(Respostas_Brutas!B49="","",IF(ISNUMBER(SEARCH("Sim",Respostas_Brutas!S49)),1,0))</f>
        <v/>
      </c>
      <c r="F49" s="4" t="str">
        <f>IF(Respostas_Brutas!B49="","",IFERROR(N(Respostas_Brutas!Y49)/N(Respostas_Brutas!Z49),""))</f>
        <v/>
      </c>
      <c r="G49" s="4" t="str">
        <f>IF(Respostas_Brutas!B49="","",IF(Respostas_Brutas!K49&lt;&gt;"",1,0))</f>
        <v/>
      </c>
      <c r="H49" s="4" t="str">
        <f>IF(Respostas_Brutas!B49="","",IF(ISNUMBER(SEARCH("Não",Respostas_Brutas!AH49)),1,0))</f>
        <v/>
      </c>
      <c r="I49" s="4" t="str">
        <f>IF(Respostas_Brutas!B49="","",IF(ISNUMBER(SEARCH("Sim",Respostas_Brutas!AL49)),1,0))</f>
        <v/>
      </c>
      <c r="J49" s="4" t="str">
        <f>IF(Respostas_Brutas!B49="","",IF(Respostas_Brutas!AN49="","",MIN(1,MAX(0,(N(Respostas_Brutas!AN49)-1)/4))))</f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tr">
        <f>IF(Respostas_Brutas!B50="","",Respostas_Brutas!B50)</f>
        <v/>
      </c>
      <c r="B50" s="4" t="str">
        <f>IF(Respostas_Brutas!B50="","",IFERROR(IF(IFERROR(VALUE(TRIM(SUBSTITUTE(SUBSTITUTE(SUBSTITUTE(TRIM(Respostas_Brutas!AS50),"R$",""),".",""),",","."))),0)=0,"",(IFERROR(VALUE(TRIM(SUBSTITUTE(SUBSTITUTE(SUBSTITUTE(TRIM(Respostas_Brutas!AS50),"R$",""),".",""),",","."))),0)-IFERROR(VALUE(TRIM(SUBSTITUTE(SUBSTITUTE(SUBSTITUTE(TRIM(Respostas_Brutas!T50),"R$",""),".",""),",","."))),0))/IFERROR(VALUE(TRIM(SUBSTITUTE(SUBSTITUTE(SUBSTITUTE(TRIM(Respostas_Brutas!AS50),"R$",""),".",""),",","."))),0)),""))</f>
        <v/>
      </c>
      <c r="C50" s="4" t="str">
        <f>IF(Respostas_Brutas!B50="","",MIN(1,(IFERROR(VALUE(LEFT(Respostas_Brutas!I50,IFERROR(FIND(" ",Respostas_Brutas!I50)-1,LEN(Respostas_Brutas!I50)))),0)+IFERROR(VALUE(LEFT(Respostas_Brutas!O50,IFERROR(FIND(" ",Respostas_Brutas!O50)-1,LEN(Respostas_Brutas!O50)))),0))/20))</f>
        <v/>
      </c>
      <c r="D50" s="4" t="str">
        <f>IF(Respostas_Brutas!B50="","",IF(Respostas_Brutas!D50="","",MIN(1,MAX(0,(YEAR(TODAY())-N(Respostas_Brutas!D50))/15))))</f>
        <v/>
      </c>
      <c r="E50" s="4" t="str">
        <f>IF(Respostas_Brutas!B50="","",IF(ISNUMBER(SEARCH("Sim",Respostas_Brutas!S50)),1,0))</f>
        <v/>
      </c>
      <c r="F50" s="4" t="str">
        <f>IF(Respostas_Brutas!B50="","",IFERROR(N(Respostas_Brutas!Y50)/N(Respostas_Brutas!Z50),""))</f>
        <v/>
      </c>
      <c r="G50" s="4" t="str">
        <f>IF(Respostas_Brutas!B50="","",IF(Respostas_Brutas!K50&lt;&gt;"",1,0))</f>
        <v/>
      </c>
      <c r="H50" s="4" t="str">
        <f>IF(Respostas_Brutas!B50="","",IF(ISNUMBER(SEARCH("Não",Respostas_Brutas!AH50)),1,0))</f>
        <v/>
      </c>
      <c r="I50" s="4" t="str">
        <f>IF(Respostas_Brutas!B50="","",IF(ISNUMBER(SEARCH("Sim",Respostas_Brutas!AL50)),1,0))</f>
        <v/>
      </c>
      <c r="J50" s="4" t="str">
        <f>IF(Respostas_Brutas!B50="","",IF(Respostas_Brutas!AN50="","",MIN(1,MAX(0,(N(Respostas_Brutas!AN50)-1)/4))))</f>
        <v/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tr">
        <f>IF(Respostas_Brutas!B51="","",Respostas_Brutas!B51)</f>
        <v/>
      </c>
      <c r="B51" s="4" t="str">
        <f>IF(Respostas_Brutas!B51="","",IFERROR(IF(IFERROR(VALUE(TRIM(SUBSTITUTE(SUBSTITUTE(SUBSTITUTE(TRIM(Respostas_Brutas!AS51),"R$",""),".",""),",","."))),0)=0,"",(IFERROR(VALUE(TRIM(SUBSTITUTE(SUBSTITUTE(SUBSTITUTE(TRIM(Respostas_Brutas!AS51),"R$",""),".",""),",","."))),0)-IFERROR(VALUE(TRIM(SUBSTITUTE(SUBSTITUTE(SUBSTITUTE(TRIM(Respostas_Brutas!T51),"R$",""),".",""),",","."))),0))/IFERROR(VALUE(TRIM(SUBSTITUTE(SUBSTITUTE(SUBSTITUTE(TRIM(Respostas_Brutas!AS51),"R$",""),".",""),",","."))),0)),""))</f>
        <v/>
      </c>
      <c r="C51" s="4" t="str">
        <f>IF(Respostas_Brutas!B51="","",MIN(1,(IFERROR(VALUE(LEFT(Respostas_Brutas!I51,IFERROR(FIND(" ",Respostas_Brutas!I51)-1,LEN(Respostas_Brutas!I51)))),0)+IFERROR(VALUE(LEFT(Respostas_Brutas!O51,IFERROR(FIND(" ",Respostas_Brutas!O51)-1,LEN(Respostas_Brutas!O51)))),0))/20))</f>
        <v/>
      </c>
      <c r="D51" s="4" t="str">
        <f>IF(Respostas_Brutas!B51="","",IF(Respostas_Brutas!D51="","",MIN(1,MAX(0,(YEAR(TODAY())-N(Respostas_Brutas!D51))/15))))</f>
        <v/>
      </c>
      <c r="E51" s="4" t="str">
        <f>IF(Respostas_Brutas!B51="","",IF(ISNUMBER(SEARCH("Sim",Respostas_Brutas!S51)),1,0))</f>
        <v/>
      </c>
      <c r="F51" s="4" t="str">
        <f>IF(Respostas_Brutas!B51="","",IFERROR(N(Respostas_Brutas!Y51)/N(Respostas_Brutas!Z51),""))</f>
        <v/>
      </c>
      <c r="G51" s="4" t="str">
        <f>IF(Respostas_Brutas!B51="","",IF(Respostas_Brutas!K51&lt;&gt;"",1,0))</f>
        <v/>
      </c>
      <c r="H51" s="4" t="str">
        <f>IF(Respostas_Brutas!B51="","",IF(ISNUMBER(SEARCH("Não",Respostas_Brutas!AH51)),1,0))</f>
        <v/>
      </c>
      <c r="I51" s="4" t="str">
        <f>IF(Respostas_Brutas!B51="","",IF(ISNUMBER(SEARCH("Sim",Respostas_Brutas!AL51)),1,0))</f>
        <v/>
      </c>
      <c r="J51" s="4" t="str">
        <f>IF(Respostas_Brutas!B51="","",IF(Respostas_Brutas!AN51="","",MIN(1,MAX(0,(N(Respostas_Brutas!AN51)-1)/4))))</f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tr">
        <f>IF(Respostas_Brutas!B52="","",Respostas_Brutas!B52)</f>
        <v/>
      </c>
      <c r="B52" s="4" t="str">
        <f>IF(Respostas_Brutas!B52="","",IFERROR(IF(IFERROR(VALUE(TRIM(SUBSTITUTE(SUBSTITUTE(SUBSTITUTE(TRIM(Respostas_Brutas!AS52),"R$",""),".",""),",","."))),0)=0,"",(IFERROR(VALUE(TRIM(SUBSTITUTE(SUBSTITUTE(SUBSTITUTE(TRIM(Respostas_Brutas!AS52),"R$",""),".",""),",","."))),0)-IFERROR(VALUE(TRIM(SUBSTITUTE(SUBSTITUTE(SUBSTITUTE(TRIM(Respostas_Brutas!T52),"R$",""),".",""),",","."))),0))/IFERROR(VALUE(TRIM(SUBSTITUTE(SUBSTITUTE(SUBSTITUTE(TRIM(Respostas_Brutas!AS52),"R$",""),".",""),",","."))),0)),""))</f>
        <v/>
      </c>
      <c r="C52" s="4" t="str">
        <f>IF(Respostas_Brutas!B52="","",MIN(1,(IFERROR(VALUE(LEFT(Respostas_Brutas!I52,IFERROR(FIND(" ",Respostas_Brutas!I52)-1,LEN(Respostas_Brutas!I52)))),0)+IFERROR(VALUE(LEFT(Respostas_Brutas!O52,IFERROR(FIND(" ",Respostas_Brutas!O52)-1,LEN(Respostas_Brutas!O52)))),0))/20))</f>
        <v/>
      </c>
      <c r="D52" s="4" t="str">
        <f>IF(Respostas_Brutas!B52="","",IF(Respostas_Brutas!D52="","",MIN(1,MAX(0,(YEAR(TODAY())-N(Respostas_Brutas!D52))/15))))</f>
        <v/>
      </c>
      <c r="E52" s="4" t="str">
        <f>IF(Respostas_Brutas!B52="","",IF(ISNUMBER(SEARCH("Sim",Respostas_Brutas!S52)),1,0))</f>
        <v/>
      </c>
      <c r="F52" s="4" t="str">
        <f>IF(Respostas_Brutas!B52="","",IFERROR(N(Respostas_Brutas!Y52)/N(Respostas_Brutas!Z52),""))</f>
        <v/>
      </c>
      <c r="G52" s="4" t="str">
        <f>IF(Respostas_Brutas!B52="","",IF(Respostas_Brutas!K52&lt;&gt;"",1,0))</f>
        <v/>
      </c>
      <c r="H52" s="4" t="str">
        <f>IF(Respostas_Brutas!B52="","",IF(ISNUMBER(SEARCH("Não",Respostas_Brutas!AH52)),1,0))</f>
        <v/>
      </c>
      <c r="I52" s="4" t="str">
        <f>IF(Respostas_Brutas!B52="","",IF(ISNUMBER(SEARCH("Sim",Respostas_Brutas!AL52)),1,0))</f>
        <v/>
      </c>
      <c r="J52" s="4" t="str">
        <f>IF(Respostas_Brutas!B52="","",IF(Respostas_Brutas!AN52="","",MIN(1,MAX(0,(N(Respostas_Brutas!AN52)-1)/4))))</f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tr">
        <f>IF(Respostas_Brutas!B53="","",Respostas_Brutas!B53)</f>
        <v/>
      </c>
      <c r="B53" s="4" t="str">
        <f>IF(Respostas_Brutas!B53="","",IFERROR(IF(IFERROR(VALUE(TRIM(SUBSTITUTE(SUBSTITUTE(SUBSTITUTE(TRIM(Respostas_Brutas!AS53),"R$",""),".",""),",","."))),0)=0,"",(IFERROR(VALUE(TRIM(SUBSTITUTE(SUBSTITUTE(SUBSTITUTE(TRIM(Respostas_Brutas!AS53),"R$",""),".",""),",","."))),0)-IFERROR(VALUE(TRIM(SUBSTITUTE(SUBSTITUTE(SUBSTITUTE(TRIM(Respostas_Brutas!T53),"R$",""),".",""),",","."))),0))/IFERROR(VALUE(TRIM(SUBSTITUTE(SUBSTITUTE(SUBSTITUTE(TRIM(Respostas_Brutas!AS53),"R$",""),".",""),",","."))),0)),""))</f>
        <v/>
      </c>
      <c r="C53" s="4" t="str">
        <f>IF(Respostas_Brutas!B53="","",MIN(1,(IFERROR(VALUE(LEFT(Respostas_Brutas!I53,IFERROR(FIND(" ",Respostas_Brutas!I53)-1,LEN(Respostas_Brutas!I53)))),0)+IFERROR(VALUE(LEFT(Respostas_Brutas!O53,IFERROR(FIND(" ",Respostas_Brutas!O53)-1,LEN(Respostas_Brutas!O53)))),0))/20))</f>
        <v/>
      </c>
      <c r="D53" s="4" t="str">
        <f>IF(Respostas_Brutas!B53="","",IF(Respostas_Brutas!D53="","",MIN(1,MAX(0,(YEAR(TODAY())-N(Respostas_Brutas!D53))/15))))</f>
        <v/>
      </c>
      <c r="E53" s="4" t="str">
        <f>IF(Respostas_Brutas!B53="","",IF(ISNUMBER(SEARCH("Sim",Respostas_Brutas!S53)),1,0))</f>
        <v/>
      </c>
      <c r="F53" s="4" t="str">
        <f>IF(Respostas_Brutas!B53="","",IFERROR(N(Respostas_Brutas!Y53)/N(Respostas_Brutas!Z53),""))</f>
        <v/>
      </c>
      <c r="G53" s="4" t="str">
        <f>IF(Respostas_Brutas!B53="","",IF(Respostas_Brutas!K53&lt;&gt;"",1,0))</f>
        <v/>
      </c>
      <c r="H53" s="4" t="str">
        <f>IF(Respostas_Brutas!B53="","",IF(ISNUMBER(SEARCH("Não",Respostas_Brutas!AH53)),1,0))</f>
        <v/>
      </c>
      <c r="I53" s="4" t="str">
        <f>IF(Respostas_Brutas!B53="","",IF(ISNUMBER(SEARCH("Sim",Respostas_Brutas!AL53)),1,0))</f>
        <v/>
      </c>
      <c r="J53" s="4" t="str">
        <f>IF(Respostas_Brutas!B53="","",IF(Respostas_Brutas!AN53="","",MIN(1,MAX(0,(N(Respostas_Brutas!AN53)-1)/4))))</f>
        <v/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tr">
        <f>IF(Respostas_Brutas!B54="","",Respostas_Brutas!B54)</f>
        <v/>
      </c>
      <c r="B54" s="4" t="str">
        <f>IF(Respostas_Brutas!B54="","",IFERROR(IF(IFERROR(VALUE(TRIM(SUBSTITUTE(SUBSTITUTE(SUBSTITUTE(TRIM(Respostas_Brutas!AS54),"R$",""),".",""),",","."))),0)=0,"",(IFERROR(VALUE(TRIM(SUBSTITUTE(SUBSTITUTE(SUBSTITUTE(TRIM(Respostas_Brutas!AS54),"R$",""),".",""),",","."))),0)-IFERROR(VALUE(TRIM(SUBSTITUTE(SUBSTITUTE(SUBSTITUTE(TRIM(Respostas_Brutas!T54),"R$",""),".",""),",","."))),0))/IFERROR(VALUE(TRIM(SUBSTITUTE(SUBSTITUTE(SUBSTITUTE(TRIM(Respostas_Brutas!AS54),"R$",""),".",""),",","."))),0)),""))</f>
        <v/>
      </c>
      <c r="C54" s="4" t="str">
        <f>IF(Respostas_Brutas!B54="","",MIN(1,(IFERROR(VALUE(LEFT(Respostas_Brutas!I54,IFERROR(FIND(" ",Respostas_Brutas!I54)-1,LEN(Respostas_Brutas!I54)))),0)+IFERROR(VALUE(LEFT(Respostas_Brutas!O54,IFERROR(FIND(" ",Respostas_Brutas!O54)-1,LEN(Respostas_Brutas!O54)))),0))/20))</f>
        <v/>
      </c>
      <c r="D54" s="4" t="str">
        <f>IF(Respostas_Brutas!B54="","",IF(Respostas_Brutas!D54="","",MIN(1,MAX(0,(YEAR(TODAY())-N(Respostas_Brutas!D54))/15))))</f>
        <v/>
      </c>
      <c r="E54" s="4" t="str">
        <f>IF(Respostas_Brutas!B54="","",IF(ISNUMBER(SEARCH("Sim",Respostas_Brutas!S54)),1,0))</f>
        <v/>
      </c>
      <c r="F54" s="4" t="str">
        <f>IF(Respostas_Brutas!B54="","",IFERROR(N(Respostas_Brutas!Y54)/N(Respostas_Brutas!Z54),""))</f>
        <v/>
      </c>
      <c r="G54" s="4" t="str">
        <f>IF(Respostas_Brutas!B54="","",IF(Respostas_Brutas!K54&lt;&gt;"",1,0))</f>
        <v/>
      </c>
      <c r="H54" s="4" t="str">
        <f>IF(Respostas_Brutas!B54="","",IF(ISNUMBER(SEARCH("Não",Respostas_Brutas!AH54)),1,0))</f>
        <v/>
      </c>
      <c r="I54" s="4" t="str">
        <f>IF(Respostas_Brutas!B54="","",IF(ISNUMBER(SEARCH("Sim",Respostas_Brutas!AL54)),1,0))</f>
        <v/>
      </c>
      <c r="J54" s="4" t="str">
        <f>IF(Respostas_Brutas!B54="","",IF(Respostas_Brutas!AN54="","",MIN(1,MAX(0,(N(Respostas_Brutas!AN54)-1)/4))))</f>
        <v/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tr">
        <f>IF(Respostas_Brutas!B55="","",Respostas_Brutas!B55)</f>
        <v/>
      </c>
      <c r="B55" s="4" t="str">
        <f>IF(Respostas_Brutas!B55="","",IFERROR(IF(IFERROR(VALUE(TRIM(SUBSTITUTE(SUBSTITUTE(SUBSTITUTE(TRIM(Respostas_Brutas!AS55),"R$",""),".",""),",","."))),0)=0,"",(IFERROR(VALUE(TRIM(SUBSTITUTE(SUBSTITUTE(SUBSTITUTE(TRIM(Respostas_Brutas!AS55),"R$",""),".",""),",","."))),0)-IFERROR(VALUE(TRIM(SUBSTITUTE(SUBSTITUTE(SUBSTITUTE(TRIM(Respostas_Brutas!T55),"R$",""),".",""),",","."))),0))/IFERROR(VALUE(TRIM(SUBSTITUTE(SUBSTITUTE(SUBSTITUTE(TRIM(Respostas_Brutas!AS55),"R$",""),".",""),",","."))),0)),""))</f>
        <v/>
      </c>
      <c r="C55" s="4" t="str">
        <f>IF(Respostas_Brutas!B55="","",MIN(1,(IFERROR(VALUE(LEFT(Respostas_Brutas!I55,IFERROR(FIND(" ",Respostas_Brutas!I55)-1,LEN(Respostas_Brutas!I55)))),0)+IFERROR(VALUE(LEFT(Respostas_Brutas!O55,IFERROR(FIND(" ",Respostas_Brutas!O55)-1,LEN(Respostas_Brutas!O55)))),0))/20))</f>
        <v/>
      </c>
      <c r="D55" s="4" t="str">
        <f>IF(Respostas_Brutas!B55="","",IF(Respostas_Brutas!D55="","",MIN(1,MAX(0,(YEAR(TODAY())-N(Respostas_Brutas!D55))/15))))</f>
        <v/>
      </c>
      <c r="E55" s="4" t="str">
        <f>IF(Respostas_Brutas!B55="","",IF(ISNUMBER(SEARCH("Sim",Respostas_Brutas!S55)),1,0))</f>
        <v/>
      </c>
      <c r="F55" s="4" t="str">
        <f>IF(Respostas_Brutas!B55="","",IFERROR(N(Respostas_Brutas!Y55)/N(Respostas_Brutas!Z55),""))</f>
        <v/>
      </c>
      <c r="G55" s="4" t="str">
        <f>IF(Respostas_Brutas!B55="","",IF(Respostas_Brutas!K55&lt;&gt;"",1,0))</f>
        <v/>
      </c>
      <c r="H55" s="4" t="str">
        <f>IF(Respostas_Brutas!B55="","",IF(ISNUMBER(SEARCH("Não",Respostas_Brutas!AH55)),1,0))</f>
        <v/>
      </c>
      <c r="I55" s="4" t="str">
        <f>IF(Respostas_Brutas!B55="","",IF(ISNUMBER(SEARCH("Sim",Respostas_Brutas!AL55)),1,0))</f>
        <v/>
      </c>
      <c r="J55" s="4" t="str">
        <f>IF(Respostas_Brutas!B55="","",IF(Respostas_Brutas!AN55="","",MIN(1,MAX(0,(N(Respostas_Brutas!AN55)-1)/4))))</f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tr">
        <f>IF(Respostas_Brutas!B56="","",Respostas_Brutas!B56)</f>
        <v/>
      </c>
      <c r="B56" s="4" t="str">
        <f>IF(Respostas_Brutas!B56="","",IFERROR(IF(IFERROR(VALUE(TRIM(SUBSTITUTE(SUBSTITUTE(SUBSTITUTE(TRIM(Respostas_Brutas!AS56),"R$",""),".",""),",","."))),0)=0,"",(IFERROR(VALUE(TRIM(SUBSTITUTE(SUBSTITUTE(SUBSTITUTE(TRIM(Respostas_Brutas!AS56),"R$",""),".",""),",","."))),0)-IFERROR(VALUE(TRIM(SUBSTITUTE(SUBSTITUTE(SUBSTITUTE(TRIM(Respostas_Brutas!T56),"R$",""),".",""),",","."))),0))/IFERROR(VALUE(TRIM(SUBSTITUTE(SUBSTITUTE(SUBSTITUTE(TRIM(Respostas_Brutas!AS56),"R$",""),".",""),",","."))),0)),""))</f>
        <v/>
      </c>
      <c r="C56" s="4" t="str">
        <f>IF(Respostas_Brutas!B56="","",MIN(1,(IFERROR(VALUE(LEFT(Respostas_Brutas!I56,IFERROR(FIND(" ",Respostas_Brutas!I56)-1,LEN(Respostas_Brutas!I56)))),0)+IFERROR(VALUE(LEFT(Respostas_Brutas!O56,IFERROR(FIND(" ",Respostas_Brutas!O56)-1,LEN(Respostas_Brutas!O56)))),0))/20))</f>
        <v/>
      </c>
      <c r="D56" s="4" t="str">
        <f>IF(Respostas_Brutas!B56="","",IF(Respostas_Brutas!D56="","",MIN(1,MAX(0,(YEAR(TODAY())-N(Respostas_Brutas!D56))/15))))</f>
        <v/>
      </c>
      <c r="E56" s="4" t="str">
        <f>IF(Respostas_Brutas!B56="","",IF(ISNUMBER(SEARCH("Sim",Respostas_Brutas!S56)),1,0))</f>
        <v/>
      </c>
      <c r="F56" s="4" t="str">
        <f>IF(Respostas_Brutas!B56="","",IFERROR(N(Respostas_Brutas!Y56)/N(Respostas_Brutas!Z56),""))</f>
        <v/>
      </c>
      <c r="G56" s="4" t="str">
        <f>IF(Respostas_Brutas!B56="","",IF(Respostas_Brutas!K56&lt;&gt;"",1,0))</f>
        <v/>
      </c>
      <c r="H56" s="4" t="str">
        <f>IF(Respostas_Brutas!B56="","",IF(ISNUMBER(SEARCH("Não",Respostas_Brutas!AH56)),1,0))</f>
        <v/>
      </c>
      <c r="I56" s="4" t="str">
        <f>IF(Respostas_Brutas!B56="","",IF(ISNUMBER(SEARCH("Sim",Respostas_Brutas!AL56)),1,0))</f>
        <v/>
      </c>
      <c r="J56" s="4" t="str">
        <f>IF(Respostas_Brutas!B56="","",IF(Respostas_Brutas!AN56="","",MIN(1,MAX(0,(N(Respostas_Brutas!AN56)-1)/4))))</f>
        <v/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tr">
        <f>IF(Respostas_Brutas!B57="","",Respostas_Brutas!B57)</f>
        <v/>
      </c>
      <c r="B57" s="4" t="str">
        <f>IF(Respostas_Brutas!B57="","",IFERROR(IF(IFERROR(VALUE(TRIM(SUBSTITUTE(SUBSTITUTE(SUBSTITUTE(TRIM(Respostas_Brutas!AS57),"R$",""),".",""),",","."))),0)=0,"",(IFERROR(VALUE(TRIM(SUBSTITUTE(SUBSTITUTE(SUBSTITUTE(TRIM(Respostas_Brutas!AS57),"R$",""),".",""),",","."))),0)-IFERROR(VALUE(TRIM(SUBSTITUTE(SUBSTITUTE(SUBSTITUTE(TRIM(Respostas_Brutas!T57),"R$",""),".",""),",","."))),0))/IFERROR(VALUE(TRIM(SUBSTITUTE(SUBSTITUTE(SUBSTITUTE(TRIM(Respostas_Brutas!AS57),"R$",""),".",""),",","."))),0)),""))</f>
        <v/>
      </c>
      <c r="C57" s="4" t="str">
        <f>IF(Respostas_Brutas!B57="","",MIN(1,(IFERROR(VALUE(LEFT(Respostas_Brutas!I57,IFERROR(FIND(" ",Respostas_Brutas!I57)-1,LEN(Respostas_Brutas!I57)))),0)+IFERROR(VALUE(LEFT(Respostas_Brutas!O57,IFERROR(FIND(" ",Respostas_Brutas!O57)-1,LEN(Respostas_Brutas!O57)))),0))/20))</f>
        <v/>
      </c>
      <c r="D57" s="4" t="str">
        <f>IF(Respostas_Brutas!B57="","",IF(Respostas_Brutas!D57="","",MIN(1,MAX(0,(YEAR(TODAY())-N(Respostas_Brutas!D57))/15))))</f>
        <v/>
      </c>
      <c r="E57" s="4" t="str">
        <f>IF(Respostas_Brutas!B57="","",IF(ISNUMBER(SEARCH("Sim",Respostas_Brutas!S57)),1,0))</f>
        <v/>
      </c>
      <c r="F57" s="4" t="str">
        <f>IF(Respostas_Brutas!B57="","",IFERROR(N(Respostas_Brutas!Y57)/N(Respostas_Brutas!Z57),""))</f>
        <v/>
      </c>
      <c r="G57" s="4" t="str">
        <f>IF(Respostas_Brutas!B57="","",IF(Respostas_Brutas!K57&lt;&gt;"",1,0))</f>
        <v/>
      </c>
      <c r="H57" s="4" t="str">
        <f>IF(Respostas_Brutas!B57="","",IF(ISNUMBER(SEARCH("Não",Respostas_Brutas!AH57)),1,0))</f>
        <v/>
      </c>
      <c r="I57" s="4" t="str">
        <f>IF(Respostas_Brutas!B57="","",IF(ISNUMBER(SEARCH("Sim",Respostas_Brutas!AL57)),1,0))</f>
        <v/>
      </c>
      <c r="J57" s="4" t="str">
        <f>IF(Respostas_Brutas!B57="","",IF(Respostas_Brutas!AN57="","",MIN(1,MAX(0,(N(Respostas_Brutas!AN57)-1)/4))))</f>
        <v/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tr">
        <f>IF(Respostas_Brutas!B58="","",Respostas_Brutas!B58)</f>
        <v/>
      </c>
      <c r="B58" s="4" t="str">
        <f>IF(Respostas_Brutas!B58="","",IFERROR(IF(IFERROR(VALUE(TRIM(SUBSTITUTE(SUBSTITUTE(SUBSTITUTE(TRIM(Respostas_Brutas!AS58),"R$",""),".",""),",","."))),0)=0,"",(IFERROR(VALUE(TRIM(SUBSTITUTE(SUBSTITUTE(SUBSTITUTE(TRIM(Respostas_Brutas!AS58),"R$",""),".",""),",","."))),0)-IFERROR(VALUE(TRIM(SUBSTITUTE(SUBSTITUTE(SUBSTITUTE(TRIM(Respostas_Brutas!T58),"R$",""),".",""),",","."))),0))/IFERROR(VALUE(TRIM(SUBSTITUTE(SUBSTITUTE(SUBSTITUTE(TRIM(Respostas_Brutas!AS58),"R$",""),".",""),",","."))),0)),""))</f>
        <v/>
      </c>
      <c r="C58" s="4" t="str">
        <f>IF(Respostas_Brutas!B58="","",MIN(1,(IFERROR(VALUE(LEFT(Respostas_Brutas!I58,IFERROR(FIND(" ",Respostas_Brutas!I58)-1,LEN(Respostas_Brutas!I58)))),0)+IFERROR(VALUE(LEFT(Respostas_Brutas!O58,IFERROR(FIND(" ",Respostas_Brutas!O58)-1,LEN(Respostas_Brutas!O58)))),0))/20))</f>
        <v/>
      </c>
      <c r="D58" s="4" t="str">
        <f>IF(Respostas_Brutas!B58="","",IF(Respostas_Brutas!D58="","",MIN(1,MAX(0,(YEAR(TODAY())-N(Respostas_Brutas!D58))/15))))</f>
        <v/>
      </c>
      <c r="E58" s="4" t="str">
        <f>IF(Respostas_Brutas!B58="","",IF(ISNUMBER(SEARCH("Sim",Respostas_Brutas!S58)),1,0))</f>
        <v/>
      </c>
      <c r="F58" s="4" t="str">
        <f>IF(Respostas_Brutas!B58="","",IFERROR(N(Respostas_Brutas!Y58)/N(Respostas_Brutas!Z58),""))</f>
        <v/>
      </c>
      <c r="G58" s="4" t="str">
        <f>IF(Respostas_Brutas!B58="","",IF(Respostas_Brutas!K58&lt;&gt;"",1,0))</f>
        <v/>
      </c>
      <c r="H58" s="4" t="str">
        <f>IF(Respostas_Brutas!B58="","",IF(ISNUMBER(SEARCH("Não",Respostas_Brutas!AH58)),1,0))</f>
        <v/>
      </c>
      <c r="I58" s="4" t="str">
        <f>IF(Respostas_Brutas!B58="","",IF(ISNUMBER(SEARCH("Sim",Respostas_Brutas!AL58)),1,0))</f>
        <v/>
      </c>
      <c r="J58" s="4" t="str">
        <f>IF(Respostas_Brutas!B58="","",IF(Respostas_Brutas!AN58="","",MIN(1,MAX(0,(N(Respostas_Brutas!AN58)-1)/4))))</f>
        <v/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tr">
        <f>IF(Respostas_Brutas!B59="","",Respostas_Brutas!B59)</f>
        <v/>
      </c>
      <c r="B59" s="4" t="str">
        <f>IF(Respostas_Brutas!B59="","",IFERROR(IF(IFERROR(VALUE(TRIM(SUBSTITUTE(SUBSTITUTE(SUBSTITUTE(TRIM(Respostas_Brutas!AS59),"R$",""),".",""),",","."))),0)=0,"",(IFERROR(VALUE(TRIM(SUBSTITUTE(SUBSTITUTE(SUBSTITUTE(TRIM(Respostas_Brutas!AS59),"R$",""),".",""),",","."))),0)-IFERROR(VALUE(TRIM(SUBSTITUTE(SUBSTITUTE(SUBSTITUTE(TRIM(Respostas_Brutas!T59),"R$",""),".",""),",","."))),0))/IFERROR(VALUE(TRIM(SUBSTITUTE(SUBSTITUTE(SUBSTITUTE(TRIM(Respostas_Brutas!AS59),"R$",""),".",""),",","."))),0)),""))</f>
        <v/>
      </c>
      <c r="C59" s="4" t="str">
        <f>IF(Respostas_Brutas!B59="","",MIN(1,(IFERROR(VALUE(LEFT(Respostas_Brutas!I59,IFERROR(FIND(" ",Respostas_Brutas!I59)-1,LEN(Respostas_Brutas!I59)))),0)+IFERROR(VALUE(LEFT(Respostas_Brutas!O59,IFERROR(FIND(" ",Respostas_Brutas!O59)-1,LEN(Respostas_Brutas!O59)))),0))/20))</f>
        <v/>
      </c>
      <c r="D59" s="4" t="str">
        <f>IF(Respostas_Brutas!B59="","",IF(Respostas_Brutas!D59="","",MIN(1,MAX(0,(YEAR(TODAY())-N(Respostas_Brutas!D59))/15))))</f>
        <v/>
      </c>
      <c r="E59" s="4" t="str">
        <f>IF(Respostas_Brutas!B59="","",IF(ISNUMBER(SEARCH("Sim",Respostas_Brutas!S59)),1,0))</f>
        <v/>
      </c>
      <c r="F59" s="4" t="str">
        <f>IF(Respostas_Brutas!B59="","",IFERROR(N(Respostas_Brutas!Y59)/N(Respostas_Brutas!Z59),""))</f>
        <v/>
      </c>
      <c r="G59" s="4" t="str">
        <f>IF(Respostas_Brutas!B59="","",IF(Respostas_Brutas!K59&lt;&gt;"",1,0))</f>
        <v/>
      </c>
      <c r="H59" s="4" t="str">
        <f>IF(Respostas_Brutas!B59="","",IF(ISNUMBER(SEARCH("Não",Respostas_Brutas!AH59)),1,0))</f>
        <v/>
      </c>
      <c r="I59" s="4" t="str">
        <f>IF(Respostas_Brutas!B59="","",IF(ISNUMBER(SEARCH("Sim",Respostas_Brutas!AL59)),1,0))</f>
        <v/>
      </c>
      <c r="J59" s="4" t="str">
        <f>IF(Respostas_Brutas!B59="","",IF(Respostas_Brutas!AN59="","",MIN(1,MAX(0,(N(Respostas_Brutas!AN59)-1)/4))))</f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tr">
        <f>IF(Respostas_Brutas!B60="","",Respostas_Brutas!B60)</f>
        <v/>
      </c>
      <c r="B60" s="4" t="str">
        <f>IF(Respostas_Brutas!B60="","",IFERROR(IF(IFERROR(VALUE(TRIM(SUBSTITUTE(SUBSTITUTE(SUBSTITUTE(TRIM(Respostas_Brutas!AS60),"R$",""),".",""),",","."))),0)=0,"",(IFERROR(VALUE(TRIM(SUBSTITUTE(SUBSTITUTE(SUBSTITUTE(TRIM(Respostas_Brutas!AS60),"R$",""),".",""),",","."))),0)-IFERROR(VALUE(TRIM(SUBSTITUTE(SUBSTITUTE(SUBSTITUTE(TRIM(Respostas_Brutas!T60),"R$",""),".",""),",","."))),0))/IFERROR(VALUE(TRIM(SUBSTITUTE(SUBSTITUTE(SUBSTITUTE(TRIM(Respostas_Brutas!AS60),"R$",""),".",""),",","."))),0)),""))</f>
        <v/>
      </c>
      <c r="C60" s="4" t="str">
        <f>IF(Respostas_Brutas!B60="","",MIN(1,(IFERROR(VALUE(LEFT(Respostas_Brutas!I60,IFERROR(FIND(" ",Respostas_Brutas!I60)-1,LEN(Respostas_Brutas!I60)))),0)+IFERROR(VALUE(LEFT(Respostas_Brutas!O60,IFERROR(FIND(" ",Respostas_Brutas!O60)-1,LEN(Respostas_Brutas!O60)))),0))/20))</f>
        <v/>
      </c>
      <c r="D60" s="4" t="str">
        <f>IF(Respostas_Brutas!B60="","",IF(Respostas_Brutas!D60="","",MIN(1,MAX(0,(YEAR(TODAY())-N(Respostas_Brutas!D60))/15))))</f>
        <v/>
      </c>
      <c r="E60" s="4" t="str">
        <f>IF(Respostas_Brutas!B60="","",IF(ISNUMBER(SEARCH("Sim",Respostas_Brutas!S60)),1,0))</f>
        <v/>
      </c>
      <c r="F60" s="4" t="str">
        <f>IF(Respostas_Brutas!B60="","",IFERROR(N(Respostas_Brutas!Y60)/N(Respostas_Brutas!Z60),""))</f>
        <v/>
      </c>
      <c r="G60" s="4" t="str">
        <f>IF(Respostas_Brutas!B60="","",IF(Respostas_Brutas!K60&lt;&gt;"",1,0))</f>
        <v/>
      </c>
      <c r="H60" s="4" t="str">
        <f>IF(Respostas_Brutas!B60="","",IF(ISNUMBER(SEARCH("Não",Respostas_Brutas!AH60)),1,0))</f>
        <v/>
      </c>
      <c r="I60" s="4" t="str">
        <f>IF(Respostas_Brutas!B60="","",IF(ISNUMBER(SEARCH("Sim",Respostas_Brutas!AL60)),1,0))</f>
        <v/>
      </c>
      <c r="J60" s="4" t="str">
        <f>IF(Respostas_Brutas!B60="","",IF(Respostas_Brutas!AN60="","",MIN(1,MAX(0,(N(Respostas_Brutas!AN60)-1)/4))))</f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tr">
        <f>IF(Respostas_Brutas!B61="","",Respostas_Brutas!B61)</f>
        <v/>
      </c>
      <c r="B61" s="4" t="str">
        <f>IF(Respostas_Brutas!B61="","",IFERROR(IF(IFERROR(VALUE(TRIM(SUBSTITUTE(SUBSTITUTE(SUBSTITUTE(TRIM(Respostas_Brutas!AS61),"R$",""),".",""),",","."))),0)=0,"",(IFERROR(VALUE(TRIM(SUBSTITUTE(SUBSTITUTE(SUBSTITUTE(TRIM(Respostas_Brutas!AS61),"R$",""),".",""),",","."))),0)-IFERROR(VALUE(TRIM(SUBSTITUTE(SUBSTITUTE(SUBSTITUTE(TRIM(Respostas_Brutas!T61),"R$",""),".",""),",","."))),0))/IFERROR(VALUE(TRIM(SUBSTITUTE(SUBSTITUTE(SUBSTITUTE(TRIM(Respostas_Brutas!AS61),"R$",""),".",""),",","."))),0)),""))</f>
        <v/>
      </c>
      <c r="C61" s="4" t="str">
        <f>IF(Respostas_Brutas!B61="","",MIN(1,(IFERROR(VALUE(LEFT(Respostas_Brutas!I61,IFERROR(FIND(" ",Respostas_Brutas!I61)-1,LEN(Respostas_Brutas!I61)))),0)+IFERROR(VALUE(LEFT(Respostas_Brutas!O61,IFERROR(FIND(" ",Respostas_Brutas!O61)-1,LEN(Respostas_Brutas!O61)))),0))/20))</f>
        <v/>
      </c>
      <c r="D61" s="4" t="str">
        <f>IF(Respostas_Brutas!B61="","",IF(Respostas_Brutas!D61="","",MIN(1,MAX(0,(YEAR(TODAY())-N(Respostas_Brutas!D61))/15))))</f>
        <v/>
      </c>
      <c r="E61" s="4" t="str">
        <f>IF(Respostas_Brutas!B61="","",IF(ISNUMBER(SEARCH("Sim",Respostas_Brutas!S61)),1,0))</f>
        <v/>
      </c>
      <c r="F61" s="4" t="str">
        <f>IF(Respostas_Brutas!B61="","",IFERROR(N(Respostas_Brutas!Y61)/N(Respostas_Brutas!Z61),""))</f>
        <v/>
      </c>
      <c r="G61" s="4" t="str">
        <f>IF(Respostas_Brutas!B61="","",IF(Respostas_Brutas!K61&lt;&gt;"",1,0))</f>
        <v/>
      </c>
      <c r="H61" s="4" t="str">
        <f>IF(Respostas_Brutas!B61="","",IF(ISNUMBER(SEARCH("Não",Respostas_Brutas!AH61)),1,0))</f>
        <v/>
      </c>
      <c r="I61" s="4" t="str">
        <f>IF(Respostas_Brutas!B61="","",IF(ISNUMBER(SEARCH("Sim",Respostas_Brutas!AL61)),1,0))</f>
        <v/>
      </c>
      <c r="J61" s="4" t="str">
        <f>IF(Respostas_Brutas!B61="","",IF(Respostas_Brutas!AN61="","",MIN(1,MAX(0,(N(Respostas_Brutas!AN61)-1)/4))))</f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tr">
        <f>IF(Respostas_Brutas!B62="","",Respostas_Brutas!B62)</f>
        <v/>
      </c>
      <c r="B62" s="4" t="str">
        <f>IF(Respostas_Brutas!B62="","",IFERROR(IF(IFERROR(VALUE(TRIM(SUBSTITUTE(SUBSTITUTE(SUBSTITUTE(TRIM(Respostas_Brutas!AS62),"R$",""),".",""),",","."))),0)=0,"",(IFERROR(VALUE(TRIM(SUBSTITUTE(SUBSTITUTE(SUBSTITUTE(TRIM(Respostas_Brutas!AS62),"R$",""),".",""),",","."))),0)-IFERROR(VALUE(TRIM(SUBSTITUTE(SUBSTITUTE(SUBSTITUTE(TRIM(Respostas_Brutas!T62),"R$",""),".",""),",","."))),0))/IFERROR(VALUE(TRIM(SUBSTITUTE(SUBSTITUTE(SUBSTITUTE(TRIM(Respostas_Brutas!AS62),"R$",""),".",""),",","."))),0)),""))</f>
        <v/>
      </c>
      <c r="C62" s="4" t="str">
        <f>IF(Respostas_Brutas!B62="","",MIN(1,(IFERROR(VALUE(LEFT(Respostas_Brutas!I62,IFERROR(FIND(" ",Respostas_Brutas!I62)-1,LEN(Respostas_Brutas!I62)))),0)+IFERROR(VALUE(LEFT(Respostas_Brutas!O62,IFERROR(FIND(" ",Respostas_Brutas!O62)-1,LEN(Respostas_Brutas!O62)))),0))/20))</f>
        <v/>
      </c>
      <c r="D62" s="4" t="str">
        <f>IF(Respostas_Brutas!B62="","",IF(Respostas_Brutas!D62="","",MIN(1,MAX(0,(YEAR(TODAY())-N(Respostas_Brutas!D62))/15))))</f>
        <v/>
      </c>
      <c r="E62" s="4" t="str">
        <f>IF(Respostas_Brutas!B62="","",IF(ISNUMBER(SEARCH("Sim",Respostas_Brutas!S62)),1,0))</f>
        <v/>
      </c>
      <c r="F62" s="4" t="str">
        <f>IF(Respostas_Brutas!B62="","",IFERROR(N(Respostas_Brutas!Y62)/N(Respostas_Brutas!Z62),""))</f>
        <v/>
      </c>
      <c r="G62" s="4" t="str">
        <f>IF(Respostas_Brutas!B62="","",IF(Respostas_Brutas!K62&lt;&gt;"",1,0))</f>
        <v/>
      </c>
      <c r="H62" s="4" t="str">
        <f>IF(Respostas_Brutas!B62="","",IF(ISNUMBER(SEARCH("Não",Respostas_Brutas!AH62)),1,0))</f>
        <v/>
      </c>
      <c r="I62" s="4" t="str">
        <f>IF(Respostas_Brutas!B62="","",IF(ISNUMBER(SEARCH("Sim",Respostas_Brutas!AL62)),1,0))</f>
        <v/>
      </c>
      <c r="J62" s="4" t="str">
        <f>IF(Respostas_Brutas!B62="","",IF(Respostas_Brutas!AN62="","",MIN(1,MAX(0,(N(Respostas_Brutas!AN62)-1)/4))))</f>
        <v/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tr">
        <f>IF(Respostas_Brutas!B63="","",Respostas_Brutas!B63)</f>
        <v/>
      </c>
      <c r="B63" s="4" t="str">
        <f>IF(Respostas_Brutas!B63="","",IFERROR(IF(IFERROR(VALUE(TRIM(SUBSTITUTE(SUBSTITUTE(SUBSTITUTE(TRIM(Respostas_Brutas!AS63),"R$",""),".",""),",","."))),0)=0,"",(IFERROR(VALUE(TRIM(SUBSTITUTE(SUBSTITUTE(SUBSTITUTE(TRIM(Respostas_Brutas!AS63),"R$",""),".",""),",","."))),0)-IFERROR(VALUE(TRIM(SUBSTITUTE(SUBSTITUTE(SUBSTITUTE(TRIM(Respostas_Brutas!T63),"R$",""),".",""),",","."))),0))/IFERROR(VALUE(TRIM(SUBSTITUTE(SUBSTITUTE(SUBSTITUTE(TRIM(Respostas_Brutas!AS63),"R$",""),".",""),",","."))),0)),""))</f>
        <v/>
      </c>
      <c r="C63" s="4" t="str">
        <f>IF(Respostas_Brutas!B63="","",MIN(1,(IFERROR(VALUE(LEFT(Respostas_Brutas!I63,IFERROR(FIND(" ",Respostas_Brutas!I63)-1,LEN(Respostas_Brutas!I63)))),0)+IFERROR(VALUE(LEFT(Respostas_Brutas!O63,IFERROR(FIND(" ",Respostas_Brutas!O63)-1,LEN(Respostas_Brutas!O63)))),0))/20))</f>
        <v/>
      </c>
      <c r="D63" s="4" t="str">
        <f>IF(Respostas_Brutas!B63="","",IF(Respostas_Brutas!D63="","",MIN(1,MAX(0,(YEAR(TODAY())-N(Respostas_Brutas!D63))/15))))</f>
        <v/>
      </c>
      <c r="E63" s="4" t="str">
        <f>IF(Respostas_Brutas!B63="","",IF(ISNUMBER(SEARCH("Sim",Respostas_Brutas!S63)),1,0))</f>
        <v/>
      </c>
      <c r="F63" s="4" t="str">
        <f>IF(Respostas_Brutas!B63="","",IFERROR(N(Respostas_Brutas!Y63)/N(Respostas_Brutas!Z63),""))</f>
        <v/>
      </c>
      <c r="G63" s="4" t="str">
        <f>IF(Respostas_Brutas!B63="","",IF(Respostas_Brutas!K63&lt;&gt;"",1,0))</f>
        <v/>
      </c>
      <c r="H63" s="4" t="str">
        <f>IF(Respostas_Brutas!B63="","",IF(ISNUMBER(SEARCH("Não",Respostas_Brutas!AH63)),1,0))</f>
        <v/>
      </c>
      <c r="I63" s="4" t="str">
        <f>IF(Respostas_Brutas!B63="","",IF(ISNUMBER(SEARCH("Sim",Respostas_Brutas!AL63)),1,0))</f>
        <v/>
      </c>
      <c r="J63" s="4" t="str">
        <f>IF(Respostas_Brutas!B63="","",IF(Respostas_Brutas!AN63="","",MIN(1,MAX(0,(N(Respostas_Brutas!AN63)-1)/4))))</f>
        <v/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tr">
        <f>IF(Respostas_Brutas!B64="","",Respostas_Brutas!B64)</f>
        <v/>
      </c>
      <c r="B64" s="4" t="str">
        <f>IF(Respostas_Brutas!B64="","",IFERROR(IF(IFERROR(VALUE(TRIM(SUBSTITUTE(SUBSTITUTE(SUBSTITUTE(TRIM(Respostas_Brutas!AS64),"R$",""),".",""),",","."))),0)=0,"",(IFERROR(VALUE(TRIM(SUBSTITUTE(SUBSTITUTE(SUBSTITUTE(TRIM(Respostas_Brutas!AS64),"R$",""),".",""),",","."))),0)-IFERROR(VALUE(TRIM(SUBSTITUTE(SUBSTITUTE(SUBSTITUTE(TRIM(Respostas_Brutas!T64),"R$",""),".",""),",","."))),0))/IFERROR(VALUE(TRIM(SUBSTITUTE(SUBSTITUTE(SUBSTITUTE(TRIM(Respostas_Brutas!AS64),"R$",""),".",""),",","."))),0)),""))</f>
        <v/>
      </c>
      <c r="C64" s="4" t="str">
        <f>IF(Respostas_Brutas!B64="","",MIN(1,(IFERROR(VALUE(LEFT(Respostas_Brutas!I64,IFERROR(FIND(" ",Respostas_Brutas!I64)-1,LEN(Respostas_Brutas!I64)))),0)+IFERROR(VALUE(LEFT(Respostas_Brutas!O64,IFERROR(FIND(" ",Respostas_Brutas!O64)-1,LEN(Respostas_Brutas!O64)))),0))/20))</f>
        <v/>
      </c>
      <c r="D64" s="4" t="str">
        <f>IF(Respostas_Brutas!B64="","",IF(Respostas_Brutas!D64="","",MIN(1,MAX(0,(YEAR(TODAY())-N(Respostas_Brutas!D64))/15))))</f>
        <v/>
      </c>
      <c r="E64" s="4" t="str">
        <f>IF(Respostas_Brutas!B64="","",IF(ISNUMBER(SEARCH("Sim",Respostas_Brutas!S64)),1,0))</f>
        <v/>
      </c>
      <c r="F64" s="4" t="str">
        <f>IF(Respostas_Brutas!B64="","",IFERROR(N(Respostas_Brutas!Y64)/N(Respostas_Brutas!Z64),""))</f>
        <v/>
      </c>
      <c r="G64" s="4" t="str">
        <f>IF(Respostas_Brutas!B64="","",IF(Respostas_Brutas!K64&lt;&gt;"",1,0))</f>
        <v/>
      </c>
      <c r="H64" s="4" t="str">
        <f>IF(Respostas_Brutas!B64="","",IF(ISNUMBER(SEARCH("Não",Respostas_Brutas!AH64)),1,0))</f>
        <v/>
      </c>
      <c r="I64" s="4" t="str">
        <f>IF(Respostas_Brutas!B64="","",IF(ISNUMBER(SEARCH("Sim",Respostas_Brutas!AL64)),1,0))</f>
        <v/>
      </c>
      <c r="J64" s="4" t="str">
        <f>IF(Respostas_Brutas!B64="","",IF(Respostas_Brutas!AN64="","",MIN(1,MAX(0,(N(Respostas_Brutas!AN64)-1)/4))))</f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tr">
        <f>IF(Respostas_Brutas!B65="","",Respostas_Brutas!B65)</f>
        <v/>
      </c>
      <c r="B65" s="4" t="str">
        <f>IF(Respostas_Brutas!B65="","",IFERROR(IF(IFERROR(VALUE(TRIM(SUBSTITUTE(SUBSTITUTE(SUBSTITUTE(TRIM(Respostas_Brutas!AS65),"R$",""),".",""),",","."))),0)=0,"",(IFERROR(VALUE(TRIM(SUBSTITUTE(SUBSTITUTE(SUBSTITUTE(TRIM(Respostas_Brutas!AS65),"R$",""),".",""),",","."))),0)-IFERROR(VALUE(TRIM(SUBSTITUTE(SUBSTITUTE(SUBSTITUTE(TRIM(Respostas_Brutas!T65),"R$",""),".",""),",","."))),0))/IFERROR(VALUE(TRIM(SUBSTITUTE(SUBSTITUTE(SUBSTITUTE(TRIM(Respostas_Brutas!AS65),"R$",""),".",""),",","."))),0)),""))</f>
        <v/>
      </c>
      <c r="C65" s="4" t="str">
        <f>IF(Respostas_Brutas!B65="","",MIN(1,(IFERROR(VALUE(LEFT(Respostas_Brutas!I65,IFERROR(FIND(" ",Respostas_Brutas!I65)-1,LEN(Respostas_Brutas!I65)))),0)+IFERROR(VALUE(LEFT(Respostas_Brutas!O65,IFERROR(FIND(" ",Respostas_Brutas!O65)-1,LEN(Respostas_Brutas!O65)))),0))/20))</f>
        <v/>
      </c>
      <c r="D65" s="4" t="str">
        <f>IF(Respostas_Brutas!B65="","",IF(Respostas_Brutas!D65="","",MIN(1,MAX(0,(YEAR(TODAY())-N(Respostas_Brutas!D65))/15))))</f>
        <v/>
      </c>
      <c r="E65" s="4" t="str">
        <f>IF(Respostas_Brutas!B65="","",IF(ISNUMBER(SEARCH("Sim",Respostas_Brutas!S65)),1,0))</f>
        <v/>
      </c>
      <c r="F65" s="4" t="str">
        <f>IF(Respostas_Brutas!B65="","",IFERROR(N(Respostas_Brutas!Y65)/N(Respostas_Brutas!Z65),""))</f>
        <v/>
      </c>
      <c r="G65" s="4" t="str">
        <f>IF(Respostas_Brutas!B65="","",IF(Respostas_Brutas!K65&lt;&gt;"",1,0))</f>
        <v/>
      </c>
      <c r="H65" s="4" t="str">
        <f>IF(Respostas_Brutas!B65="","",IF(ISNUMBER(SEARCH("Não",Respostas_Brutas!AH65)),1,0))</f>
        <v/>
      </c>
      <c r="I65" s="4" t="str">
        <f>IF(Respostas_Brutas!B65="","",IF(ISNUMBER(SEARCH("Sim",Respostas_Brutas!AL65)),1,0))</f>
        <v/>
      </c>
      <c r="J65" s="4" t="str">
        <f>IF(Respostas_Brutas!B65="","",IF(Respostas_Brutas!AN65="","",MIN(1,MAX(0,(N(Respostas_Brutas!AN65)-1)/4))))</f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tr">
        <f>IF(Respostas_Brutas!B66="","",Respostas_Brutas!B66)</f>
        <v/>
      </c>
      <c r="B66" s="4" t="str">
        <f>IF(Respostas_Brutas!B66="","",IFERROR(IF(IFERROR(VALUE(TRIM(SUBSTITUTE(SUBSTITUTE(SUBSTITUTE(TRIM(Respostas_Brutas!AS66),"R$",""),".",""),",","."))),0)=0,"",(IFERROR(VALUE(TRIM(SUBSTITUTE(SUBSTITUTE(SUBSTITUTE(TRIM(Respostas_Brutas!AS66),"R$",""),".",""),",","."))),0)-IFERROR(VALUE(TRIM(SUBSTITUTE(SUBSTITUTE(SUBSTITUTE(TRIM(Respostas_Brutas!T66),"R$",""),".",""),",","."))),0))/IFERROR(VALUE(TRIM(SUBSTITUTE(SUBSTITUTE(SUBSTITUTE(TRIM(Respostas_Brutas!AS66),"R$",""),".",""),",","."))),0)),""))</f>
        <v/>
      </c>
      <c r="C66" s="4" t="str">
        <f>IF(Respostas_Brutas!B66="","",MIN(1,(IFERROR(VALUE(LEFT(Respostas_Brutas!I66,IFERROR(FIND(" ",Respostas_Brutas!I66)-1,LEN(Respostas_Brutas!I66)))),0)+IFERROR(VALUE(LEFT(Respostas_Brutas!O66,IFERROR(FIND(" ",Respostas_Brutas!O66)-1,LEN(Respostas_Brutas!O66)))),0))/20))</f>
        <v/>
      </c>
      <c r="D66" s="4" t="str">
        <f>IF(Respostas_Brutas!B66="","",IF(Respostas_Brutas!D66="","",MIN(1,MAX(0,(YEAR(TODAY())-N(Respostas_Brutas!D66))/15))))</f>
        <v/>
      </c>
      <c r="E66" s="4" t="str">
        <f>IF(Respostas_Brutas!B66="","",IF(ISNUMBER(SEARCH("Sim",Respostas_Brutas!S66)),1,0))</f>
        <v/>
      </c>
      <c r="F66" s="4" t="str">
        <f>IF(Respostas_Brutas!B66="","",IFERROR(N(Respostas_Brutas!Y66)/N(Respostas_Brutas!Z66),""))</f>
        <v/>
      </c>
      <c r="G66" s="4" t="str">
        <f>IF(Respostas_Brutas!B66="","",IF(Respostas_Brutas!K66&lt;&gt;"",1,0))</f>
        <v/>
      </c>
      <c r="H66" s="4" t="str">
        <f>IF(Respostas_Brutas!B66="","",IF(ISNUMBER(SEARCH("Não",Respostas_Brutas!AH66)),1,0))</f>
        <v/>
      </c>
      <c r="I66" s="4" t="str">
        <f>IF(Respostas_Brutas!B66="","",IF(ISNUMBER(SEARCH("Sim",Respostas_Brutas!AL66)),1,0))</f>
        <v/>
      </c>
      <c r="J66" s="4" t="str">
        <f>IF(Respostas_Brutas!B66="","",IF(Respostas_Brutas!AN66="","",MIN(1,MAX(0,(N(Respostas_Brutas!AN66)-1)/4))))</f>
        <v/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tr">
        <f>IF(Respostas_Brutas!B67="","",Respostas_Brutas!B67)</f>
        <v/>
      </c>
      <c r="B67" s="4" t="str">
        <f>IF(Respostas_Brutas!B67="","",IFERROR(IF(IFERROR(VALUE(TRIM(SUBSTITUTE(SUBSTITUTE(SUBSTITUTE(TRIM(Respostas_Brutas!AS67),"R$",""),".",""),",","."))),0)=0,"",(IFERROR(VALUE(TRIM(SUBSTITUTE(SUBSTITUTE(SUBSTITUTE(TRIM(Respostas_Brutas!AS67),"R$",""),".",""),",","."))),0)-IFERROR(VALUE(TRIM(SUBSTITUTE(SUBSTITUTE(SUBSTITUTE(TRIM(Respostas_Brutas!T67),"R$",""),".",""),",","."))),0))/IFERROR(VALUE(TRIM(SUBSTITUTE(SUBSTITUTE(SUBSTITUTE(TRIM(Respostas_Brutas!AS67),"R$",""),".",""),",","."))),0)),""))</f>
        <v/>
      </c>
      <c r="C67" s="4" t="str">
        <f>IF(Respostas_Brutas!B67="","",MIN(1,(IFERROR(VALUE(LEFT(Respostas_Brutas!I67,IFERROR(FIND(" ",Respostas_Brutas!I67)-1,LEN(Respostas_Brutas!I67)))),0)+IFERROR(VALUE(LEFT(Respostas_Brutas!O67,IFERROR(FIND(" ",Respostas_Brutas!O67)-1,LEN(Respostas_Brutas!O67)))),0))/20))</f>
        <v/>
      </c>
      <c r="D67" s="4" t="str">
        <f>IF(Respostas_Brutas!B67="","",IF(Respostas_Brutas!D67="","",MIN(1,MAX(0,(YEAR(TODAY())-N(Respostas_Brutas!D67))/15))))</f>
        <v/>
      </c>
      <c r="E67" s="4" t="str">
        <f>IF(Respostas_Brutas!B67="","",IF(ISNUMBER(SEARCH("Sim",Respostas_Brutas!S67)),1,0))</f>
        <v/>
      </c>
      <c r="F67" s="4" t="str">
        <f>IF(Respostas_Brutas!B67="","",IFERROR(N(Respostas_Brutas!Y67)/N(Respostas_Brutas!Z67),""))</f>
        <v/>
      </c>
      <c r="G67" s="4" t="str">
        <f>IF(Respostas_Brutas!B67="","",IF(Respostas_Brutas!K67&lt;&gt;"",1,0))</f>
        <v/>
      </c>
      <c r="H67" s="4" t="str">
        <f>IF(Respostas_Brutas!B67="","",IF(ISNUMBER(SEARCH("Não",Respostas_Brutas!AH67)),1,0))</f>
        <v/>
      </c>
      <c r="I67" s="4" t="str">
        <f>IF(Respostas_Brutas!B67="","",IF(ISNUMBER(SEARCH("Sim",Respostas_Brutas!AL67)),1,0))</f>
        <v/>
      </c>
      <c r="J67" s="4" t="str">
        <f>IF(Respostas_Brutas!B67="","",IF(Respostas_Brutas!AN67="","",MIN(1,MAX(0,(N(Respostas_Brutas!AN67)-1)/4))))</f>
        <v/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tr">
        <f>IF(Respostas_Brutas!B68="","",Respostas_Brutas!B68)</f>
        <v/>
      </c>
      <c r="B68" s="4" t="str">
        <f>IF(Respostas_Brutas!B68="","",IFERROR(IF(IFERROR(VALUE(TRIM(SUBSTITUTE(SUBSTITUTE(SUBSTITUTE(TRIM(Respostas_Brutas!AS68),"R$",""),".",""),",","."))),0)=0,"",(IFERROR(VALUE(TRIM(SUBSTITUTE(SUBSTITUTE(SUBSTITUTE(TRIM(Respostas_Brutas!AS68),"R$",""),".",""),",","."))),0)-IFERROR(VALUE(TRIM(SUBSTITUTE(SUBSTITUTE(SUBSTITUTE(TRIM(Respostas_Brutas!T68),"R$",""),".",""),",","."))),0))/IFERROR(VALUE(TRIM(SUBSTITUTE(SUBSTITUTE(SUBSTITUTE(TRIM(Respostas_Brutas!AS68),"R$",""),".",""),",","."))),0)),""))</f>
        <v/>
      </c>
      <c r="C68" s="4" t="str">
        <f>IF(Respostas_Brutas!B68="","",MIN(1,(IFERROR(VALUE(LEFT(Respostas_Brutas!I68,IFERROR(FIND(" ",Respostas_Brutas!I68)-1,LEN(Respostas_Brutas!I68)))),0)+IFERROR(VALUE(LEFT(Respostas_Brutas!O68,IFERROR(FIND(" ",Respostas_Brutas!O68)-1,LEN(Respostas_Brutas!O68)))),0))/20))</f>
        <v/>
      </c>
      <c r="D68" s="4" t="str">
        <f>IF(Respostas_Brutas!B68="","",IF(Respostas_Brutas!D68="","",MIN(1,MAX(0,(YEAR(TODAY())-N(Respostas_Brutas!D68))/15))))</f>
        <v/>
      </c>
      <c r="E68" s="4" t="str">
        <f>IF(Respostas_Brutas!B68="","",IF(ISNUMBER(SEARCH("Sim",Respostas_Brutas!S68)),1,0))</f>
        <v/>
      </c>
      <c r="F68" s="4" t="str">
        <f>IF(Respostas_Brutas!B68="","",IFERROR(N(Respostas_Brutas!Y68)/N(Respostas_Brutas!Z68),""))</f>
        <v/>
      </c>
      <c r="G68" s="4" t="str">
        <f>IF(Respostas_Brutas!B68="","",IF(Respostas_Brutas!K68&lt;&gt;"",1,0))</f>
        <v/>
      </c>
      <c r="H68" s="4" t="str">
        <f>IF(Respostas_Brutas!B68="","",IF(ISNUMBER(SEARCH("Não",Respostas_Brutas!AH68)),1,0))</f>
        <v/>
      </c>
      <c r="I68" s="4" t="str">
        <f>IF(Respostas_Brutas!B68="","",IF(ISNUMBER(SEARCH("Sim",Respostas_Brutas!AL68)),1,0))</f>
        <v/>
      </c>
      <c r="J68" s="4" t="str">
        <f>IF(Respostas_Brutas!B68="","",IF(Respostas_Brutas!AN68="","",MIN(1,MAX(0,(N(Respostas_Brutas!AN68)-1)/4))))</f>
        <v/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tr">
        <f>IF(Respostas_Brutas!B69="","",Respostas_Brutas!B69)</f>
        <v/>
      </c>
      <c r="B69" s="4" t="str">
        <f>IF(Respostas_Brutas!B69="","",IFERROR(IF(IFERROR(VALUE(TRIM(SUBSTITUTE(SUBSTITUTE(SUBSTITUTE(TRIM(Respostas_Brutas!AS69),"R$",""),".",""),",","."))),0)=0,"",(IFERROR(VALUE(TRIM(SUBSTITUTE(SUBSTITUTE(SUBSTITUTE(TRIM(Respostas_Brutas!AS69),"R$",""),".",""),",","."))),0)-IFERROR(VALUE(TRIM(SUBSTITUTE(SUBSTITUTE(SUBSTITUTE(TRIM(Respostas_Brutas!T69),"R$",""),".",""),",","."))),0))/IFERROR(VALUE(TRIM(SUBSTITUTE(SUBSTITUTE(SUBSTITUTE(TRIM(Respostas_Brutas!AS69),"R$",""),".",""),",","."))),0)),""))</f>
        <v/>
      </c>
      <c r="C69" s="4" t="str">
        <f>IF(Respostas_Brutas!B69="","",MIN(1,(IFERROR(VALUE(LEFT(Respostas_Brutas!I69,IFERROR(FIND(" ",Respostas_Brutas!I69)-1,LEN(Respostas_Brutas!I69)))),0)+IFERROR(VALUE(LEFT(Respostas_Brutas!O69,IFERROR(FIND(" ",Respostas_Brutas!O69)-1,LEN(Respostas_Brutas!O69)))),0))/20))</f>
        <v/>
      </c>
      <c r="D69" s="4" t="str">
        <f>IF(Respostas_Brutas!B69="","",IF(Respostas_Brutas!D69="","",MIN(1,MAX(0,(YEAR(TODAY())-N(Respostas_Brutas!D69))/15))))</f>
        <v/>
      </c>
      <c r="E69" s="4" t="str">
        <f>IF(Respostas_Brutas!B69="","",IF(ISNUMBER(SEARCH("Sim",Respostas_Brutas!S69)),1,0))</f>
        <v/>
      </c>
      <c r="F69" s="4" t="str">
        <f>IF(Respostas_Brutas!B69="","",IFERROR(N(Respostas_Brutas!Y69)/N(Respostas_Brutas!Z69),""))</f>
        <v/>
      </c>
      <c r="G69" s="4" t="str">
        <f>IF(Respostas_Brutas!B69="","",IF(Respostas_Brutas!K69&lt;&gt;"",1,0))</f>
        <v/>
      </c>
      <c r="H69" s="4" t="str">
        <f>IF(Respostas_Brutas!B69="","",IF(ISNUMBER(SEARCH("Não",Respostas_Brutas!AH69)),1,0))</f>
        <v/>
      </c>
      <c r="I69" s="4" t="str">
        <f>IF(Respostas_Brutas!B69="","",IF(ISNUMBER(SEARCH("Sim",Respostas_Brutas!AL69)),1,0))</f>
        <v/>
      </c>
      <c r="J69" s="4" t="str">
        <f>IF(Respostas_Brutas!B69="","",IF(Respostas_Brutas!AN69="","",MIN(1,MAX(0,(N(Respostas_Brutas!AN69)-1)/4))))</f>
        <v/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tr">
        <f>IF(Respostas_Brutas!B70="","",Respostas_Brutas!B70)</f>
        <v/>
      </c>
      <c r="B70" s="4" t="str">
        <f>IF(Respostas_Brutas!B70="","",IFERROR(IF(IFERROR(VALUE(TRIM(SUBSTITUTE(SUBSTITUTE(SUBSTITUTE(TRIM(Respostas_Brutas!AS70),"R$",""),".",""),",","."))),0)=0,"",(IFERROR(VALUE(TRIM(SUBSTITUTE(SUBSTITUTE(SUBSTITUTE(TRIM(Respostas_Brutas!AS70),"R$",""),".",""),",","."))),0)-IFERROR(VALUE(TRIM(SUBSTITUTE(SUBSTITUTE(SUBSTITUTE(TRIM(Respostas_Brutas!T70),"R$",""),".",""),",","."))),0))/IFERROR(VALUE(TRIM(SUBSTITUTE(SUBSTITUTE(SUBSTITUTE(TRIM(Respostas_Brutas!AS70),"R$",""),".",""),",","."))),0)),""))</f>
        <v/>
      </c>
      <c r="C70" s="4" t="str">
        <f>IF(Respostas_Brutas!B70="","",MIN(1,(IFERROR(VALUE(LEFT(Respostas_Brutas!I70,IFERROR(FIND(" ",Respostas_Brutas!I70)-1,LEN(Respostas_Brutas!I70)))),0)+IFERROR(VALUE(LEFT(Respostas_Brutas!O70,IFERROR(FIND(" ",Respostas_Brutas!O70)-1,LEN(Respostas_Brutas!O70)))),0))/20))</f>
        <v/>
      </c>
      <c r="D70" s="4" t="str">
        <f>IF(Respostas_Brutas!B70="","",IF(Respostas_Brutas!D70="","",MIN(1,MAX(0,(YEAR(TODAY())-N(Respostas_Brutas!D70))/15))))</f>
        <v/>
      </c>
      <c r="E70" s="4" t="str">
        <f>IF(Respostas_Brutas!B70="","",IF(ISNUMBER(SEARCH("Sim",Respostas_Brutas!S70)),1,0))</f>
        <v/>
      </c>
      <c r="F70" s="4" t="str">
        <f>IF(Respostas_Brutas!B70="","",IFERROR(N(Respostas_Brutas!Y70)/N(Respostas_Brutas!Z70),""))</f>
        <v/>
      </c>
      <c r="G70" s="4" t="str">
        <f>IF(Respostas_Brutas!B70="","",IF(Respostas_Brutas!K70&lt;&gt;"",1,0))</f>
        <v/>
      </c>
      <c r="H70" s="4" t="str">
        <f>IF(Respostas_Brutas!B70="","",IF(ISNUMBER(SEARCH("Não",Respostas_Brutas!AH70)),1,0))</f>
        <v/>
      </c>
      <c r="I70" s="4" t="str">
        <f>IF(Respostas_Brutas!B70="","",IF(ISNUMBER(SEARCH("Sim",Respostas_Brutas!AL70)),1,0))</f>
        <v/>
      </c>
      <c r="J70" s="4" t="str">
        <f>IF(Respostas_Brutas!B70="","",IF(Respostas_Brutas!AN70="","",MIN(1,MAX(0,(N(Respostas_Brutas!AN70)-1)/4))))</f>
        <v/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tr">
        <f>IF(Respostas_Brutas!B71="","",Respostas_Brutas!B71)</f>
        <v/>
      </c>
      <c r="B71" s="4" t="str">
        <f>IF(Respostas_Brutas!B71="","",IFERROR(IF(IFERROR(VALUE(TRIM(SUBSTITUTE(SUBSTITUTE(SUBSTITUTE(TRIM(Respostas_Brutas!AS71),"R$",""),".",""),",","."))),0)=0,"",(IFERROR(VALUE(TRIM(SUBSTITUTE(SUBSTITUTE(SUBSTITUTE(TRIM(Respostas_Brutas!AS71),"R$",""),".",""),",","."))),0)-IFERROR(VALUE(TRIM(SUBSTITUTE(SUBSTITUTE(SUBSTITUTE(TRIM(Respostas_Brutas!T71),"R$",""),".",""),",","."))),0))/IFERROR(VALUE(TRIM(SUBSTITUTE(SUBSTITUTE(SUBSTITUTE(TRIM(Respostas_Brutas!AS71),"R$",""),".",""),",","."))),0)),""))</f>
        <v/>
      </c>
      <c r="C71" s="4" t="str">
        <f>IF(Respostas_Brutas!B71="","",MIN(1,(IFERROR(VALUE(LEFT(Respostas_Brutas!I71,IFERROR(FIND(" ",Respostas_Brutas!I71)-1,LEN(Respostas_Brutas!I71)))),0)+IFERROR(VALUE(LEFT(Respostas_Brutas!O71,IFERROR(FIND(" ",Respostas_Brutas!O71)-1,LEN(Respostas_Brutas!O71)))),0))/20))</f>
        <v/>
      </c>
      <c r="D71" s="4" t="str">
        <f>IF(Respostas_Brutas!B71="","",IF(Respostas_Brutas!D71="","",MIN(1,MAX(0,(YEAR(TODAY())-N(Respostas_Brutas!D71))/15))))</f>
        <v/>
      </c>
      <c r="E71" s="4" t="str">
        <f>IF(Respostas_Brutas!B71="","",IF(ISNUMBER(SEARCH("Sim",Respostas_Brutas!S71)),1,0))</f>
        <v/>
      </c>
      <c r="F71" s="4" t="str">
        <f>IF(Respostas_Brutas!B71="","",IFERROR(N(Respostas_Brutas!Y71)/N(Respostas_Brutas!Z71),""))</f>
        <v/>
      </c>
      <c r="G71" s="4" t="str">
        <f>IF(Respostas_Brutas!B71="","",IF(Respostas_Brutas!K71&lt;&gt;"",1,0))</f>
        <v/>
      </c>
      <c r="H71" s="4" t="str">
        <f>IF(Respostas_Brutas!B71="","",IF(ISNUMBER(SEARCH("Não",Respostas_Brutas!AH71)),1,0))</f>
        <v/>
      </c>
      <c r="I71" s="4" t="str">
        <f>IF(Respostas_Brutas!B71="","",IF(ISNUMBER(SEARCH("Sim",Respostas_Brutas!AL71)),1,0))</f>
        <v/>
      </c>
      <c r="J71" s="4" t="str">
        <f>IF(Respostas_Brutas!B71="","",IF(Respostas_Brutas!AN71="","",MIN(1,MAX(0,(N(Respostas_Brutas!AN71)-1)/4))))</f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tr">
        <f>IF(Respostas_Brutas!B72="","",Respostas_Brutas!B72)</f>
        <v/>
      </c>
      <c r="B72" s="4" t="str">
        <f>IF(Respostas_Brutas!B72="","",IFERROR(IF(IFERROR(VALUE(TRIM(SUBSTITUTE(SUBSTITUTE(SUBSTITUTE(TRIM(Respostas_Brutas!AS72),"R$",""),".",""),",","."))),0)=0,"",(IFERROR(VALUE(TRIM(SUBSTITUTE(SUBSTITUTE(SUBSTITUTE(TRIM(Respostas_Brutas!AS72),"R$",""),".",""),",","."))),0)-IFERROR(VALUE(TRIM(SUBSTITUTE(SUBSTITUTE(SUBSTITUTE(TRIM(Respostas_Brutas!T72),"R$",""),".",""),",","."))),0))/IFERROR(VALUE(TRIM(SUBSTITUTE(SUBSTITUTE(SUBSTITUTE(TRIM(Respostas_Brutas!AS72),"R$",""),".",""),",","."))),0)),""))</f>
        <v/>
      </c>
      <c r="C72" s="4" t="str">
        <f>IF(Respostas_Brutas!B72="","",MIN(1,(IFERROR(VALUE(LEFT(Respostas_Brutas!I72,IFERROR(FIND(" ",Respostas_Brutas!I72)-1,LEN(Respostas_Brutas!I72)))),0)+IFERROR(VALUE(LEFT(Respostas_Brutas!O72,IFERROR(FIND(" ",Respostas_Brutas!O72)-1,LEN(Respostas_Brutas!O72)))),0))/20))</f>
        <v/>
      </c>
      <c r="D72" s="4" t="str">
        <f>IF(Respostas_Brutas!B72="","",IF(Respostas_Brutas!D72="","",MIN(1,MAX(0,(YEAR(TODAY())-N(Respostas_Brutas!D72))/15))))</f>
        <v/>
      </c>
      <c r="E72" s="4" t="str">
        <f>IF(Respostas_Brutas!B72="","",IF(ISNUMBER(SEARCH("Sim",Respostas_Brutas!S72)),1,0))</f>
        <v/>
      </c>
      <c r="F72" s="4" t="str">
        <f>IF(Respostas_Brutas!B72="","",IFERROR(N(Respostas_Brutas!Y72)/N(Respostas_Brutas!Z72),""))</f>
        <v/>
      </c>
      <c r="G72" s="4" t="str">
        <f>IF(Respostas_Brutas!B72="","",IF(Respostas_Brutas!K72&lt;&gt;"",1,0))</f>
        <v/>
      </c>
      <c r="H72" s="4" t="str">
        <f>IF(Respostas_Brutas!B72="","",IF(ISNUMBER(SEARCH("Não",Respostas_Brutas!AH72)),1,0))</f>
        <v/>
      </c>
      <c r="I72" s="4" t="str">
        <f>IF(Respostas_Brutas!B72="","",IF(ISNUMBER(SEARCH("Sim",Respostas_Brutas!AL72)),1,0))</f>
        <v/>
      </c>
      <c r="J72" s="4" t="str">
        <f>IF(Respostas_Brutas!B72="","",IF(Respostas_Brutas!AN72="","",MIN(1,MAX(0,(N(Respostas_Brutas!AN72)-1)/4))))</f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tr">
        <f>IF(Respostas_Brutas!B73="","",Respostas_Brutas!B73)</f>
        <v/>
      </c>
      <c r="B73" s="4" t="str">
        <f>IF(Respostas_Brutas!B73="","",IFERROR(IF(IFERROR(VALUE(TRIM(SUBSTITUTE(SUBSTITUTE(SUBSTITUTE(TRIM(Respostas_Brutas!AS73),"R$",""),".",""),",","."))),0)=0,"",(IFERROR(VALUE(TRIM(SUBSTITUTE(SUBSTITUTE(SUBSTITUTE(TRIM(Respostas_Brutas!AS73),"R$",""),".",""),",","."))),0)-IFERROR(VALUE(TRIM(SUBSTITUTE(SUBSTITUTE(SUBSTITUTE(TRIM(Respostas_Brutas!T73),"R$",""),".",""),",","."))),0))/IFERROR(VALUE(TRIM(SUBSTITUTE(SUBSTITUTE(SUBSTITUTE(TRIM(Respostas_Brutas!AS73),"R$",""),".",""),",","."))),0)),""))</f>
        <v/>
      </c>
      <c r="C73" s="4" t="str">
        <f>IF(Respostas_Brutas!B73="","",MIN(1,(IFERROR(VALUE(LEFT(Respostas_Brutas!I73,IFERROR(FIND(" ",Respostas_Brutas!I73)-1,LEN(Respostas_Brutas!I73)))),0)+IFERROR(VALUE(LEFT(Respostas_Brutas!O73,IFERROR(FIND(" ",Respostas_Brutas!O73)-1,LEN(Respostas_Brutas!O73)))),0))/20))</f>
        <v/>
      </c>
      <c r="D73" s="4" t="str">
        <f>IF(Respostas_Brutas!B73="","",IF(Respostas_Brutas!D73="","",MIN(1,MAX(0,(YEAR(TODAY())-N(Respostas_Brutas!D73))/15))))</f>
        <v/>
      </c>
      <c r="E73" s="4" t="str">
        <f>IF(Respostas_Brutas!B73="","",IF(ISNUMBER(SEARCH("Sim",Respostas_Brutas!S73)),1,0))</f>
        <v/>
      </c>
      <c r="F73" s="4" t="str">
        <f>IF(Respostas_Brutas!B73="","",IFERROR(N(Respostas_Brutas!Y73)/N(Respostas_Brutas!Z73),""))</f>
        <v/>
      </c>
      <c r="G73" s="4" t="str">
        <f>IF(Respostas_Brutas!B73="","",IF(Respostas_Brutas!K73&lt;&gt;"",1,0))</f>
        <v/>
      </c>
      <c r="H73" s="4" t="str">
        <f>IF(Respostas_Brutas!B73="","",IF(ISNUMBER(SEARCH("Não",Respostas_Brutas!AH73)),1,0))</f>
        <v/>
      </c>
      <c r="I73" s="4" t="str">
        <f>IF(Respostas_Brutas!B73="","",IF(ISNUMBER(SEARCH("Sim",Respostas_Brutas!AL73)),1,0))</f>
        <v/>
      </c>
      <c r="J73" s="4" t="str">
        <f>IF(Respostas_Brutas!B73="","",IF(Respostas_Brutas!AN73="","",MIN(1,MAX(0,(N(Respostas_Brutas!AN73)-1)/4))))</f>
        <v/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tr">
        <f>IF(Respostas_Brutas!B74="","",Respostas_Brutas!B74)</f>
        <v/>
      </c>
      <c r="B74" s="4" t="str">
        <f>IF(Respostas_Brutas!B74="","",IFERROR(IF(IFERROR(VALUE(TRIM(SUBSTITUTE(SUBSTITUTE(SUBSTITUTE(TRIM(Respostas_Brutas!AS74),"R$",""),".",""),",","."))),0)=0,"",(IFERROR(VALUE(TRIM(SUBSTITUTE(SUBSTITUTE(SUBSTITUTE(TRIM(Respostas_Brutas!AS74),"R$",""),".",""),",","."))),0)-IFERROR(VALUE(TRIM(SUBSTITUTE(SUBSTITUTE(SUBSTITUTE(TRIM(Respostas_Brutas!T74),"R$",""),".",""),",","."))),0))/IFERROR(VALUE(TRIM(SUBSTITUTE(SUBSTITUTE(SUBSTITUTE(TRIM(Respostas_Brutas!AS74),"R$",""),".",""),",","."))),0)),""))</f>
        <v/>
      </c>
      <c r="C74" s="4" t="str">
        <f>IF(Respostas_Brutas!B74="","",MIN(1,(IFERROR(VALUE(LEFT(Respostas_Brutas!I74,IFERROR(FIND(" ",Respostas_Brutas!I74)-1,LEN(Respostas_Brutas!I74)))),0)+IFERROR(VALUE(LEFT(Respostas_Brutas!O74,IFERROR(FIND(" ",Respostas_Brutas!O74)-1,LEN(Respostas_Brutas!O74)))),0))/20))</f>
        <v/>
      </c>
      <c r="D74" s="4" t="str">
        <f>IF(Respostas_Brutas!B74="","",IF(Respostas_Brutas!D74="","",MIN(1,MAX(0,(YEAR(TODAY())-N(Respostas_Brutas!D74))/15))))</f>
        <v/>
      </c>
      <c r="E74" s="4" t="str">
        <f>IF(Respostas_Brutas!B74="","",IF(ISNUMBER(SEARCH("Sim",Respostas_Brutas!S74)),1,0))</f>
        <v/>
      </c>
      <c r="F74" s="4" t="str">
        <f>IF(Respostas_Brutas!B74="","",IFERROR(N(Respostas_Brutas!Y74)/N(Respostas_Brutas!Z74),""))</f>
        <v/>
      </c>
      <c r="G74" s="4" t="str">
        <f>IF(Respostas_Brutas!B74="","",IF(Respostas_Brutas!K74&lt;&gt;"",1,0))</f>
        <v/>
      </c>
      <c r="H74" s="4" t="str">
        <f>IF(Respostas_Brutas!B74="","",IF(ISNUMBER(SEARCH("Não",Respostas_Brutas!AH74)),1,0))</f>
        <v/>
      </c>
      <c r="I74" s="4" t="str">
        <f>IF(Respostas_Brutas!B74="","",IF(ISNUMBER(SEARCH("Sim",Respostas_Brutas!AL74)),1,0))</f>
        <v/>
      </c>
      <c r="J74" s="4" t="str">
        <f>IF(Respostas_Brutas!B74="","",IF(Respostas_Brutas!AN74="","",MIN(1,MAX(0,(N(Respostas_Brutas!AN74)-1)/4))))</f>
        <v/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tr">
        <f>IF(Respostas_Brutas!B75="","",Respostas_Brutas!B75)</f>
        <v/>
      </c>
      <c r="B75" s="4" t="str">
        <f>IF(Respostas_Brutas!B75="","",IFERROR(IF(IFERROR(VALUE(TRIM(SUBSTITUTE(SUBSTITUTE(SUBSTITUTE(TRIM(Respostas_Brutas!AS75),"R$",""),".",""),",","."))),0)=0,"",(IFERROR(VALUE(TRIM(SUBSTITUTE(SUBSTITUTE(SUBSTITUTE(TRIM(Respostas_Brutas!AS75),"R$",""),".",""),",","."))),0)-IFERROR(VALUE(TRIM(SUBSTITUTE(SUBSTITUTE(SUBSTITUTE(TRIM(Respostas_Brutas!T75),"R$",""),".",""),",","."))),0))/IFERROR(VALUE(TRIM(SUBSTITUTE(SUBSTITUTE(SUBSTITUTE(TRIM(Respostas_Brutas!AS75),"R$",""),".",""),",","."))),0)),""))</f>
        <v/>
      </c>
      <c r="C75" s="4" t="str">
        <f>IF(Respostas_Brutas!B75="","",MIN(1,(IFERROR(VALUE(LEFT(Respostas_Brutas!I75,IFERROR(FIND(" ",Respostas_Brutas!I75)-1,LEN(Respostas_Brutas!I75)))),0)+IFERROR(VALUE(LEFT(Respostas_Brutas!O75,IFERROR(FIND(" ",Respostas_Brutas!O75)-1,LEN(Respostas_Brutas!O75)))),0))/20))</f>
        <v/>
      </c>
      <c r="D75" s="4" t="str">
        <f>IF(Respostas_Brutas!B75="","",IF(Respostas_Brutas!D75="","",MIN(1,MAX(0,(YEAR(TODAY())-N(Respostas_Brutas!D75))/15))))</f>
        <v/>
      </c>
      <c r="E75" s="4" t="str">
        <f>IF(Respostas_Brutas!B75="","",IF(ISNUMBER(SEARCH("Sim",Respostas_Brutas!S75)),1,0))</f>
        <v/>
      </c>
      <c r="F75" s="4" t="str">
        <f>IF(Respostas_Brutas!B75="","",IFERROR(N(Respostas_Brutas!Y75)/N(Respostas_Brutas!Z75),""))</f>
        <v/>
      </c>
      <c r="G75" s="4" t="str">
        <f>IF(Respostas_Brutas!B75="","",IF(Respostas_Brutas!K75&lt;&gt;"",1,0))</f>
        <v/>
      </c>
      <c r="H75" s="4" t="str">
        <f>IF(Respostas_Brutas!B75="","",IF(ISNUMBER(SEARCH("Não",Respostas_Brutas!AH75)),1,0))</f>
        <v/>
      </c>
      <c r="I75" s="4" t="str">
        <f>IF(Respostas_Brutas!B75="","",IF(ISNUMBER(SEARCH("Sim",Respostas_Brutas!AL75)),1,0))</f>
        <v/>
      </c>
      <c r="J75" s="4" t="str">
        <f>IF(Respostas_Brutas!B75="","",IF(Respostas_Brutas!AN75="","",MIN(1,MAX(0,(N(Respostas_Brutas!AN75)-1)/4))))</f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tr">
        <f>IF(Respostas_Brutas!B76="","",Respostas_Brutas!B76)</f>
        <v/>
      </c>
      <c r="B76" s="4" t="str">
        <f>IF(Respostas_Brutas!B76="","",IFERROR(IF(IFERROR(VALUE(TRIM(SUBSTITUTE(SUBSTITUTE(SUBSTITUTE(TRIM(Respostas_Brutas!AS76),"R$",""),".",""),",","."))),0)=0,"",(IFERROR(VALUE(TRIM(SUBSTITUTE(SUBSTITUTE(SUBSTITUTE(TRIM(Respostas_Brutas!AS76),"R$",""),".",""),",","."))),0)-IFERROR(VALUE(TRIM(SUBSTITUTE(SUBSTITUTE(SUBSTITUTE(TRIM(Respostas_Brutas!T76),"R$",""),".",""),",","."))),0))/IFERROR(VALUE(TRIM(SUBSTITUTE(SUBSTITUTE(SUBSTITUTE(TRIM(Respostas_Brutas!AS76),"R$",""),".",""),",","."))),0)),""))</f>
        <v/>
      </c>
      <c r="C76" s="4" t="str">
        <f>IF(Respostas_Brutas!B76="","",MIN(1,(IFERROR(VALUE(LEFT(Respostas_Brutas!I76,IFERROR(FIND(" ",Respostas_Brutas!I76)-1,LEN(Respostas_Brutas!I76)))),0)+IFERROR(VALUE(LEFT(Respostas_Brutas!O76,IFERROR(FIND(" ",Respostas_Brutas!O76)-1,LEN(Respostas_Brutas!O76)))),0))/20))</f>
        <v/>
      </c>
      <c r="D76" s="4" t="str">
        <f>IF(Respostas_Brutas!B76="","",IF(Respostas_Brutas!D76="","",MIN(1,MAX(0,(YEAR(TODAY())-N(Respostas_Brutas!D76))/15))))</f>
        <v/>
      </c>
      <c r="E76" s="4" t="str">
        <f>IF(Respostas_Brutas!B76="","",IF(ISNUMBER(SEARCH("Sim",Respostas_Brutas!S76)),1,0))</f>
        <v/>
      </c>
      <c r="F76" s="4" t="str">
        <f>IF(Respostas_Brutas!B76="","",IFERROR(N(Respostas_Brutas!Y76)/N(Respostas_Brutas!Z76),""))</f>
        <v/>
      </c>
      <c r="G76" s="4" t="str">
        <f>IF(Respostas_Brutas!B76="","",IF(Respostas_Brutas!K76&lt;&gt;"",1,0))</f>
        <v/>
      </c>
      <c r="H76" s="4" t="str">
        <f>IF(Respostas_Brutas!B76="","",IF(ISNUMBER(SEARCH("Não",Respostas_Brutas!AH76)),1,0))</f>
        <v/>
      </c>
      <c r="I76" s="4" t="str">
        <f>IF(Respostas_Brutas!B76="","",IF(ISNUMBER(SEARCH("Sim",Respostas_Brutas!AL76)),1,0))</f>
        <v/>
      </c>
      <c r="J76" s="4" t="str">
        <f>IF(Respostas_Brutas!B76="","",IF(Respostas_Brutas!AN76="","",MIN(1,MAX(0,(N(Respostas_Brutas!AN76)-1)/4))))</f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tr">
        <f>IF(Respostas_Brutas!B77="","",Respostas_Brutas!B77)</f>
        <v/>
      </c>
      <c r="B77" s="4" t="str">
        <f>IF(Respostas_Brutas!B77="","",IFERROR(IF(IFERROR(VALUE(TRIM(SUBSTITUTE(SUBSTITUTE(SUBSTITUTE(TRIM(Respostas_Brutas!AS77),"R$",""),".",""),",","."))),0)=0,"",(IFERROR(VALUE(TRIM(SUBSTITUTE(SUBSTITUTE(SUBSTITUTE(TRIM(Respostas_Brutas!AS77),"R$",""),".",""),",","."))),0)-IFERROR(VALUE(TRIM(SUBSTITUTE(SUBSTITUTE(SUBSTITUTE(TRIM(Respostas_Brutas!T77),"R$",""),".",""),",","."))),0))/IFERROR(VALUE(TRIM(SUBSTITUTE(SUBSTITUTE(SUBSTITUTE(TRIM(Respostas_Brutas!AS77),"R$",""),".",""),",","."))),0)),""))</f>
        <v/>
      </c>
      <c r="C77" s="4" t="str">
        <f>IF(Respostas_Brutas!B77="","",MIN(1,(IFERROR(VALUE(LEFT(Respostas_Brutas!I77,IFERROR(FIND(" ",Respostas_Brutas!I77)-1,LEN(Respostas_Brutas!I77)))),0)+IFERROR(VALUE(LEFT(Respostas_Brutas!O77,IFERROR(FIND(" ",Respostas_Brutas!O77)-1,LEN(Respostas_Brutas!O77)))),0))/20))</f>
        <v/>
      </c>
      <c r="D77" s="4" t="str">
        <f>IF(Respostas_Brutas!B77="","",IF(Respostas_Brutas!D77="","",MIN(1,MAX(0,(YEAR(TODAY())-N(Respostas_Brutas!D77))/15))))</f>
        <v/>
      </c>
      <c r="E77" s="4" t="str">
        <f>IF(Respostas_Brutas!B77="","",IF(ISNUMBER(SEARCH("Sim",Respostas_Brutas!S77)),1,0))</f>
        <v/>
      </c>
      <c r="F77" s="4" t="str">
        <f>IF(Respostas_Brutas!B77="","",IFERROR(N(Respostas_Brutas!Y77)/N(Respostas_Brutas!Z77),""))</f>
        <v/>
      </c>
      <c r="G77" s="4" t="str">
        <f>IF(Respostas_Brutas!B77="","",IF(Respostas_Brutas!K77&lt;&gt;"",1,0))</f>
        <v/>
      </c>
      <c r="H77" s="4" t="str">
        <f>IF(Respostas_Brutas!B77="","",IF(ISNUMBER(SEARCH("Não",Respostas_Brutas!AH77)),1,0))</f>
        <v/>
      </c>
      <c r="I77" s="4" t="str">
        <f>IF(Respostas_Brutas!B77="","",IF(ISNUMBER(SEARCH("Sim",Respostas_Brutas!AL77)),1,0))</f>
        <v/>
      </c>
      <c r="J77" s="4" t="str">
        <f>IF(Respostas_Brutas!B77="","",IF(Respostas_Brutas!AN77="","",MIN(1,MAX(0,(N(Respostas_Brutas!AN77)-1)/4))))</f>
        <v/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tr">
        <f>IF(Respostas_Brutas!B78="","",Respostas_Brutas!B78)</f>
        <v/>
      </c>
      <c r="B78" s="4" t="str">
        <f>IF(Respostas_Brutas!B78="","",IFERROR(IF(IFERROR(VALUE(TRIM(SUBSTITUTE(SUBSTITUTE(SUBSTITUTE(TRIM(Respostas_Brutas!AS78),"R$",""),".",""),",","."))),0)=0,"",(IFERROR(VALUE(TRIM(SUBSTITUTE(SUBSTITUTE(SUBSTITUTE(TRIM(Respostas_Brutas!AS78),"R$",""),".",""),",","."))),0)-IFERROR(VALUE(TRIM(SUBSTITUTE(SUBSTITUTE(SUBSTITUTE(TRIM(Respostas_Brutas!T78),"R$",""),".",""),",","."))),0))/IFERROR(VALUE(TRIM(SUBSTITUTE(SUBSTITUTE(SUBSTITUTE(TRIM(Respostas_Brutas!AS78),"R$",""),".",""),",","."))),0)),""))</f>
        <v/>
      </c>
      <c r="C78" s="4" t="str">
        <f>IF(Respostas_Brutas!B78="","",MIN(1,(IFERROR(VALUE(LEFT(Respostas_Brutas!I78,IFERROR(FIND(" ",Respostas_Brutas!I78)-1,LEN(Respostas_Brutas!I78)))),0)+IFERROR(VALUE(LEFT(Respostas_Brutas!O78,IFERROR(FIND(" ",Respostas_Brutas!O78)-1,LEN(Respostas_Brutas!O78)))),0))/20))</f>
        <v/>
      </c>
      <c r="D78" s="4" t="str">
        <f>IF(Respostas_Brutas!B78="","",IF(Respostas_Brutas!D78="","",MIN(1,MAX(0,(YEAR(TODAY())-N(Respostas_Brutas!D78))/15))))</f>
        <v/>
      </c>
      <c r="E78" s="4" t="str">
        <f>IF(Respostas_Brutas!B78="","",IF(ISNUMBER(SEARCH("Sim",Respostas_Brutas!S78)),1,0))</f>
        <v/>
      </c>
      <c r="F78" s="4" t="str">
        <f>IF(Respostas_Brutas!B78="","",IFERROR(N(Respostas_Brutas!Y78)/N(Respostas_Brutas!Z78),""))</f>
        <v/>
      </c>
      <c r="G78" s="4" t="str">
        <f>IF(Respostas_Brutas!B78="","",IF(Respostas_Brutas!K78&lt;&gt;"",1,0))</f>
        <v/>
      </c>
      <c r="H78" s="4" t="str">
        <f>IF(Respostas_Brutas!B78="","",IF(ISNUMBER(SEARCH("Não",Respostas_Brutas!AH78)),1,0))</f>
        <v/>
      </c>
      <c r="I78" s="4" t="str">
        <f>IF(Respostas_Brutas!B78="","",IF(ISNUMBER(SEARCH("Sim",Respostas_Brutas!AL78)),1,0))</f>
        <v/>
      </c>
      <c r="J78" s="4" t="str">
        <f>IF(Respostas_Brutas!B78="","",IF(Respostas_Brutas!AN78="","",MIN(1,MAX(0,(N(Respostas_Brutas!AN78)-1)/4))))</f>
        <v/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tr">
        <f>IF(Respostas_Brutas!B79="","",Respostas_Brutas!B79)</f>
        <v/>
      </c>
      <c r="B79" s="4" t="str">
        <f>IF(Respostas_Brutas!B79="","",IFERROR(IF(IFERROR(VALUE(TRIM(SUBSTITUTE(SUBSTITUTE(SUBSTITUTE(TRIM(Respostas_Brutas!AS79),"R$",""),".",""),",","."))),0)=0,"",(IFERROR(VALUE(TRIM(SUBSTITUTE(SUBSTITUTE(SUBSTITUTE(TRIM(Respostas_Brutas!AS79),"R$",""),".",""),",","."))),0)-IFERROR(VALUE(TRIM(SUBSTITUTE(SUBSTITUTE(SUBSTITUTE(TRIM(Respostas_Brutas!T79),"R$",""),".",""),",","."))),0))/IFERROR(VALUE(TRIM(SUBSTITUTE(SUBSTITUTE(SUBSTITUTE(TRIM(Respostas_Brutas!AS79),"R$",""),".",""),",","."))),0)),""))</f>
        <v/>
      </c>
      <c r="C79" s="4" t="str">
        <f>IF(Respostas_Brutas!B79="","",MIN(1,(IFERROR(VALUE(LEFT(Respostas_Brutas!I79,IFERROR(FIND(" ",Respostas_Brutas!I79)-1,LEN(Respostas_Brutas!I79)))),0)+IFERROR(VALUE(LEFT(Respostas_Brutas!O79,IFERROR(FIND(" ",Respostas_Brutas!O79)-1,LEN(Respostas_Brutas!O79)))),0))/20))</f>
        <v/>
      </c>
      <c r="D79" s="4" t="str">
        <f>IF(Respostas_Brutas!B79="","",IF(Respostas_Brutas!D79="","",MIN(1,MAX(0,(YEAR(TODAY())-N(Respostas_Brutas!D79))/15))))</f>
        <v/>
      </c>
      <c r="E79" s="4" t="str">
        <f>IF(Respostas_Brutas!B79="","",IF(ISNUMBER(SEARCH("Sim",Respostas_Brutas!S79)),1,0))</f>
        <v/>
      </c>
      <c r="F79" s="4" t="str">
        <f>IF(Respostas_Brutas!B79="","",IFERROR(N(Respostas_Brutas!Y79)/N(Respostas_Brutas!Z79),""))</f>
        <v/>
      </c>
      <c r="G79" s="4" t="str">
        <f>IF(Respostas_Brutas!B79="","",IF(Respostas_Brutas!K79&lt;&gt;"",1,0))</f>
        <v/>
      </c>
      <c r="H79" s="4" t="str">
        <f>IF(Respostas_Brutas!B79="","",IF(ISNUMBER(SEARCH("Não",Respostas_Brutas!AH79)),1,0))</f>
        <v/>
      </c>
      <c r="I79" s="4" t="str">
        <f>IF(Respostas_Brutas!B79="","",IF(ISNUMBER(SEARCH("Sim",Respostas_Brutas!AL79)),1,0))</f>
        <v/>
      </c>
      <c r="J79" s="4" t="str">
        <f>IF(Respostas_Brutas!B79="","",IF(Respostas_Brutas!AN79="","",MIN(1,MAX(0,(N(Respostas_Brutas!AN79)-1)/4))))</f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tr">
        <f>IF(Respostas_Brutas!B80="","",Respostas_Brutas!B80)</f>
        <v/>
      </c>
      <c r="B80" s="4" t="str">
        <f>IF(Respostas_Brutas!B80="","",IFERROR(IF(IFERROR(VALUE(TRIM(SUBSTITUTE(SUBSTITUTE(SUBSTITUTE(TRIM(Respostas_Brutas!AS80),"R$",""),".",""),",","."))),0)=0,"",(IFERROR(VALUE(TRIM(SUBSTITUTE(SUBSTITUTE(SUBSTITUTE(TRIM(Respostas_Brutas!AS80),"R$",""),".",""),",","."))),0)-IFERROR(VALUE(TRIM(SUBSTITUTE(SUBSTITUTE(SUBSTITUTE(TRIM(Respostas_Brutas!T80),"R$",""),".",""),",","."))),0))/IFERROR(VALUE(TRIM(SUBSTITUTE(SUBSTITUTE(SUBSTITUTE(TRIM(Respostas_Brutas!AS80),"R$",""),".",""),",","."))),0)),""))</f>
        <v/>
      </c>
      <c r="C80" s="4" t="str">
        <f>IF(Respostas_Brutas!B80="","",MIN(1,(IFERROR(VALUE(LEFT(Respostas_Brutas!I80,IFERROR(FIND(" ",Respostas_Brutas!I80)-1,LEN(Respostas_Brutas!I80)))),0)+IFERROR(VALUE(LEFT(Respostas_Brutas!O80,IFERROR(FIND(" ",Respostas_Brutas!O80)-1,LEN(Respostas_Brutas!O80)))),0))/20))</f>
        <v/>
      </c>
      <c r="D80" s="4" t="str">
        <f>IF(Respostas_Brutas!B80="","",IF(Respostas_Brutas!D80="","",MIN(1,MAX(0,(YEAR(TODAY())-N(Respostas_Brutas!D80))/15))))</f>
        <v/>
      </c>
      <c r="E80" s="4" t="str">
        <f>IF(Respostas_Brutas!B80="","",IF(ISNUMBER(SEARCH("Sim",Respostas_Brutas!S80)),1,0))</f>
        <v/>
      </c>
      <c r="F80" s="4" t="str">
        <f>IF(Respostas_Brutas!B80="","",IFERROR(N(Respostas_Brutas!Y80)/N(Respostas_Brutas!Z80),""))</f>
        <v/>
      </c>
      <c r="G80" s="4" t="str">
        <f>IF(Respostas_Brutas!B80="","",IF(Respostas_Brutas!K80&lt;&gt;"",1,0))</f>
        <v/>
      </c>
      <c r="H80" s="4" t="str">
        <f>IF(Respostas_Brutas!B80="","",IF(ISNUMBER(SEARCH("Não",Respostas_Brutas!AH80)),1,0))</f>
        <v/>
      </c>
      <c r="I80" s="4" t="str">
        <f>IF(Respostas_Brutas!B80="","",IF(ISNUMBER(SEARCH("Sim",Respostas_Brutas!AL80)),1,0))</f>
        <v/>
      </c>
      <c r="J80" s="4" t="str">
        <f>IF(Respostas_Brutas!B80="","",IF(Respostas_Brutas!AN80="","",MIN(1,MAX(0,(N(Respostas_Brutas!AN80)-1)/4))))</f>
        <v/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tr">
        <f>IF(Respostas_Brutas!B81="","",Respostas_Brutas!B81)</f>
        <v/>
      </c>
      <c r="B81" s="4" t="str">
        <f>IF(Respostas_Brutas!B81="","",IFERROR(IF(IFERROR(VALUE(TRIM(SUBSTITUTE(SUBSTITUTE(SUBSTITUTE(TRIM(Respostas_Brutas!AS81),"R$",""),".",""),",","."))),0)=0,"",(IFERROR(VALUE(TRIM(SUBSTITUTE(SUBSTITUTE(SUBSTITUTE(TRIM(Respostas_Brutas!AS81),"R$",""),".",""),",","."))),0)-IFERROR(VALUE(TRIM(SUBSTITUTE(SUBSTITUTE(SUBSTITUTE(TRIM(Respostas_Brutas!T81),"R$",""),".",""),",","."))),0))/IFERROR(VALUE(TRIM(SUBSTITUTE(SUBSTITUTE(SUBSTITUTE(TRIM(Respostas_Brutas!AS81),"R$",""),".",""),",","."))),0)),""))</f>
        <v/>
      </c>
      <c r="C81" s="4" t="str">
        <f>IF(Respostas_Brutas!B81="","",MIN(1,(IFERROR(VALUE(LEFT(Respostas_Brutas!I81,IFERROR(FIND(" ",Respostas_Brutas!I81)-1,LEN(Respostas_Brutas!I81)))),0)+IFERROR(VALUE(LEFT(Respostas_Brutas!O81,IFERROR(FIND(" ",Respostas_Brutas!O81)-1,LEN(Respostas_Brutas!O81)))),0))/20))</f>
        <v/>
      </c>
      <c r="D81" s="4" t="str">
        <f>IF(Respostas_Brutas!B81="","",IF(Respostas_Brutas!D81="","",MIN(1,MAX(0,(YEAR(TODAY())-N(Respostas_Brutas!D81))/15))))</f>
        <v/>
      </c>
      <c r="E81" s="4" t="str">
        <f>IF(Respostas_Brutas!B81="","",IF(ISNUMBER(SEARCH("Sim",Respostas_Brutas!S81)),1,0))</f>
        <v/>
      </c>
      <c r="F81" s="4" t="str">
        <f>IF(Respostas_Brutas!B81="","",IFERROR(N(Respostas_Brutas!Y81)/N(Respostas_Brutas!Z81),""))</f>
        <v/>
      </c>
      <c r="G81" s="4" t="str">
        <f>IF(Respostas_Brutas!B81="","",IF(Respostas_Brutas!K81&lt;&gt;"",1,0))</f>
        <v/>
      </c>
      <c r="H81" s="4" t="str">
        <f>IF(Respostas_Brutas!B81="","",IF(ISNUMBER(SEARCH("Não",Respostas_Brutas!AH81)),1,0))</f>
        <v/>
      </c>
      <c r="I81" s="4" t="str">
        <f>IF(Respostas_Brutas!B81="","",IF(ISNUMBER(SEARCH("Sim",Respostas_Brutas!AL81)),1,0))</f>
        <v/>
      </c>
      <c r="J81" s="4" t="str">
        <f>IF(Respostas_Brutas!B81="","",IF(Respostas_Brutas!AN81="","",MIN(1,MAX(0,(N(Respostas_Brutas!AN81)-1)/4))))</f>
        <v/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tr">
        <f>IF(Respostas_Brutas!B82="","",Respostas_Brutas!B82)</f>
        <v/>
      </c>
      <c r="B82" s="4" t="str">
        <f>IF(Respostas_Brutas!B82="","",IFERROR(IF(IFERROR(VALUE(TRIM(SUBSTITUTE(SUBSTITUTE(SUBSTITUTE(TRIM(Respostas_Brutas!AS82),"R$",""),".",""),",","."))),0)=0,"",(IFERROR(VALUE(TRIM(SUBSTITUTE(SUBSTITUTE(SUBSTITUTE(TRIM(Respostas_Brutas!AS82),"R$",""),".",""),",","."))),0)-IFERROR(VALUE(TRIM(SUBSTITUTE(SUBSTITUTE(SUBSTITUTE(TRIM(Respostas_Brutas!T82),"R$",""),".",""),",","."))),0))/IFERROR(VALUE(TRIM(SUBSTITUTE(SUBSTITUTE(SUBSTITUTE(TRIM(Respostas_Brutas!AS82),"R$",""),".",""),",","."))),0)),""))</f>
        <v/>
      </c>
      <c r="C82" s="4" t="str">
        <f>IF(Respostas_Brutas!B82="","",MIN(1,(IFERROR(VALUE(LEFT(Respostas_Brutas!I82,IFERROR(FIND(" ",Respostas_Brutas!I82)-1,LEN(Respostas_Brutas!I82)))),0)+IFERROR(VALUE(LEFT(Respostas_Brutas!O82,IFERROR(FIND(" ",Respostas_Brutas!O82)-1,LEN(Respostas_Brutas!O82)))),0))/20))</f>
        <v/>
      </c>
      <c r="D82" s="4" t="str">
        <f>IF(Respostas_Brutas!B82="","",IF(Respostas_Brutas!D82="","",MIN(1,MAX(0,(YEAR(TODAY())-N(Respostas_Brutas!D82))/15))))</f>
        <v/>
      </c>
      <c r="E82" s="4" t="str">
        <f>IF(Respostas_Brutas!B82="","",IF(ISNUMBER(SEARCH("Sim",Respostas_Brutas!S82)),1,0))</f>
        <v/>
      </c>
      <c r="F82" s="4" t="str">
        <f>IF(Respostas_Brutas!B82="","",IFERROR(N(Respostas_Brutas!Y82)/N(Respostas_Brutas!Z82),""))</f>
        <v/>
      </c>
      <c r="G82" s="4" t="str">
        <f>IF(Respostas_Brutas!B82="","",IF(Respostas_Brutas!K82&lt;&gt;"",1,0))</f>
        <v/>
      </c>
      <c r="H82" s="4" t="str">
        <f>IF(Respostas_Brutas!B82="","",IF(ISNUMBER(SEARCH("Não",Respostas_Brutas!AH82)),1,0))</f>
        <v/>
      </c>
      <c r="I82" s="4" t="str">
        <f>IF(Respostas_Brutas!B82="","",IF(ISNUMBER(SEARCH("Sim",Respostas_Brutas!AL82)),1,0))</f>
        <v/>
      </c>
      <c r="J82" s="4" t="str">
        <f>IF(Respostas_Brutas!B82="","",IF(Respostas_Brutas!AN82="","",MIN(1,MAX(0,(N(Respostas_Brutas!AN82)-1)/4))))</f>
        <v/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tr">
        <f>IF(Respostas_Brutas!B83="","",Respostas_Brutas!B83)</f>
        <v/>
      </c>
      <c r="B83" s="4" t="str">
        <f>IF(Respostas_Brutas!B83="","",IFERROR(IF(IFERROR(VALUE(TRIM(SUBSTITUTE(SUBSTITUTE(SUBSTITUTE(TRIM(Respostas_Brutas!AS83),"R$",""),".",""),",","."))),0)=0,"",(IFERROR(VALUE(TRIM(SUBSTITUTE(SUBSTITUTE(SUBSTITUTE(TRIM(Respostas_Brutas!AS83),"R$",""),".",""),",","."))),0)-IFERROR(VALUE(TRIM(SUBSTITUTE(SUBSTITUTE(SUBSTITUTE(TRIM(Respostas_Brutas!T83),"R$",""),".",""),",","."))),0))/IFERROR(VALUE(TRIM(SUBSTITUTE(SUBSTITUTE(SUBSTITUTE(TRIM(Respostas_Brutas!AS83),"R$",""),".",""),",","."))),0)),""))</f>
        <v/>
      </c>
      <c r="C83" s="4" t="str">
        <f>IF(Respostas_Brutas!B83="","",MIN(1,(IFERROR(VALUE(LEFT(Respostas_Brutas!I83,IFERROR(FIND(" ",Respostas_Brutas!I83)-1,LEN(Respostas_Brutas!I83)))),0)+IFERROR(VALUE(LEFT(Respostas_Brutas!O83,IFERROR(FIND(" ",Respostas_Brutas!O83)-1,LEN(Respostas_Brutas!O83)))),0))/20))</f>
        <v/>
      </c>
      <c r="D83" s="4" t="str">
        <f>IF(Respostas_Brutas!B83="","",IF(Respostas_Brutas!D83="","",MIN(1,MAX(0,(YEAR(TODAY())-N(Respostas_Brutas!D83))/15))))</f>
        <v/>
      </c>
      <c r="E83" s="4" t="str">
        <f>IF(Respostas_Brutas!B83="","",IF(ISNUMBER(SEARCH("Sim",Respostas_Brutas!S83)),1,0))</f>
        <v/>
      </c>
      <c r="F83" s="4" t="str">
        <f>IF(Respostas_Brutas!B83="","",IFERROR(N(Respostas_Brutas!Y83)/N(Respostas_Brutas!Z83),""))</f>
        <v/>
      </c>
      <c r="G83" s="4" t="str">
        <f>IF(Respostas_Brutas!B83="","",IF(Respostas_Brutas!K83&lt;&gt;"",1,0))</f>
        <v/>
      </c>
      <c r="H83" s="4" t="str">
        <f>IF(Respostas_Brutas!B83="","",IF(ISNUMBER(SEARCH("Não",Respostas_Brutas!AH83)),1,0))</f>
        <v/>
      </c>
      <c r="I83" s="4" t="str">
        <f>IF(Respostas_Brutas!B83="","",IF(ISNUMBER(SEARCH("Sim",Respostas_Brutas!AL83)),1,0))</f>
        <v/>
      </c>
      <c r="J83" s="4" t="str">
        <f>IF(Respostas_Brutas!B83="","",IF(Respostas_Brutas!AN83="","",MIN(1,MAX(0,(N(Respostas_Brutas!AN83)-1)/4))))</f>
        <v/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tr">
        <f>IF(Respostas_Brutas!B84="","",Respostas_Brutas!B84)</f>
        <v/>
      </c>
      <c r="B84" s="4" t="str">
        <f>IF(Respostas_Brutas!B84="","",IFERROR(IF(IFERROR(VALUE(TRIM(SUBSTITUTE(SUBSTITUTE(SUBSTITUTE(TRIM(Respostas_Brutas!AS84),"R$",""),".",""),",","."))),0)=0,"",(IFERROR(VALUE(TRIM(SUBSTITUTE(SUBSTITUTE(SUBSTITUTE(TRIM(Respostas_Brutas!AS84),"R$",""),".",""),",","."))),0)-IFERROR(VALUE(TRIM(SUBSTITUTE(SUBSTITUTE(SUBSTITUTE(TRIM(Respostas_Brutas!T84),"R$",""),".",""),",","."))),0))/IFERROR(VALUE(TRIM(SUBSTITUTE(SUBSTITUTE(SUBSTITUTE(TRIM(Respostas_Brutas!AS84),"R$",""),".",""),",","."))),0)),""))</f>
        <v/>
      </c>
      <c r="C84" s="4" t="str">
        <f>IF(Respostas_Brutas!B84="","",MIN(1,(IFERROR(VALUE(LEFT(Respostas_Brutas!I84,IFERROR(FIND(" ",Respostas_Brutas!I84)-1,LEN(Respostas_Brutas!I84)))),0)+IFERROR(VALUE(LEFT(Respostas_Brutas!O84,IFERROR(FIND(" ",Respostas_Brutas!O84)-1,LEN(Respostas_Brutas!O84)))),0))/20))</f>
        <v/>
      </c>
      <c r="D84" s="4" t="str">
        <f>IF(Respostas_Brutas!B84="","",IF(Respostas_Brutas!D84="","",MIN(1,MAX(0,(YEAR(TODAY())-N(Respostas_Brutas!D84))/15))))</f>
        <v/>
      </c>
      <c r="E84" s="4" t="str">
        <f>IF(Respostas_Brutas!B84="","",IF(ISNUMBER(SEARCH("Sim",Respostas_Brutas!S84)),1,0))</f>
        <v/>
      </c>
      <c r="F84" s="4" t="str">
        <f>IF(Respostas_Brutas!B84="","",IFERROR(N(Respostas_Brutas!Y84)/N(Respostas_Brutas!Z84),""))</f>
        <v/>
      </c>
      <c r="G84" s="4" t="str">
        <f>IF(Respostas_Brutas!B84="","",IF(Respostas_Brutas!K84&lt;&gt;"",1,0))</f>
        <v/>
      </c>
      <c r="H84" s="4" t="str">
        <f>IF(Respostas_Brutas!B84="","",IF(ISNUMBER(SEARCH("Não",Respostas_Brutas!AH84)),1,0))</f>
        <v/>
      </c>
      <c r="I84" s="4" t="str">
        <f>IF(Respostas_Brutas!B84="","",IF(ISNUMBER(SEARCH("Sim",Respostas_Brutas!AL84)),1,0))</f>
        <v/>
      </c>
      <c r="J84" s="4" t="str">
        <f>IF(Respostas_Brutas!B84="","",IF(Respostas_Brutas!AN84="","",MIN(1,MAX(0,(N(Respostas_Brutas!AN84)-1)/4))))</f>
        <v/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tr">
        <f>IF(Respostas_Brutas!B85="","",Respostas_Brutas!B85)</f>
        <v/>
      </c>
      <c r="B85" s="4" t="str">
        <f>IF(Respostas_Brutas!B85="","",IFERROR(IF(IFERROR(VALUE(TRIM(SUBSTITUTE(SUBSTITUTE(SUBSTITUTE(TRIM(Respostas_Brutas!AS85),"R$",""),".",""),",","."))),0)=0,"",(IFERROR(VALUE(TRIM(SUBSTITUTE(SUBSTITUTE(SUBSTITUTE(TRIM(Respostas_Brutas!AS85),"R$",""),".",""),",","."))),0)-IFERROR(VALUE(TRIM(SUBSTITUTE(SUBSTITUTE(SUBSTITUTE(TRIM(Respostas_Brutas!T85),"R$",""),".",""),",","."))),0))/IFERROR(VALUE(TRIM(SUBSTITUTE(SUBSTITUTE(SUBSTITUTE(TRIM(Respostas_Brutas!AS85),"R$",""),".",""),",","."))),0)),""))</f>
        <v/>
      </c>
      <c r="C85" s="4" t="str">
        <f>IF(Respostas_Brutas!B85="","",MIN(1,(IFERROR(VALUE(LEFT(Respostas_Brutas!I85,IFERROR(FIND(" ",Respostas_Brutas!I85)-1,LEN(Respostas_Brutas!I85)))),0)+IFERROR(VALUE(LEFT(Respostas_Brutas!O85,IFERROR(FIND(" ",Respostas_Brutas!O85)-1,LEN(Respostas_Brutas!O85)))),0))/20))</f>
        <v/>
      </c>
      <c r="D85" s="4" t="str">
        <f>IF(Respostas_Brutas!B85="","",IF(Respostas_Brutas!D85="","",MIN(1,MAX(0,(YEAR(TODAY())-N(Respostas_Brutas!D85))/15))))</f>
        <v/>
      </c>
      <c r="E85" s="4" t="str">
        <f>IF(Respostas_Brutas!B85="","",IF(ISNUMBER(SEARCH("Sim",Respostas_Brutas!S85)),1,0))</f>
        <v/>
      </c>
      <c r="F85" s="4" t="str">
        <f>IF(Respostas_Brutas!B85="","",IFERROR(N(Respostas_Brutas!Y85)/N(Respostas_Brutas!Z85),""))</f>
        <v/>
      </c>
      <c r="G85" s="4" t="str">
        <f>IF(Respostas_Brutas!B85="","",IF(Respostas_Brutas!K85&lt;&gt;"",1,0))</f>
        <v/>
      </c>
      <c r="H85" s="4" t="str">
        <f>IF(Respostas_Brutas!B85="","",IF(ISNUMBER(SEARCH("Não",Respostas_Brutas!AH85)),1,0))</f>
        <v/>
      </c>
      <c r="I85" s="4" t="str">
        <f>IF(Respostas_Brutas!B85="","",IF(ISNUMBER(SEARCH("Sim",Respostas_Brutas!AL85)),1,0))</f>
        <v/>
      </c>
      <c r="J85" s="4" t="str">
        <f>IF(Respostas_Brutas!B85="","",IF(Respostas_Brutas!AN85="","",MIN(1,MAX(0,(N(Respostas_Brutas!AN85)-1)/4))))</f>
        <v/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tr">
        <f>IF(Respostas_Brutas!B86="","",Respostas_Brutas!B86)</f>
        <v/>
      </c>
      <c r="B86" s="4" t="str">
        <f>IF(Respostas_Brutas!B86="","",IFERROR(IF(IFERROR(VALUE(TRIM(SUBSTITUTE(SUBSTITUTE(SUBSTITUTE(TRIM(Respostas_Brutas!AS86),"R$",""),".",""),",","."))),0)=0,"",(IFERROR(VALUE(TRIM(SUBSTITUTE(SUBSTITUTE(SUBSTITUTE(TRIM(Respostas_Brutas!AS86),"R$",""),".",""),",","."))),0)-IFERROR(VALUE(TRIM(SUBSTITUTE(SUBSTITUTE(SUBSTITUTE(TRIM(Respostas_Brutas!T86),"R$",""),".",""),",","."))),0))/IFERROR(VALUE(TRIM(SUBSTITUTE(SUBSTITUTE(SUBSTITUTE(TRIM(Respostas_Brutas!AS86),"R$",""),".",""),",","."))),0)),""))</f>
        <v/>
      </c>
      <c r="C86" s="4" t="str">
        <f>IF(Respostas_Brutas!B86="","",MIN(1,(IFERROR(VALUE(LEFT(Respostas_Brutas!I86,IFERROR(FIND(" ",Respostas_Brutas!I86)-1,LEN(Respostas_Brutas!I86)))),0)+IFERROR(VALUE(LEFT(Respostas_Brutas!O86,IFERROR(FIND(" ",Respostas_Brutas!O86)-1,LEN(Respostas_Brutas!O86)))),0))/20))</f>
        <v/>
      </c>
      <c r="D86" s="4" t="str">
        <f>IF(Respostas_Brutas!B86="","",IF(Respostas_Brutas!D86="","",MIN(1,MAX(0,(YEAR(TODAY())-N(Respostas_Brutas!D86))/15))))</f>
        <v/>
      </c>
      <c r="E86" s="4" t="str">
        <f>IF(Respostas_Brutas!B86="","",IF(ISNUMBER(SEARCH("Sim",Respostas_Brutas!S86)),1,0))</f>
        <v/>
      </c>
      <c r="F86" s="4" t="str">
        <f>IF(Respostas_Brutas!B86="","",IFERROR(N(Respostas_Brutas!Y86)/N(Respostas_Brutas!Z86),""))</f>
        <v/>
      </c>
      <c r="G86" s="4" t="str">
        <f>IF(Respostas_Brutas!B86="","",IF(Respostas_Brutas!K86&lt;&gt;"",1,0))</f>
        <v/>
      </c>
      <c r="H86" s="4" t="str">
        <f>IF(Respostas_Brutas!B86="","",IF(ISNUMBER(SEARCH("Não",Respostas_Brutas!AH86)),1,0))</f>
        <v/>
      </c>
      <c r="I86" s="4" t="str">
        <f>IF(Respostas_Brutas!B86="","",IF(ISNUMBER(SEARCH("Sim",Respostas_Brutas!AL86)),1,0))</f>
        <v/>
      </c>
      <c r="J86" s="4" t="str">
        <f>IF(Respostas_Brutas!B86="","",IF(Respostas_Brutas!AN86="","",MIN(1,MAX(0,(N(Respostas_Brutas!AN86)-1)/4))))</f>
        <v/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tr">
        <f>IF(Respostas_Brutas!B87="","",Respostas_Brutas!B87)</f>
        <v/>
      </c>
      <c r="B87" s="4" t="str">
        <f>IF(Respostas_Brutas!B87="","",IFERROR(IF(IFERROR(VALUE(TRIM(SUBSTITUTE(SUBSTITUTE(SUBSTITUTE(TRIM(Respostas_Brutas!AS87),"R$",""),".",""),",","."))),0)=0,"",(IFERROR(VALUE(TRIM(SUBSTITUTE(SUBSTITUTE(SUBSTITUTE(TRIM(Respostas_Brutas!AS87),"R$",""),".",""),",","."))),0)-IFERROR(VALUE(TRIM(SUBSTITUTE(SUBSTITUTE(SUBSTITUTE(TRIM(Respostas_Brutas!T87),"R$",""),".",""),",","."))),0))/IFERROR(VALUE(TRIM(SUBSTITUTE(SUBSTITUTE(SUBSTITUTE(TRIM(Respostas_Brutas!AS87),"R$",""),".",""),",","."))),0)),""))</f>
        <v/>
      </c>
      <c r="C87" s="4" t="str">
        <f>IF(Respostas_Brutas!B87="","",MIN(1,(IFERROR(VALUE(LEFT(Respostas_Brutas!I87,IFERROR(FIND(" ",Respostas_Brutas!I87)-1,LEN(Respostas_Brutas!I87)))),0)+IFERROR(VALUE(LEFT(Respostas_Brutas!O87,IFERROR(FIND(" ",Respostas_Brutas!O87)-1,LEN(Respostas_Brutas!O87)))),0))/20))</f>
        <v/>
      </c>
      <c r="D87" s="4" t="str">
        <f>IF(Respostas_Brutas!B87="","",IF(Respostas_Brutas!D87="","",MIN(1,MAX(0,(YEAR(TODAY())-N(Respostas_Brutas!D87))/15))))</f>
        <v/>
      </c>
      <c r="E87" s="4" t="str">
        <f>IF(Respostas_Brutas!B87="","",IF(ISNUMBER(SEARCH("Sim",Respostas_Brutas!S87)),1,0))</f>
        <v/>
      </c>
      <c r="F87" s="4" t="str">
        <f>IF(Respostas_Brutas!B87="","",IFERROR(N(Respostas_Brutas!Y87)/N(Respostas_Brutas!Z87),""))</f>
        <v/>
      </c>
      <c r="G87" s="4" t="str">
        <f>IF(Respostas_Brutas!B87="","",IF(Respostas_Brutas!K87&lt;&gt;"",1,0))</f>
        <v/>
      </c>
      <c r="H87" s="4" t="str">
        <f>IF(Respostas_Brutas!B87="","",IF(ISNUMBER(SEARCH("Não",Respostas_Brutas!AH87)),1,0))</f>
        <v/>
      </c>
      <c r="I87" s="4" t="str">
        <f>IF(Respostas_Brutas!B87="","",IF(ISNUMBER(SEARCH("Sim",Respostas_Brutas!AL87)),1,0))</f>
        <v/>
      </c>
      <c r="J87" s="4" t="str">
        <f>IF(Respostas_Brutas!B87="","",IF(Respostas_Brutas!AN87="","",MIN(1,MAX(0,(N(Respostas_Brutas!AN87)-1)/4))))</f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tr">
        <f>IF(Respostas_Brutas!B88="","",Respostas_Brutas!B88)</f>
        <v/>
      </c>
      <c r="B88" s="4" t="str">
        <f>IF(Respostas_Brutas!B88="","",IFERROR(IF(IFERROR(VALUE(TRIM(SUBSTITUTE(SUBSTITUTE(SUBSTITUTE(TRIM(Respostas_Brutas!AS88),"R$",""),".",""),",","."))),0)=0,"",(IFERROR(VALUE(TRIM(SUBSTITUTE(SUBSTITUTE(SUBSTITUTE(TRIM(Respostas_Brutas!AS88),"R$",""),".",""),",","."))),0)-IFERROR(VALUE(TRIM(SUBSTITUTE(SUBSTITUTE(SUBSTITUTE(TRIM(Respostas_Brutas!T88),"R$",""),".",""),",","."))),0))/IFERROR(VALUE(TRIM(SUBSTITUTE(SUBSTITUTE(SUBSTITUTE(TRIM(Respostas_Brutas!AS88),"R$",""),".",""),",","."))),0)),""))</f>
        <v/>
      </c>
      <c r="C88" s="4" t="str">
        <f>IF(Respostas_Brutas!B88="","",MIN(1,(IFERROR(VALUE(LEFT(Respostas_Brutas!I88,IFERROR(FIND(" ",Respostas_Brutas!I88)-1,LEN(Respostas_Brutas!I88)))),0)+IFERROR(VALUE(LEFT(Respostas_Brutas!O88,IFERROR(FIND(" ",Respostas_Brutas!O88)-1,LEN(Respostas_Brutas!O88)))),0))/20))</f>
        <v/>
      </c>
      <c r="D88" s="4" t="str">
        <f>IF(Respostas_Brutas!B88="","",IF(Respostas_Brutas!D88="","",MIN(1,MAX(0,(YEAR(TODAY())-N(Respostas_Brutas!D88))/15))))</f>
        <v/>
      </c>
      <c r="E88" s="4" t="str">
        <f>IF(Respostas_Brutas!B88="","",IF(ISNUMBER(SEARCH("Sim",Respostas_Brutas!S88)),1,0))</f>
        <v/>
      </c>
      <c r="F88" s="4" t="str">
        <f>IF(Respostas_Brutas!B88="","",IFERROR(N(Respostas_Brutas!Y88)/N(Respostas_Brutas!Z88),""))</f>
        <v/>
      </c>
      <c r="G88" s="4" t="str">
        <f>IF(Respostas_Brutas!B88="","",IF(Respostas_Brutas!K88&lt;&gt;"",1,0))</f>
        <v/>
      </c>
      <c r="H88" s="4" t="str">
        <f>IF(Respostas_Brutas!B88="","",IF(ISNUMBER(SEARCH("Não",Respostas_Brutas!AH88)),1,0))</f>
        <v/>
      </c>
      <c r="I88" s="4" t="str">
        <f>IF(Respostas_Brutas!B88="","",IF(ISNUMBER(SEARCH("Sim",Respostas_Brutas!AL88)),1,0))</f>
        <v/>
      </c>
      <c r="J88" s="4" t="str">
        <f>IF(Respostas_Brutas!B88="","",IF(Respostas_Brutas!AN88="","",MIN(1,MAX(0,(N(Respostas_Brutas!AN88)-1)/4))))</f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tr">
        <f>IF(Respostas_Brutas!B89="","",Respostas_Brutas!B89)</f>
        <v/>
      </c>
      <c r="B89" s="4" t="str">
        <f>IF(Respostas_Brutas!B89="","",IFERROR(IF(IFERROR(VALUE(TRIM(SUBSTITUTE(SUBSTITUTE(SUBSTITUTE(TRIM(Respostas_Brutas!AS89),"R$",""),".",""),",","."))),0)=0,"",(IFERROR(VALUE(TRIM(SUBSTITUTE(SUBSTITUTE(SUBSTITUTE(TRIM(Respostas_Brutas!AS89),"R$",""),".",""),",","."))),0)-IFERROR(VALUE(TRIM(SUBSTITUTE(SUBSTITUTE(SUBSTITUTE(TRIM(Respostas_Brutas!T89),"R$",""),".",""),",","."))),0))/IFERROR(VALUE(TRIM(SUBSTITUTE(SUBSTITUTE(SUBSTITUTE(TRIM(Respostas_Brutas!AS89),"R$",""),".",""),",","."))),0)),""))</f>
        <v/>
      </c>
      <c r="C89" s="4" t="str">
        <f>IF(Respostas_Brutas!B89="","",MIN(1,(IFERROR(VALUE(LEFT(Respostas_Brutas!I89,IFERROR(FIND(" ",Respostas_Brutas!I89)-1,LEN(Respostas_Brutas!I89)))),0)+IFERROR(VALUE(LEFT(Respostas_Brutas!O89,IFERROR(FIND(" ",Respostas_Brutas!O89)-1,LEN(Respostas_Brutas!O89)))),0))/20))</f>
        <v/>
      </c>
      <c r="D89" s="4" t="str">
        <f>IF(Respostas_Brutas!B89="","",IF(Respostas_Brutas!D89="","",MIN(1,MAX(0,(YEAR(TODAY())-N(Respostas_Brutas!D89))/15))))</f>
        <v/>
      </c>
      <c r="E89" s="4" t="str">
        <f>IF(Respostas_Brutas!B89="","",IF(ISNUMBER(SEARCH("Sim",Respostas_Brutas!S89)),1,0))</f>
        <v/>
      </c>
      <c r="F89" s="4" t="str">
        <f>IF(Respostas_Brutas!B89="","",IFERROR(N(Respostas_Brutas!Y89)/N(Respostas_Brutas!Z89),""))</f>
        <v/>
      </c>
      <c r="G89" s="4" t="str">
        <f>IF(Respostas_Brutas!B89="","",IF(Respostas_Brutas!K89&lt;&gt;"",1,0))</f>
        <v/>
      </c>
      <c r="H89" s="4" t="str">
        <f>IF(Respostas_Brutas!B89="","",IF(ISNUMBER(SEARCH("Não",Respostas_Brutas!AH89)),1,0))</f>
        <v/>
      </c>
      <c r="I89" s="4" t="str">
        <f>IF(Respostas_Brutas!B89="","",IF(ISNUMBER(SEARCH("Sim",Respostas_Brutas!AL89)),1,0))</f>
        <v/>
      </c>
      <c r="J89" s="4" t="str">
        <f>IF(Respostas_Brutas!B89="","",IF(Respostas_Brutas!AN89="","",MIN(1,MAX(0,(N(Respostas_Brutas!AN89)-1)/4))))</f>
        <v/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tr">
        <f>IF(Respostas_Brutas!B90="","",Respostas_Brutas!B90)</f>
        <v/>
      </c>
      <c r="B90" s="4" t="str">
        <f>IF(Respostas_Brutas!B90="","",IFERROR(IF(IFERROR(VALUE(TRIM(SUBSTITUTE(SUBSTITUTE(SUBSTITUTE(TRIM(Respostas_Brutas!AS90),"R$",""),".",""),",","."))),0)=0,"",(IFERROR(VALUE(TRIM(SUBSTITUTE(SUBSTITUTE(SUBSTITUTE(TRIM(Respostas_Brutas!AS90),"R$",""),".",""),",","."))),0)-IFERROR(VALUE(TRIM(SUBSTITUTE(SUBSTITUTE(SUBSTITUTE(TRIM(Respostas_Brutas!T90),"R$",""),".",""),",","."))),0))/IFERROR(VALUE(TRIM(SUBSTITUTE(SUBSTITUTE(SUBSTITUTE(TRIM(Respostas_Brutas!AS90),"R$",""),".",""),",","."))),0)),""))</f>
        <v/>
      </c>
      <c r="C90" s="4" t="str">
        <f>IF(Respostas_Brutas!B90="","",MIN(1,(IFERROR(VALUE(LEFT(Respostas_Brutas!I90,IFERROR(FIND(" ",Respostas_Brutas!I90)-1,LEN(Respostas_Brutas!I90)))),0)+IFERROR(VALUE(LEFT(Respostas_Brutas!O90,IFERROR(FIND(" ",Respostas_Brutas!O90)-1,LEN(Respostas_Brutas!O90)))),0))/20))</f>
        <v/>
      </c>
      <c r="D90" s="4" t="str">
        <f>IF(Respostas_Brutas!B90="","",IF(Respostas_Brutas!D90="","",MIN(1,MAX(0,(YEAR(TODAY())-N(Respostas_Brutas!D90))/15))))</f>
        <v/>
      </c>
      <c r="E90" s="4" t="str">
        <f>IF(Respostas_Brutas!B90="","",IF(ISNUMBER(SEARCH("Sim",Respostas_Brutas!S90)),1,0))</f>
        <v/>
      </c>
      <c r="F90" s="4" t="str">
        <f>IF(Respostas_Brutas!B90="","",IFERROR(N(Respostas_Brutas!Y90)/N(Respostas_Brutas!Z90),""))</f>
        <v/>
      </c>
      <c r="G90" s="4" t="str">
        <f>IF(Respostas_Brutas!B90="","",IF(Respostas_Brutas!K90&lt;&gt;"",1,0))</f>
        <v/>
      </c>
      <c r="H90" s="4" t="str">
        <f>IF(Respostas_Brutas!B90="","",IF(ISNUMBER(SEARCH("Não",Respostas_Brutas!AH90)),1,0))</f>
        <v/>
      </c>
      <c r="I90" s="4" t="str">
        <f>IF(Respostas_Brutas!B90="","",IF(ISNUMBER(SEARCH("Sim",Respostas_Brutas!AL90)),1,0))</f>
        <v/>
      </c>
      <c r="J90" s="4" t="str">
        <f>IF(Respostas_Brutas!B90="","",IF(Respostas_Brutas!AN90="","",MIN(1,MAX(0,(N(Respostas_Brutas!AN90)-1)/4))))</f>
        <v/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tr">
        <f>IF(Respostas_Brutas!B91="","",Respostas_Brutas!B91)</f>
        <v/>
      </c>
      <c r="B91" s="4" t="str">
        <f>IF(Respostas_Brutas!B91="","",IFERROR(IF(IFERROR(VALUE(TRIM(SUBSTITUTE(SUBSTITUTE(SUBSTITUTE(TRIM(Respostas_Brutas!AS91),"R$",""),".",""),",","."))),0)=0,"",(IFERROR(VALUE(TRIM(SUBSTITUTE(SUBSTITUTE(SUBSTITUTE(TRIM(Respostas_Brutas!AS91),"R$",""),".",""),",","."))),0)-IFERROR(VALUE(TRIM(SUBSTITUTE(SUBSTITUTE(SUBSTITUTE(TRIM(Respostas_Brutas!T91),"R$",""),".",""),",","."))),0))/IFERROR(VALUE(TRIM(SUBSTITUTE(SUBSTITUTE(SUBSTITUTE(TRIM(Respostas_Brutas!AS91),"R$",""),".",""),",","."))),0)),""))</f>
        <v/>
      </c>
      <c r="C91" s="4" t="str">
        <f>IF(Respostas_Brutas!B91="","",MIN(1,(IFERROR(VALUE(LEFT(Respostas_Brutas!I91,IFERROR(FIND(" ",Respostas_Brutas!I91)-1,LEN(Respostas_Brutas!I91)))),0)+IFERROR(VALUE(LEFT(Respostas_Brutas!O91,IFERROR(FIND(" ",Respostas_Brutas!O91)-1,LEN(Respostas_Brutas!O91)))),0))/20))</f>
        <v/>
      </c>
      <c r="D91" s="4" t="str">
        <f>IF(Respostas_Brutas!B91="","",IF(Respostas_Brutas!D91="","",MIN(1,MAX(0,(YEAR(TODAY())-N(Respostas_Brutas!D91))/15))))</f>
        <v/>
      </c>
      <c r="E91" s="4" t="str">
        <f>IF(Respostas_Brutas!B91="","",IF(ISNUMBER(SEARCH("Sim",Respostas_Brutas!S91)),1,0))</f>
        <v/>
      </c>
      <c r="F91" s="4" t="str">
        <f>IF(Respostas_Brutas!B91="","",IFERROR(N(Respostas_Brutas!Y91)/N(Respostas_Brutas!Z91),""))</f>
        <v/>
      </c>
      <c r="G91" s="4" t="str">
        <f>IF(Respostas_Brutas!B91="","",IF(Respostas_Brutas!K91&lt;&gt;"",1,0))</f>
        <v/>
      </c>
      <c r="H91" s="4" t="str">
        <f>IF(Respostas_Brutas!B91="","",IF(ISNUMBER(SEARCH("Não",Respostas_Brutas!AH91)),1,0))</f>
        <v/>
      </c>
      <c r="I91" s="4" t="str">
        <f>IF(Respostas_Brutas!B91="","",IF(ISNUMBER(SEARCH("Sim",Respostas_Brutas!AL91)),1,0))</f>
        <v/>
      </c>
      <c r="J91" s="4" t="str">
        <f>IF(Respostas_Brutas!B91="","",IF(Respostas_Brutas!AN91="","",MIN(1,MAX(0,(N(Respostas_Brutas!AN91)-1)/4))))</f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tr">
        <f>IF(Respostas_Brutas!B92="","",Respostas_Brutas!B92)</f>
        <v/>
      </c>
      <c r="B92" s="4" t="str">
        <f>IF(Respostas_Brutas!B92="","",IFERROR(IF(IFERROR(VALUE(TRIM(SUBSTITUTE(SUBSTITUTE(SUBSTITUTE(TRIM(Respostas_Brutas!AS92),"R$",""),".",""),",","."))),0)=0,"",(IFERROR(VALUE(TRIM(SUBSTITUTE(SUBSTITUTE(SUBSTITUTE(TRIM(Respostas_Brutas!AS92),"R$",""),".",""),",","."))),0)-IFERROR(VALUE(TRIM(SUBSTITUTE(SUBSTITUTE(SUBSTITUTE(TRIM(Respostas_Brutas!T92),"R$",""),".",""),",","."))),0))/IFERROR(VALUE(TRIM(SUBSTITUTE(SUBSTITUTE(SUBSTITUTE(TRIM(Respostas_Brutas!AS92),"R$",""),".",""),",","."))),0)),""))</f>
        <v/>
      </c>
      <c r="C92" s="4" t="str">
        <f>IF(Respostas_Brutas!B92="","",MIN(1,(IFERROR(VALUE(LEFT(Respostas_Brutas!I92,IFERROR(FIND(" ",Respostas_Brutas!I92)-1,LEN(Respostas_Brutas!I92)))),0)+IFERROR(VALUE(LEFT(Respostas_Brutas!O92,IFERROR(FIND(" ",Respostas_Brutas!O92)-1,LEN(Respostas_Brutas!O92)))),0))/20))</f>
        <v/>
      </c>
      <c r="D92" s="4" t="str">
        <f>IF(Respostas_Brutas!B92="","",IF(Respostas_Brutas!D92="","",MIN(1,MAX(0,(YEAR(TODAY())-N(Respostas_Brutas!D92))/15))))</f>
        <v/>
      </c>
      <c r="E92" s="4" t="str">
        <f>IF(Respostas_Brutas!B92="","",IF(ISNUMBER(SEARCH("Sim",Respostas_Brutas!S92)),1,0))</f>
        <v/>
      </c>
      <c r="F92" s="4" t="str">
        <f>IF(Respostas_Brutas!B92="","",IFERROR(N(Respostas_Brutas!Y92)/N(Respostas_Brutas!Z92),""))</f>
        <v/>
      </c>
      <c r="G92" s="4" t="str">
        <f>IF(Respostas_Brutas!B92="","",IF(Respostas_Brutas!K92&lt;&gt;"",1,0))</f>
        <v/>
      </c>
      <c r="H92" s="4" t="str">
        <f>IF(Respostas_Brutas!B92="","",IF(ISNUMBER(SEARCH("Não",Respostas_Brutas!AH92)),1,0))</f>
        <v/>
      </c>
      <c r="I92" s="4" t="str">
        <f>IF(Respostas_Brutas!B92="","",IF(ISNUMBER(SEARCH("Sim",Respostas_Brutas!AL92)),1,0))</f>
        <v/>
      </c>
      <c r="J92" s="4" t="str">
        <f>IF(Respostas_Brutas!B92="","",IF(Respostas_Brutas!AN92="","",MIN(1,MAX(0,(N(Respostas_Brutas!AN92)-1)/4))))</f>
        <v/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tr">
        <f>IF(Respostas_Brutas!B93="","",Respostas_Brutas!B93)</f>
        <v/>
      </c>
      <c r="B93" s="4" t="str">
        <f>IF(Respostas_Brutas!B93="","",IFERROR(IF(IFERROR(VALUE(TRIM(SUBSTITUTE(SUBSTITUTE(SUBSTITUTE(TRIM(Respostas_Brutas!AS93),"R$",""),".",""),",","."))),0)=0,"",(IFERROR(VALUE(TRIM(SUBSTITUTE(SUBSTITUTE(SUBSTITUTE(TRIM(Respostas_Brutas!AS93),"R$",""),".",""),",","."))),0)-IFERROR(VALUE(TRIM(SUBSTITUTE(SUBSTITUTE(SUBSTITUTE(TRIM(Respostas_Brutas!T93),"R$",""),".",""),",","."))),0))/IFERROR(VALUE(TRIM(SUBSTITUTE(SUBSTITUTE(SUBSTITUTE(TRIM(Respostas_Brutas!AS93),"R$",""),".",""),",","."))),0)),""))</f>
        <v/>
      </c>
      <c r="C93" s="4" t="str">
        <f>IF(Respostas_Brutas!B93="","",MIN(1,(IFERROR(VALUE(LEFT(Respostas_Brutas!I93,IFERROR(FIND(" ",Respostas_Brutas!I93)-1,LEN(Respostas_Brutas!I93)))),0)+IFERROR(VALUE(LEFT(Respostas_Brutas!O93,IFERROR(FIND(" ",Respostas_Brutas!O93)-1,LEN(Respostas_Brutas!O93)))),0))/20))</f>
        <v/>
      </c>
      <c r="D93" s="4" t="str">
        <f>IF(Respostas_Brutas!B93="","",IF(Respostas_Brutas!D93="","",MIN(1,MAX(0,(YEAR(TODAY())-N(Respostas_Brutas!D93))/15))))</f>
        <v/>
      </c>
      <c r="E93" s="4" t="str">
        <f>IF(Respostas_Brutas!B93="","",IF(ISNUMBER(SEARCH("Sim",Respostas_Brutas!S93)),1,0))</f>
        <v/>
      </c>
      <c r="F93" s="4" t="str">
        <f>IF(Respostas_Brutas!B93="","",IFERROR(N(Respostas_Brutas!Y93)/N(Respostas_Brutas!Z93),""))</f>
        <v/>
      </c>
      <c r="G93" s="4" t="str">
        <f>IF(Respostas_Brutas!B93="","",IF(Respostas_Brutas!K93&lt;&gt;"",1,0))</f>
        <v/>
      </c>
      <c r="H93" s="4" t="str">
        <f>IF(Respostas_Brutas!B93="","",IF(ISNUMBER(SEARCH("Não",Respostas_Brutas!AH93)),1,0))</f>
        <v/>
      </c>
      <c r="I93" s="4" t="str">
        <f>IF(Respostas_Brutas!B93="","",IF(ISNUMBER(SEARCH("Sim",Respostas_Brutas!AL93)),1,0))</f>
        <v/>
      </c>
      <c r="J93" s="4" t="str">
        <f>IF(Respostas_Brutas!B93="","",IF(Respostas_Brutas!AN93="","",MIN(1,MAX(0,(N(Respostas_Brutas!AN93)-1)/4))))</f>
        <v/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tr">
        <f>IF(Respostas_Brutas!B94="","",Respostas_Brutas!B94)</f>
        <v/>
      </c>
      <c r="B94" s="4" t="str">
        <f>IF(Respostas_Brutas!B94="","",IFERROR(IF(IFERROR(VALUE(TRIM(SUBSTITUTE(SUBSTITUTE(SUBSTITUTE(TRIM(Respostas_Brutas!AS94),"R$",""),".",""),",","."))),0)=0,"",(IFERROR(VALUE(TRIM(SUBSTITUTE(SUBSTITUTE(SUBSTITUTE(TRIM(Respostas_Brutas!AS94),"R$",""),".",""),",","."))),0)-IFERROR(VALUE(TRIM(SUBSTITUTE(SUBSTITUTE(SUBSTITUTE(TRIM(Respostas_Brutas!T94),"R$",""),".",""),",","."))),0))/IFERROR(VALUE(TRIM(SUBSTITUTE(SUBSTITUTE(SUBSTITUTE(TRIM(Respostas_Brutas!AS94),"R$",""),".",""),",","."))),0)),""))</f>
        <v/>
      </c>
      <c r="C94" s="4" t="str">
        <f>IF(Respostas_Brutas!B94="","",MIN(1,(IFERROR(VALUE(LEFT(Respostas_Brutas!I94,IFERROR(FIND(" ",Respostas_Brutas!I94)-1,LEN(Respostas_Brutas!I94)))),0)+IFERROR(VALUE(LEFT(Respostas_Brutas!O94,IFERROR(FIND(" ",Respostas_Brutas!O94)-1,LEN(Respostas_Brutas!O94)))),0))/20))</f>
        <v/>
      </c>
      <c r="D94" s="4" t="str">
        <f>IF(Respostas_Brutas!B94="","",IF(Respostas_Brutas!D94="","",MIN(1,MAX(0,(YEAR(TODAY())-N(Respostas_Brutas!D94))/15))))</f>
        <v/>
      </c>
      <c r="E94" s="4" t="str">
        <f>IF(Respostas_Brutas!B94="","",IF(ISNUMBER(SEARCH("Sim",Respostas_Brutas!S94)),1,0))</f>
        <v/>
      </c>
      <c r="F94" s="4" t="str">
        <f>IF(Respostas_Brutas!B94="","",IFERROR(N(Respostas_Brutas!Y94)/N(Respostas_Brutas!Z94),""))</f>
        <v/>
      </c>
      <c r="G94" s="4" t="str">
        <f>IF(Respostas_Brutas!B94="","",IF(Respostas_Brutas!K94&lt;&gt;"",1,0))</f>
        <v/>
      </c>
      <c r="H94" s="4" t="str">
        <f>IF(Respostas_Brutas!B94="","",IF(ISNUMBER(SEARCH("Não",Respostas_Brutas!AH94)),1,0))</f>
        <v/>
      </c>
      <c r="I94" s="4" t="str">
        <f>IF(Respostas_Brutas!B94="","",IF(ISNUMBER(SEARCH("Sim",Respostas_Brutas!AL94)),1,0))</f>
        <v/>
      </c>
      <c r="J94" s="4" t="str">
        <f>IF(Respostas_Brutas!B94="","",IF(Respostas_Brutas!AN94="","",MIN(1,MAX(0,(N(Respostas_Brutas!AN94)-1)/4))))</f>
        <v/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tr">
        <f>IF(Respostas_Brutas!B95="","",Respostas_Brutas!B95)</f>
        <v/>
      </c>
      <c r="B95" s="4" t="str">
        <f>IF(Respostas_Brutas!B95="","",IFERROR(IF(IFERROR(VALUE(TRIM(SUBSTITUTE(SUBSTITUTE(SUBSTITUTE(TRIM(Respostas_Brutas!AS95),"R$",""),".",""),",","."))),0)=0,"",(IFERROR(VALUE(TRIM(SUBSTITUTE(SUBSTITUTE(SUBSTITUTE(TRIM(Respostas_Brutas!AS95),"R$",""),".",""),",","."))),0)-IFERROR(VALUE(TRIM(SUBSTITUTE(SUBSTITUTE(SUBSTITUTE(TRIM(Respostas_Brutas!T95),"R$",""),".",""),",","."))),0))/IFERROR(VALUE(TRIM(SUBSTITUTE(SUBSTITUTE(SUBSTITUTE(TRIM(Respostas_Brutas!AS95),"R$",""),".",""),",","."))),0)),""))</f>
        <v/>
      </c>
      <c r="C95" s="4" t="str">
        <f>IF(Respostas_Brutas!B95="","",MIN(1,(IFERROR(VALUE(LEFT(Respostas_Brutas!I95,IFERROR(FIND(" ",Respostas_Brutas!I95)-1,LEN(Respostas_Brutas!I95)))),0)+IFERROR(VALUE(LEFT(Respostas_Brutas!O95,IFERROR(FIND(" ",Respostas_Brutas!O95)-1,LEN(Respostas_Brutas!O95)))),0))/20))</f>
        <v/>
      </c>
      <c r="D95" s="4" t="str">
        <f>IF(Respostas_Brutas!B95="","",IF(Respostas_Brutas!D95="","",MIN(1,MAX(0,(YEAR(TODAY())-N(Respostas_Brutas!D95))/15))))</f>
        <v/>
      </c>
      <c r="E95" s="4" t="str">
        <f>IF(Respostas_Brutas!B95="","",IF(ISNUMBER(SEARCH("Sim",Respostas_Brutas!S95)),1,0))</f>
        <v/>
      </c>
      <c r="F95" s="4" t="str">
        <f>IF(Respostas_Brutas!B95="","",IFERROR(N(Respostas_Brutas!Y95)/N(Respostas_Brutas!Z95),""))</f>
        <v/>
      </c>
      <c r="G95" s="4" t="str">
        <f>IF(Respostas_Brutas!B95="","",IF(Respostas_Brutas!K95&lt;&gt;"",1,0))</f>
        <v/>
      </c>
      <c r="H95" s="4" t="str">
        <f>IF(Respostas_Brutas!B95="","",IF(ISNUMBER(SEARCH("Não",Respostas_Brutas!AH95)),1,0))</f>
        <v/>
      </c>
      <c r="I95" s="4" t="str">
        <f>IF(Respostas_Brutas!B95="","",IF(ISNUMBER(SEARCH("Sim",Respostas_Brutas!AL95)),1,0))</f>
        <v/>
      </c>
      <c r="J95" s="4" t="str">
        <f>IF(Respostas_Brutas!B95="","",IF(Respostas_Brutas!AN95="","",MIN(1,MAX(0,(N(Respostas_Brutas!AN95)-1)/4))))</f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tr">
        <f>IF(Respostas_Brutas!B96="","",Respostas_Brutas!B96)</f>
        <v/>
      </c>
      <c r="B96" s="4" t="str">
        <f>IF(Respostas_Brutas!B96="","",IFERROR(IF(IFERROR(VALUE(TRIM(SUBSTITUTE(SUBSTITUTE(SUBSTITUTE(TRIM(Respostas_Brutas!AS96),"R$",""),".",""),",","."))),0)=0,"",(IFERROR(VALUE(TRIM(SUBSTITUTE(SUBSTITUTE(SUBSTITUTE(TRIM(Respostas_Brutas!AS96),"R$",""),".",""),",","."))),0)-IFERROR(VALUE(TRIM(SUBSTITUTE(SUBSTITUTE(SUBSTITUTE(TRIM(Respostas_Brutas!T96),"R$",""),".",""),",","."))),0))/IFERROR(VALUE(TRIM(SUBSTITUTE(SUBSTITUTE(SUBSTITUTE(TRIM(Respostas_Brutas!AS96),"R$",""),".",""),",","."))),0)),""))</f>
        <v/>
      </c>
      <c r="C96" s="4" t="str">
        <f>IF(Respostas_Brutas!B96="","",MIN(1,(IFERROR(VALUE(LEFT(Respostas_Brutas!I96,IFERROR(FIND(" ",Respostas_Brutas!I96)-1,LEN(Respostas_Brutas!I96)))),0)+IFERROR(VALUE(LEFT(Respostas_Brutas!O96,IFERROR(FIND(" ",Respostas_Brutas!O96)-1,LEN(Respostas_Brutas!O96)))),0))/20))</f>
        <v/>
      </c>
      <c r="D96" s="4" t="str">
        <f>IF(Respostas_Brutas!B96="","",IF(Respostas_Brutas!D96="","",MIN(1,MAX(0,(YEAR(TODAY())-N(Respostas_Brutas!D96))/15))))</f>
        <v/>
      </c>
      <c r="E96" s="4" t="str">
        <f>IF(Respostas_Brutas!B96="","",IF(ISNUMBER(SEARCH("Sim",Respostas_Brutas!S96)),1,0))</f>
        <v/>
      </c>
      <c r="F96" s="4" t="str">
        <f>IF(Respostas_Brutas!B96="","",IFERROR(N(Respostas_Brutas!Y96)/N(Respostas_Brutas!Z96),""))</f>
        <v/>
      </c>
      <c r="G96" s="4" t="str">
        <f>IF(Respostas_Brutas!B96="","",IF(Respostas_Brutas!K96&lt;&gt;"",1,0))</f>
        <v/>
      </c>
      <c r="H96" s="4" t="str">
        <f>IF(Respostas_Brutas!B96="","",IF(ISNUMBER(SEARCH("Não",Respostas_Brutas!AH96)),1,0))</f>
        <v/>
      </c>
      <c r="I96" s="4" t="str">
        <f>IF(Respostas_Brutas!B96="","",IF(ISNUMBER(SEARCH("Sim",Respostas_Brutas!AL96)),1,0))</f>
        <v/>
      </c>
      <c r="J96" s="4" t="str">
        <f>IF(Respostas_Brutas!B96="","",IF(Respostas_Brutas!AN96="","",MIN(1,MAX(0,(N(Respostas_Brutas!AN96)-1)/4))))</f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tr">
        <f>IF(Respostas_Brutas!B97="","",Respostas_Brutas!B97)</f>
        <v/>
      </c>
      <c r="B97" s="4" t="str">
        <f>IF(Respostas_Brutas!B97="","",IFERROR(IF(IFERROR(VALUE(TRIM(SUBSTITUTE(SUBSTITUTE(SUBSTITUTE(TRIM(Respostas_Brutas!AS97),"R$",""),".",""),",","."))),0)=0,"",(IFERROR(VALUE(TRIM(SUBSTITUTE(SUBSTITUTE(SUBSTITUTE(TRIM(Respostas_Brutas!AS97),"R$",""),".",""),",","."))),0)-IFERROR(VALUE(TRIM(SUBSTITUTE(SUBSTITUTE(SUBSTITUTE(TRIM(Respostas_Brutas!T97),"R$",""),".",""),",","."))),0))/IFERROR(VALUE(TRIM(SUBSTITUTE(SUBSTITUTE(SUBSTITUTE(TRIM(Respostas_Brutas!AS97),"R$",""),".",""),",","."))),0)),""))</f>
        <v/>
      </c>
      <c r="C97" s="4" t="str">
        <f>IF(Respostas_Brutas!B97="","",MIN(1,(IFERROR(VALUE(LEFT(Respostas_Brutas!I97,IFERROR(FIND(" ",Respostas_Brutas!I97)-1,LEN(Respostas_Brutas!I97)))),0)+IFERROR(VALUE(LEFT(Respostas_Brutas!O97,IFERROR(FIND(" ",Respostas_Brutas!O97)-1,LEN(Respostas_Brutas!O97)))),0))/20))</f>
        <v/>
      </c>
      <c r="D97" s="4" t="str">
        <f>IF(Respostas_Brutas!B97="","",IF(Respostas_Brutas!D97="","",MIN(1,MAX(0,(YEAR(TODAY())-N(Respostas_Brutas!D97))/15))))</f>
        <v/>
      </c>
      <c r="E97" s="4" t="str">
        <f>IF(Respostas_Brutas!B97="","",IF(ISNUMBER(SEARCH("Sim",Respostas_Brutas!S97)),1,0))</f>
        <v/>
      </c>
      <c r="F97" s="4" t="str">
        <f>IF(Respostas_Brutas!B97="","",IFERROR(N(Respostas_Brutas!Y97)/N(Respostas_Brutas!Z97),""))</f>
        <v/>
      </c>
      <c r="G97" s="4" t="str">
        <f>IF(Respostas_Brutas!B97="","",IF(Respostas_Brutas!K97&lt;&gt;"",1,0))</f>
        <v/>
      </c>
      <c r="H97" s="4" t="str">
        <f>IF(Respostas_Brutas!B97="","",IF(ISNUMBER(SEARCH("Não",Respostas_Brutas!AH97)),1,0))</f>
        <v/>
      </c>
      <c r="I97" s="4" t="str">
        <f>IF(Respostas_Brutas!B97="","",IF(ISNUMBER(SEARCH("Sim",Respostas_Brutas!AL97)),1,0))</f>
        <v/>
      </c>
      <c r="J97" s="4" t="str">
        <f>IF(Respostas_Brutas!B97="","",IF(Respostas_Brutas!AN97="","",MIN(1,MAX(0,(N(Respostas_Brutas!AN97)-1)/4))))</f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tr">
        <f>IF(Respostas_Brutas!B98="","",Respostas_Brutas!B98)</f>
        <v/>
      </c>
      <c r="B98" s="4" t="str">
        <f>IF(Respostas_Brutas!B98="","",IFERROR(IF(IFERROR(VALUE(TRIM(SUBSTITUTE(SUBSTITUTE(SUBSTITUTE(TRIM(Respostas_Brutas!AS98),"R$",""),".",""),",","."))),0)=0,"",(IFERROR(VALUE(TRIM(SUBSTITUTE(SUBSTITUTE(SUBSTITUTE(TRIM(Respostas_Brutas!AS98),"R$",""),".",""),",","."))),0)-IFERROR(VALUE(TRIM(SUBSTITUTE(SUBSTITUTE(SUBSTITUTE(TRIM(Respostas_Brutas!T98),"R$",""),".",""),",","."))),0))/IFERROR(VALUE(TRIM(SUBSTITUTE(SUBSTITUTE(SUBSTITUTE(TRIM(Respostas_Brutas!AS98),"R$",""),".",""),",","."))),0)),""))</f>
        <v/>
      </c>
      <c r="C98" s="4" t="str">
        <f>IF(Respostas_Brutas!B98="","",MIN(1,(IFERROR(VALUE(LEFT(Respostas_Brutas!I98,IFERROR(FIND(" ",Respostas_Brutas!I98)-1,LEN(Respostas_Brutas!I98)))),0)+IFERROR(VALUE(LEFT(Respostas_Brutas!O98,IFERROR(FIND(" ",Respostas_Brutas!O98)-1,LEN(Respostas_Brutas!O98)))),0))/20))</f>
        <v/>
      </c>
      <c r="D98" s="4" t="str">
        <f>IF(Respostas_Brutas!B98="","",IF(Respostas_Brutas!D98="","",MIN(1,MAX(0,(YEAR(TODAY())-N(Respostas_Brutas!D98))/15))))</f>
        <v/>
      </c>
      <c r="E98" s="4" t="str">
        <f>IF(Respostas_Brutas!B98="","",IF(ISNUMBER(SEARCH("Sim",Respostas_Brutas!S98)),1,0))</f>
        <v/>
      </c>
      <c r="F98" s="4" t="str">
        <f>IF(Respostas_Brutas!B98="","",IFERROR(N(Respostas_Brutas!Y98)/N(Respostas_Brutas!Z98),""))</f>
        <v/>
      </c>
      <c r="G98" s="4" t="str">
        <f>IF(Respostas_Brutas!B98="","",IF(Respostas_Brutas!K98&lt;&gt;"",1,0))</f>
        <v/>
      </c>
      <c r="H98" s="4" t="str">
        <f>IF(Respostas_Brutas!B98="","",IF(ISNUMBER(SEARCH("Não",Respostas_Brutas!AH98)),1,0))</f>
        <v/>
      </c>
      <c r="I98" s="4" t="str">
        <f>IF(Respostas_Brutas!B98="","",IF(ISNUMBER(SEARCH("Sim",Respostas_Brutas!AL98)),1,0))</f>
        <v/>
      </c>
      <c r="J98" s="4" t="str">
        <f>IF(Respostas_Brutas!B98="","",IF(Respostas_Brutas!AN98="","",MIN(1,MAX(0,(N(Respostas_Brutas!AN98)-1)/4))))</f>
        <v/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tr">
        <f>IF(Respostas_Brutas!B99="","",Respostas_Brutas!B99)</f>
        <v/>
      </c>
      <c r="B99" s="4" t="str">
        <f>IF(Respostas_Brutas!B99="","",IFERROR(IF(IFERROR(VALUE(TRIM(SUBSTITUTE(SUBSTITUTE(SUBSTITUTE(TRIM(Respostas_Brutas!AS99),"R$",""),".",""),",","."))),0)=0,"",(IFERROR(VALUE(TRIM(SUBSTITUTE(SUBSTITUTE(SUBSTITUTE(TRIM(Respostas_Brutas!AS99),"R$",""),".",""),",","."))),0)-IFERROR(VALUE(TRIM(SUBSTITUTE(SUBSTITUTE(SUBSTITUTE(TRIM(Respostas_Brutas!T99),"R$",""),".",""),",","."))),0))/IFERROR(VALUE(TRIM(SUBSTITUTE(SUBSTITUTE(SUBSTITUTE(TRIM(Respostas_Brutas!AS99),"R$",""),".",""),",","."))),0)),""))</f>
        <v/>
      </c>
      <c r="C99" s="4" t="str">
        <f>IF(Respostas_Brutas!B99="","",MIN(1,(IFERROR(VALUE(LEFT(Respostas_Brutas!I99,IFERROR(FIND(" ",Respostas_Brutas!I99)-1,LEN(Respostas_Brutas!I99)))),0)+IFERROR(VALUE(LEFT(Respostas_Brutas!O99,IFERROR(FIND(" ",Respostas_Brutas!O99)-1,LEN(Respostas_Brutas!O99)))),0))/20))</f>
        <v/>
      </c>
      <c r="D99" s="4" t="str">
        <f>IF(Respostas_Brutas!B99="","",IF(Respostas_Brutas!D99="","",MIN(1,MAX(0,(YEAR(TODAY())-N(Respostas_Brutas!D99))/15))))</f>
        <v/>
      </c>
      <c r="E99" s="4" t="str">
        <f>IF(Respostas_Brutas!B99="","",IF(ISNUMBER(SEARCH("Sim",Respostas_Brutas!S99)),1,0))</f>
        <v/>
      </c>
      <c r="F99" s="4" t="str">
        <f>IF(Respostas_Brutas!B99="","",IFERROR(N(Respostas_Brutas!Y99)/N(Respostas_Brutas!Z99),""))</f>
        <v/>
      </c>
      <c r="G99" s="4" t="str">
        <f>IF(Respostas_Brutas!B99="","",IF(Respostas_Brutas!K99&lt;&gt;"",1,0))</f>
        <v/>
      </c>
      <c r="H99" s="4" t="str">
        <f>IF(Respostas_Brutas!B99="","",IF(ISNUMBER(SEARCH("Não",Respostas_Brutas!AH99)),1,0))</f>
        <v/>
      </c>
      <c r="I99" s="4" t="str">
        <f>IF(Respostas_Brutas!B99="","",IF(ISNUMBER(SEARCH("Sim",Respostas_Brutas!AL99)),1,0))</f>
        <v/>
      </c>
      <c r="J99" s="4" t="str">
        <f>IF(Respostas_Brutas!B99="","",IF(Respostas_Brutas!AN99="","",MIN(1,MAX(0,(N(Respostas_Brutas!AN99)-1)/4))))</f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tr">
        <f>IF(Respostas_Brutas!B100="","",Respostas_Brutas!B100)</f>
        <v/>
      </c>
      <c r="B100" s="4" t="str">
        <f>IF(Respostas_Brutas!B100="","",IFERROR(IF(IFERROR(VALUE(TRIM(SUBSTITUTE(SUBSTITUTE(SUBSTITUTE(TRIM(Respostas_Brutas!AS100),"R$",""),".",""),",","."))),0)=0,"",(IFERROR(VALUE(TRIM(SUBSTITUTE(SUBSTITUTE(SUBSTITUTE(TRIM(Respostas_Brutas!AS100),"R$",""),".",""),",","."))),0)-IFERROR(VALUE(TRIM(SUBSTITUTE(SUBSTITUTE(SUBSTITUTE(TRIM(Respostas_Brutas!T100),"R$",""),".",""),",","."))),0))/IFERROR(VALUE(TRIM(SUBSTITUTE(SUBSTITUTE(SUBSTITUTE(TRIM(Respostas_Brutas!AS100),"R$",""),".",""),",","."))),0)),""))</f>
        <v/>
      </c>
      <c r="C100" s="4" t="str">
        <f>IF(Respostas_Brutas!B100="","",MIN(1,(IFERROR(VALUE(LEFT(Respostas_Brutas!I100,IFERROR(FIND(" ",Respostas_Brutas!I100)-1,LEN(Respostas_Brutas!I100)))),0)+IFERROR(VALUE(LEFT(Respostas_Brutas!O100,IFERROR(FIND(" ",Respostas_Brutas!O100)-1,LEN(Respostas_Brutas!O100)))),0))/20))</f>
        <v/>
      </c>
      <c r="D100" s="4" t="str">
        <f>IF(Respostas_Brutas!B100="","",IF(Respostas_Brutas!D100="","",MIN(1,MAX(0,(YEAR(TODAY())-N(Respostas_Brutas!D100))/15))))</f>
        <v/>
      </c>
      <c r="E100" s="4" t="str">
        <f>IF(Respostas_Brutas!B100="","",IF(ISNUMBER(SEARCH("Sim",Respostas_Brutas!S100)),1,0))</f>
        <v/>
      </c>
      <c r="F100" s="4" t="str">
        <f>IF(Respostas_Brutas!B100="","",IFERROR(N(Respostas_Brutas!Y100)/N(Respostas_Brutas!Z100),""))</f>
        <v/>
      </c>
      <c r="G100" s="4" t="str">
        <f>IF(Respostas_Brutas!B100="","",IF(Respostas_Brutas!K100&lt;&gt;"",1,0))</f>
        <v/>
      </c>
      <c r="H100" s="4" t="str">
        <f>IF(Respostas_Brutas!B100="","",IF(ISNUMBER(SEARCH("Não",Respostas_Brutas!AH100)),1,0))</f>
        <v/>
      </c>
      <c r="I100" s="4" t="str">
        <f>IF(Respostas_Brutas!B100="","",IF(ISNUMBER(SEARCH("Sim",Respostas_Brutas!AL100)),1,0))</f>
        <v/>
      </c>
      <c r="J100" s="4" t="str">
        <f>IF(Respostas_Brutas!B100="","",IF(Respostas_Brutas!AN100="","",MIN(1,MAX(0,(N(Respostas_Brutas!AN100)-1)/4))))</f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tr">
        <f>IF(Respostas_Brutas!B101="","",Respostas_Brutas!B101)</f>
        <v/>
      </c>
      <c r="B101" s="4" t="str">
        <f>IF(Respostas_Brutas!B101="","",IFERROR(IF(IFERROR(VALUE(TRIM(SUBSTITUTE(SUBSTITUTE(SUBSTITUTE(TRIM(Respostas_Brutas!AS101),"R$",""),".",""),",","."))),0)=0,"",(IFERROR(VALUE(TRIM(SUBSTITUTE(SUBSTITUTE(SUBSTITUTE(TRIM(Respostas_Brutas!AS101),"R$",""),".",""),",","."))),0)-IFERROR(VALUE(TRIM(SUBSTITUTE(SUBSTITUTE(SUBSTITUTE(TRIM(Respostas_Brutas!T101),"R$",""),".",""),",","."))),0))/IFERROR(VALUE(TRIM(SUBSTITUTE(SUBSTITUTE(SUBSTITUTE(TRIM(Respostas_Brutas!AS101),"R$",""),".",""),",","."))),0)),""))</f>
        <v/>
      </c>
      <c r="C101" s="4" t="str">
        <f>IF(Respostas_Brutas!B101="","",MIN(1,(IFERROR(VALUE(LEFT(Respostas_Brutas!I101,IFERROR(FIND(" ",Respostas_Brutas!I101)-1,LEN(Respostas_Brutas!I101)))),0)+IFERROR(VALUE(LEFT(Respostas_Brutas!O101,IFERROR(FIND(" ",Respostas_Brutas!O101)-1,LEN(Respostas_Brutas!O101)))),0))/20))</f>
        <v/>
      </c>
      <c r="D101" s="4" t="str">
        <f>IF(Respostas_Brutas!B101="","",IF(Respostas_Brutas!D101="","",MIN(1,MAX(0,(YEAR(TODAY())-N(Respostas_Brutas!D101))/15))))</f>
        <v/>
      </c>
      <c r="E101" s="4" t="str">
        <f>IF(Respostas_Brutas!B101="","",IF(ISNUMBER(SEARCH("Sim",Respostas_Brutas!S101)),1,0))</f>
        <v/>
      </c>
      <c r="F101" s="4" t="str">
        <f>IF(Respostas_Brutas!B101="","",IFERROR(N(Respostas_Brutas!Y101)/N(Respostas_Brutas!Z101),""))</f>
        <v/>
      </c>
      <c r="G101" s="4" t="str">
        <f>IF(Respostas_Brutas!B101="","",IF(Respostas_Brutas!K101&lt;&gt;"",1,0))</f>
        <v/>
      </c>
      <c r="H101" s="4" t="str">
        <f>IF(Respostas_Brutas!B101="","",IF(ISNUMBER(SEARCH("Não",Respostas_Brutas!AH101)),1,0))</f>
        <v/>
      </c>
      <c r="I101" s="4" t="str">
        <f>IF(Respostas_Brutas!B101="","",IF(ISNUMBER(SEARCH("Sim",Respostas_Brutas!AL101)),1,0))</f>
        <v/>
      </c>
      <c r="J101" s="4" t="str">
        <f>IF(Respostas_Brutas!B101="","",IF(Respostas_Brutas!AN101="","",MIN(1,MAX(0,(N(Respostas_Brutas!AN101)-1)/4))))</f>
        <v/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tr">
        <f>IF(Respostas_Brutas!B102="","",Respostas_Brutas!B102)</f>
        <v/>
      </c>
      <c r="B102" s="4" t="str">
        <f>IF(Respostas_Brutas!B102="","",IFERROR(IF(IFERROR(VALUE(TRIM(SUBSTITUTE(SUBSTITUTE(SUBSTITUTE(TRIM(Respostas_Brutas!AS102),"R$",""),".",""),",","."))),0)=0,"",(IFERROR(VALUE(TRIM(SUBSTITUTE(SUBSTITUTE(SUBSTITUTE(TRIM(Respostas_Brutas!AS102),"R$",""),".",""),",","."))),0)-IFERROR(VALUE(TRIM(SUBSTITUTE(SUBSTITUTE(SUBSTITUTE(TRIM(Respostas_Brutas!T102),"R$",""),".",""),",","."))),0))/IFERROR(VALUE(TRIM(SUBSTITUTE(SUBSTITUTE(SUBSTITUTE(TRIM(Respostas_Brutas!AS102),"R$",""),".",""),",","."))),0)),""))</f>
        <v/>
      </c>
      <c r="C102" s="4" t="str">
        <f>IF(Respostas_Brutas!B102="","",MIN(1,(IFERROR(VALUE(LEFT(Respostas_Brutas!I102,IFERROR(FIND(" ",Respostas_Brutas!I102)-1,LEN(Respostas_Brutas!I102)))),0)+IFERROR(VALUE(LEFT(Respostas_Brutas!O102,IFERROR(FIND(" ",Respostas_Brutas!O102)-1,LEN(Respostas_Brutas!O102)))),0))/20))</f>
        <v/>
      </c>
      <c r="D102" s="4" t="str">
        <f>IF(Respostas_Brutas!B102="","",IF(Respostas_Brutas!D102="","",MIN(1,MAX(0,(YEAR(TODAY())-N(Respostas_Brutas!D102))/15))))</f>
        <v/>
      </c>
      <c r="E102" s="4" t="str">
        <f>IF(Respostas_Brutas!B102="","",IF(ISNUMBER(SEARCH("Sim",Respostas_Brutas!S102)),1,0))</f>
        <v/>
      </c>
      <c r="F102" s="4" t="str">
        <f>IF(Respostas_Brutas!B102="","",IFERROR(N(Respostas_Brutas!Y102)/N(Respostas_Brutas!Z102),""))</f>
        <v/>
      </c>
      <c r="G102" s="4" t="str">
        <f>IF(Respostas_Brutas!B102="","",IF(Respostas_Brutas!K102&lt;&gt;"",1,0))</f>
        <v/>
      </c>
      <c r="H102" s="4" t="str">
        <f>IF(Respostas_Brutas!B102="","",IF(ISNUMBER(SEARCH("Não",Respostas_Brutas!AH102)),1,0))</f>
        <v/>
      </c>
      <c r="I102" s="4" t="str">
        <f>IF(Respostas_Brutas!B102="","",IF(ISNUMBER(SEARCH("Sim",Respostas_Brutas!AL102)),1,0))</f>
        <v/>
      </c>
      <c r="J102" s="4" t="str">
        <f>IF(Respostas_Brutas!B102="","",IF(Respostas_Brutas!AN102="","",MIN(1,MAX(0,(N(Respostas_Brutas!AN102)-1)/4))))</f>
        <v/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tr">
        <f>IF(Respostas_Brutas!B103="","",Respostas_Brutas!B103)</f>
        <v/>
      </c>
      <c r="B103" s="4" t="str">
        <f>IF(Respostas_Brutas!B103="","",IFERROR(IF(IFERROR(VALUE(TRIM(SUBSTITUTE(SUBSTITUTE(SUBSTITUTE(TRIM(Respostas_Brutas!AS103),"R$",""),".",""),",","."))),0)=0,"",(IFERROR(VALUE(TRIM(SUBSTITUTE(SUBSTITUTE(SUBSTITUTE(TRIM(Respostas_Brutas!AS103),"R$",""),".",""),",","."))),0)-IFERROR(VALUE(TRIM(SUBSTITUTE(SUBSTITUTE(SUBSTITUTE(TRIM(Respostas_Brutas!T103),"R$",""),".",""),",","."))),0))/IFERROR(VALUE(TRIM(SUBSTITUTE(SUBSTITUTE(SUBSTITUTE(TRIM(Respostas_Brutas!AS103),"R$",""),".",""),",","."))),0)),""))</f>
        <v/>
      </c>
      <c r="C103" s="4" t="str">
        <f>IF(Respostas_Brutas!B103="","",MIN(1,(IFERROR(VALUE(LEFT(Respostas_Brutas!I103,IFERROR(FIND(" ",Respostas_Brutas!I103)-1,LEN(Respostas_Brutas!I103)))),0)+IFERROR(VALUE(LEFT(Respostas_Brutas!O103,IFERROR(FIND(" ",Respostas_Brutas!O103)-1,LEN(Respostas_Brutas!O103)))),0))/20))</f>
        <v/>
      </c>
      <c r="D103" s="4" t="str">
        <f>IF(Respostas_Brutas!B103="","",IF(Respostas_Brutas!D103="","",MIN(1,MAX(0,(YEAR(TODAY())-N(Respostas_Brutas!D103))/15))))</f>
        <v/>
      </c>
      <c r="E103" s="4" t="str">
        <f>IF(Respostas_Brutas!B103="","",IF(ISNUMBER(SEARCH("Sim",Respostas_Brutas!S103)),1,0))</f>
        <v/>
      </c>
      <c r="F103" s="4" t="str">
        <f>IF(Respostas_Brutas!B103="","",IFERROR(N(Respostas_Brutas!Y103)/N(Respostas_Brutas!Z103),""))</f>
        <v/>
      </c>
      <c r="G103" s="4" t="str">
        <f>IF(Respostas_Brutas!B103="","",IF(Respostas_Brutas!K103&lt;&gt;"",1,0))</f>
        <v/>
      </c>
      <c r="H103" s="4" t="str">
        <f>IF(Respostas_Brutas!B103="","",IF(ISNUMBER(SEARCH("Não",Respostas_Brutas!AH103)),1,0))</f>
        <v/>
      </c>
      <c r="I103" s="4" t="str">
        <f>IF(Respostas_Brutas!B103="","",IF(ISNUMBER(SEARCH("Sim",Respostas_Brutas!AL103)),1,0))</f>
        <v/>
      </c>
      <c r="J103" s="4" t="str">
        <f>IF(Respostas_Brutas!B103="","",IF(Respostas_Brutas!AN103="","",MIN(1,MAX(0,(N(Respostas_Brutas!AN103)-1)/4))))</f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tr">
        <f>IF(Respostas_Brutas!B104="","",Respostas_Brutas!B104)</f>
        <v/>
      </c>
      <c r="B104" s="4" t="str">
        <f>IF(Respostas_Brutas!B104="","",IFERROR(IF(IFERROR(VALUE(TRIM(SUBSTITUTE(SUBSTITUTE(SUBSTITUTE(TRIM(Respostas_Brutas!AS104),"R$",""),".",""),",","."))),0)=0,"",(IFERROR(VALUE(TRIM(SUBSTITUTE(SUBSTITUTE(SUBSTITUTE(TRIM(Respostas_Brutas!AS104),"R$",""),".",""),",","."))),0)-IFERROR(VALUE(TRIM(SUBSTITUTE(SUBSTITUTE(SUBSTITUTE(TRIM(Respostas_Brutas!T104),"R$",""),".",""),",","."))),0))/IFERROR(VALUE(TRIM(SUBSTITUTE(SUBSTITUTE(SUBSTITUTE(TRIM(Respostas_Brutas!AS104),"R$",""),".",""),",","."))),0)),""))</f>
        <v/>
      </c>
      <c r="C104" s="4" t="str">
        <f>IF(Respostas_Brutas!B104="","",MIN(1,(IFERROR(VALUE(LEFT(Respostas_Brutas!I104,IFERROR(FIND(" ",Respostas_Brutas!I104)-1,LEN(Respostas_Brutas!I104)))),0)+IFERROR(VALUE(LEFT(Respostas_Brutas!O104,IFERROR(FIND(" ",Respostas_Brutas!O104)-1,LEN(Respostas_Brutas!O104)))),0))/20))</f>
        <v/>
      </c>
      <c r="D104" s="4" t="str">
        <f>IF(Respostas_Brutas!B104="","",IF(Respostas_Brutas!D104="","",MIN(1,MAX(0,(YEAR(TODAY())-N(Respostas_Brutas!D104))/15))))</f>
        <v/>
      </c>
      <c r="E104" s="4" t="str">
        <f>IF(Respostas_Brutas!B104="","",IF(ISNUMBER(SEARCH("Sim",Respostas_Brutas!S104)),1,0))</f>
        <v/>
      </c>
      <c r="F104" s="4" t="str">
        <f>IF(Respostas_Brutas!B104="","",IFERROR(N(Respostas_Brutas!Y104)/N(Respostas_Brutas!Z104),""))</f>
        <v/>
      </c>
      <c r="G104" s="4" t="str">
        <f>IF(Respostas_Brutas!B104="","",IF(Respostas_Brutas!K104&lt;&gt;"",1,0))</f>
        <v/>
      </c>
      <c r="H104" s="4" t="str">
        <f>IF(Respostas_Brutas!B104="","",IF(ISNUMBER(SEARCH("Não",Respostas_Brutas!AH104)),1,0))</f>
        <v/>
      </c>
      <c r="I104" s="4" t="str">
        <f>IF(Respostas_Brutas!B104="","",IF(ISNUMBER(SEARCH("Sim",Respostas_Brutas!AL104)),1,0))</f>
        <v/>
      </c>
      <c r="J104" s="4" t="str">
        <f>IF(Respostas_Brutas!B104="","",IF(Respostas_Brutas!AN104="","",MIN(1,MAX(0,(N(Respostas_Brutas!AN104)-1)/4))))</f>
        <v/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tr">
        <f>IF(Respostas_Brutas!B105="","",Respostas_Brutas!B105)</f>
        <v/>
      </c>
      <c r="B105" s="4" t="str">
        <f>IF(Respostas_Brutas!B105="","",IFERROR(IF(IFERROR(VALUE(TRIM(SUBSTITUTE(SUBSTITUTE(SUBSTITUTE(TRIM(Respostas_Brutas!AS105),"R$",""),".",""),",","."))),0)=0,"",(IFERROR(VALUE(TRIM(SUBSTITUTE(SUBSTITUTE(SUBSTITUTE(TRIM(Respostas_Brutas!AS105),"R$",""),".",""),",","."))),0)-IFERROR(VALUE(TRIM(SUBSTITUTE(SUBSTITUTE(SUBSTITUTE(TRIM(Respostas_Brutas!T105),"R$",""),".",""),",","."))),0))/IFERROR(VALUE(TRIM(SUBSTITUTE(SUBSTITUTE(SUBSTITUTE(TRIM(Respostas_Brutas!AS105),"R$",""),".",""),",","."))),0)),""))</f>
        <v/>
      </c>
      <c r="C105" s="4" t="str">
        <f>IF(Respostas_Brutas!B105="","",MIN(1,(IFERROR(VALUE(LEFT(Respostas_Brutas!I105,IFERROR(FIND(" ",Respostas_Brutas!I105)-1,LEN(Respostas_Brutas!I105)))),0)+IFERROR(VALUE(LEFT(Respostas_Brutas!O105,IFERROR(FIND(" ",Respostas_Brutas!O105)-1,LEN(Respostas_Brutas!O105)))),0))/20))</f>
        <v/>
      </c>
      <c r="D105" s="4" t="str">
        <f>IF(Respostas_Brutas!B105="","",IF(Respostas_Brutas!D105="","",MIN(1,MAX(0,(YEAR(TODAY())-N(Respostas_Brutas!D105))/15))))</f>
        <v/>
      </c>
      <c r="E105" s="4" t="str">
        <f>IF(Respostas_Brutas!B105="","",IF(ISNUMBER(SEARCH("Sim",Respostas_Brutas!S105)),1,0))</f>
        <v/>
      </c>
      <c r="F105" s="4" t="str">
        <f>IF(Respostas_Brutas!B105="","",IFERROR(N(Respostas_Brutas!Y105)/N(Respostas_Brutas!Z105),""))</f>
        <v/>
      </c>
      <c r="G105" s="4" t="str">
        <f>IF(Respostas_Brutas!B105="","",IF(Respostas_Brutas!K105&lt;&gt;"",1,0))</f>
        <v/>
      </c>
      <c r="H105" s="4" t="str">
        <f>IF(Respostas_Brutas!B105="","",IF(ISNUMBER(SEARCH("Não",Respostas_Brutas!AH105)),1,0))</f>
        <v/>
      </c>
      <c r="I105" s="4" t="str">
        <f>IF(Respostas_Brutas!B105="","",IF(ISNUMBER(SEARCH("Sim",Respostas_Brutas!AL105)),1,0))</f>
        <v/>
      </c>
      <c r="J105" s="4" t="str">
        <f>IF(Respostas_Brutas!B105="","",IF(Respostas_Brutas!AN105="","",MIN(1,MAX(0,(N(Respostas_Brutas!AN105)-1)/4))))</f>
        <v/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tr">
        <f>IF(Respostas_Brutas!B106="","",Respostas_Brutas!B106)</f>
        <v/>
      </c>
      <c r="B106" s="4" t="str">
        <f>IF(Respostas_Brutas!B106="","",IFERROR(IF(IFERROR(VALUE(TRIM(SUBSTITUTE(SUBSTITUTE(SUBSTITUTE(TRIM(Respostas_Brutas!AS106),"R$",""),".",""),",","."))),0)=0,"",(IFERROR(VALUE(TRIM(SUBSTITUTE(SUBSTITUTE(SUBSTITUTE(TRIM(Respostas_Brutas!AS106),"R$",""),".",""),",","."))),0)-IFERROR(VALUE(TRIM(SUBSTITUTE(SUBSTITUTE(SUBSTITUTE(TRIM(Respostas_Brutas!T106),"R$",""),".",""),",","."))),0))/IFERROR(VALUE(TRIM(SUBSTITUTE(SUBSTITUTE(SUBSTITUTE(TRIM(Respostas_Brutas!AS106),"R$",""),".",""),",","."))),0)),""))</f>
        <v/>
      </c>
      <c r="C106" s="4" t="str">
        <f>IF(Respostas_Brutas!B106="","",MIN(1,(IFERROR(VALUE(LEFT(Respostas_Brutas!I106,IFERROR(FIND(" ",Respostas_Brutas!I106)-1,LEN(Respostas_Brutas!I106)))),0)+IFERROR(VALUE(LEFT(Respostas_Brutas!O106,IFERROR(FIND(" ",Respostas_Brutas!O106)-1,LEN(Respostas_Brutas!O106)))),0))/20))</f>
        <v/>
      </c>
      <c r="D106" s="4" t="str">
        <f>IF(Respostas_Brutas!B106="","",IF(Respostas_Brutas!D106="","",MIN(1,MAX(0,(YEAR(TODAY())-N(Respostas_Brutas!D106))/15))))</f>
        <v/>
      </c>
      <c r="E106" s="4" t="str">
        <f>IF(Respostas_Brutas!B106="","",IF(ISNUMBER(SEARCH("Sim",Respostas_Brutas!S106)),1,0))</f>
        <v/>
      </c>
      <c r="F106" s="4" t="str">
        <f>IF(Respostas_Brutas!B106="","",IFERROR(N(Respostas_Brutas!Y106)/N(Respostas_Brutas!Z106),""))</f>
        <v/>
      </c>
      <c r="G106" s="4" t="str">
        <f>IF(Respostas_Brutas!B106="","",IF(Respostas_Brutas!K106&lt;&gt;"",1,0))</f>
        <v/>
      </c>
      <c r="H106" s="4" t="str">
        <f>IF(Respostas_Brutas!B106="","",IF(ISNUMBER(SEARCH("Não",Respostas_Brutas!AH106)),1,0))</f>
        <v/>
      </c>
      <c r="I106" s="4" t="str">
        <f>IF(Respostas_Brutas!B106="","",IF(ISNUMBER(SEARCH("Sim",Respostas_Brutas!AL106)),1,0))</f>
        <v/>
      </c>
      <c r="J106" s="4" t="str">
        <f>IF(Respostas_Brutas!B106="","",IF(Respostas_Brutas!AN106="","",MIN(1,MAX(0,(N(Respostas_Brutas!AN106)-1)/4))))</f>
        <v/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tr">
        <f>IF(Respostas_Brutas!B107="","",Respostas_Brutas!B107)</f>
        <v/>
      </c>
      <c r="B107" s="4" t="str">
        <f>IF(Respostas_Brutas!B107="","",IFERROR(IF(IFERROR(VALUE(TRIM(SUBSTITUTE(SUBSTITUTE(SUBSTITUTE(TRIM(Respostas_Brutas!AS107),"R$",""),".",""),",","."))),0)=0,"",(IFERROR(VALUE(TRIM(SUBSTITUTE(SUBSTITUTE(SUBSTITUTE(TRIM(Respostas_Brutas!AS107),"R$",""),".",""),",","."))),0)-IFERROR(VALUE(TRIM(SUBSTITUTE(SUBSTITUTE(SUBSTITUTE(TRIM(Respostas_Brutas!T107),"R$",""),".",""),",","."))),0))/IFERROR(VALUE(TRIM(SUBSTITUTE(SUBSTITUTE(SUBSTITUTE(TRIM(Respostas_Brutas!AS107),"R$",""),".",""),",","."))),0)),""))</f>
        <v/>
      </c>
      <c r="C107" s="4" t="str">
        <f>IF(Respostas_Brutas!B107="","",MIN(1,(IFERROR(VALUE(LEFT(Respostas_Brutas!I107,IFERROR(FIND(" ",Respostas_Brutas!I107)-1,LEN(Respostas_Brutas!I107)))),0)+IFERROR(VALUE(LEFT(Respostas_Brutas!O107,IFERROR(FIND(" ",Respostas_Brutas!O107)-1,LEN(Respostas_Brutas!O107)))),0))/20))</f>
        <v/>
      </c>
      <c r="D107" s="4" t="str">
        <f>IF(Respostas_Brutas!B107="","",IF(Respostas_Brutas!D107="","",MIN(1,MAX(0,(YEAR(TODAY())-N(Respostas_Brutas!D107))/15))))</f>
        <v/>
      </c>
      <c r="E107" s="4" t="str">
        <f>IF(Respostas_Brutas!B107="","",IF(ISNUMBER(SEARCH("Sim",Respostas_Brutas!S107)),1,0))</f>
        <v/>
      </c>
      <c r="F107" s="4" t="str">
        <f>IF(Respostas_Brutas!B107="","",IFERROR(N(Respostas_Brutas!Y107)/N(Respostas_Brutas!Z107),""))</f>
        <v/>
      </c>
      <c r="G107" s="4" t="str">
        <f>IF(Respostas_Brutas!B107="","",IF(Respostas_Brutas!K107&lt;&gt;"",1,0))</f>
        <v/>
      </c>
      <c r="H107" s="4" t="str">
        <f>IF(Respostas_Brutas!B107="","",IF(ISNUMBER(SEARCH("Não",Respostas_Brutas!AH107)),1,0))</f>
        <v/>
      </c>
      <c r="I107" s="4" t="str">
        <f>IF(Respostas_Brutas!B107="","",IF(ISNUMBER(SEARCH("Sim",Respostas_Brutas!AL107)),1,0))</f>
        <v/>
      </c>
      <c r="J107" s="4" t="str">
        <f>IF(Respostas_Brutas!B107="","",IF(Respostas_Brutas!AN107="","",MIN(1,MAX(0,(N(Respostas_Brutas!AN107)-1)/4))))</f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tr">
        <f>IF(Respostas_Brutas!B108="","",Respostas_Brutas!B108)</f>
        <v/>
      </c>
      <c r="B108" s="4" t="str">
        <f>IF(Respostas_Brutas!B108="","",IFERROR(IF(IFERROR(VALUE(TRIM(SUBSTITUTE(SUBSTITUTE(SUBSTITUTE(TRIM(Respostas_Brutas!AS108),"R$",""),".",""),",","."))),0)=0,"",(IFERROR(VALUE(TRIM(SUBSTITUTE(SUBSTITUTE(SUBSTITUTE(TRIM(Respostas_Brutas!AS108),"R$",""),".",""),",","."))),0)-IFERROR(VALUE(TRIM(SUBSTITUTE(SUBSTITUTE(SUBSTITUTE(TRIM(Respostas_Brutas!T108),"R$",""),".",""),",","."))),0))/IFERROR(VALUE(TRIM(SUBSTITUTE(SUBSTITUTE(SUBSTITUTE(TRIM(Respostas_Brutas!AS108),"R$",""),".",""),",","."))),0)),""))</f>
        <v/>
      </c>
      <c r="C108" s="4" t="str">
        <f>IF(Respostas_Brutas!B108="","",MIN(1,(IFERROR(VALUE(LEFT(Respostas_Brutas!I108,IFERROR(FIND(" ",Respostas_Brutas!I108)-1,LEN(Respostas_Brutas!I108)))),0)+IFERROR(VALUE(LEFT(Respostas_Brutas!O108,IFERROR(FIND(" ",Respostas_Brutas!O108)-1,LEN(Respostas_Brutas!O108)))),0))/20))</f>
        <v/>
      </c>
      <c r="D108" s="4" t="str">
        <f>IF(Respostas_Brutas!B108="","",IF(Respostas_Brutas!D108="","",MIN(1,MAX(0,(YEAR(TODAY())-N(Respostas_Brutas!D108))/15))))</f>
        <v/>
      </c>
      <c r="E108" s="4" t="str">
        <f>IF(Respostas_Brutas!B108="","",IF(ISNUMBER(SEARCH("Sim",Respostas_Brutas!S108)),1,0))</f>
        <v/>
      </c>
      <c r="F108" s="4" t="str">
        <f>IF(Respostas_Brutas!B108="","",IFERROR(N(Respostas_Brutas!Y108)/N(Respostas_Brutas!Z108),""))</f>
        <v/>
      </c>
      <c r="G108" s="4" t="str">
        <f>IF(Respostas_Brutas!B108="","",IF(Respostas_Brutas!K108&lt;&gt;"",1,0))</f>
        <v/>
      </c>
      <c r="H108" s="4" t="str">
        <f>IF(Respostas_Brutas!B108="","",IF(ISNUMBER(SEARCH("Não",Respostas_Brutas!AH108)),1,0))</f>
        <v/>
      </c>
      <c r="I108" s="4" t="str">
        <f>IF(Respostas_Brutas!B108="","",IF(ISNUMBER(SEARCH("Sim",Respostas_Brutas!AL108)),1,0))</f>
        <v/>
      </c>
      <c r="J108" s="4" t="str">
        <f>IF(Respostas_Brutas!B108="","",IF(Respostas_Brutas!AN108="","",MIN(1,MAX(0,(N(Respostas_Brutas!AN108)-1)/4))))</f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tr">
        <f>IF(Respostas_Brutas!B109="","",Respostas_Brutas!B109)</f>
        <v/>
      </c>
      <c r="B109" s="4" t="str">
        <f>IF(Respostas_Brutas!B109="","",IFERROR(IF(IFERROR(VALUE(TRIM(SUBSTITUTE(SUBSTITUTE(SUBSTITUTE(TRIM(Respostas_Brutas!AS109),"R$",""),".",""),",","."))),0)=0,"",(IFERROR(VALUE(TRIM(SUBSTITUTE(SUBSTITUTE(SUBSTITUTE(TRIM(Respostas_Brutas!AS109),"R$",""),".",""),",","."))),0)-IFERROR(VALUE(TRIM(SUBSTITUTE(SUBSTITUTE(SUBSTITUTE(TRIM(Respostas_Brutas!T109),"R$",""),".",""),",","."))),0))/IFERROR(VALUE(TRIM(SUBSTITUTE(SUBSTITUTE(SUBSTITUTE(TRIM(Respostas_Brutas!AS109),"R$",""),".",""),",","."))),0)),""))</f>
        <v/>
      </c>
      <c r="C109" s="4" t="str">
        <f>IF(Respostas_Brutas!B109="","",MIN(1,(IFERROR(VALUE(LEFT(Respostas_Brutas!I109,IFERROR(FIND(" ",Respostas_Brutas!I109)-1,LEN(Respostas_Brutas!I109)))),0)+IFERROR(VALUE(LEFT(Respostas_Brutas!O109,IFERROR(FIND(" ",Respostas_Brutas!O109)-1,LEN(Respostas_Brutas!O109)))),0))/20))</f>
        <v/>
      </c>
      <c r="D109" s="4" t="str">
        <f>IF(Respostas_Brutas!B109="","",IF(Respostas_Brutas!D109="","",MIN(1,MAX(0,(YEAR(TODAY())-N(Respostas_Brutas!D109))/15))))</f>
        <v/>
      </c>
      <c r="E109" s="4" t="str">
        <f>IF(Respostas_Brutas!B109="","",IF(ISNUMBER(SEARCH("Sim",Respostas_Brutas!S109)),1,0))</f>
        <v/>
      </c>
      <c r="F109" s="4" t="str">
        <f>IF(Respostas_Brutas!B109="","",IFERROR(N(Respostas_Brutas!Y109)/N(Respostas_Brutas!Z109),""))</f>
        <v/>
      </c>
      <c r="G109" s="4" t="str">
        <f>IF(Respostas_Brutas!B109="","",IF(Respostas_Brutas!K109&lt;&gt;"",1,0))</f>
        <v/>
      </c>
      <c r="H109" s="4" t="str">
        <f>IF(Respostas_Brutas!B109="","",IF(ISNUMBER(SEARCH("Não",Respostas_Brutas!AH109)),1,0))</f>
        <v/>
      </c>
      <c r="I109" s="4" t="str">
        <f>IF(Respostas_Brutas!B109="","",IF(ISNUMBER(SEARCH("Sim",Respostas_Brutas!AL109)),1,0))</f>
        <v/>
      </c>
      <c r="J109" s="4" t="str">
        <f>IF(Respostas_Brutas!B109="","",IF(Respostas_Brutas!AN109="","",MIN(1,MAX(0,(N(Respostas_Brutas!AN109)-1)/4))))</f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tr">
        <f>IF(Respostas_Brutas!B110="","",Respostas_Brutas!B110)</f>
        <v/>
      </c>
      <c r="B110" s="4" t="str">
        <f>IF(Respostas_Brutas!B110="","",IFERROR(IF(IFERROR(VALUE(TRIM(SUBSTITUTE(SUBSTITUTE(SUBSTITUTE(TRIM(Respostas_Brutas!AS110),"R$",""),".",""),",","."))),0)=0,"",(IFERROR(VALUE(TRIM(SUBSTITUTE(SUBSTITUTE(SUBSTITUTE(TRIM(Respostas_Brutas!AS110),"R$",""),".",""),",","."))),0)-IFERROR(VALUE(TRIM(SUBSTITUTE(SUBSTITUTE(SUBSTITUTE(TRIM(Respostas_Brutas!T110),"R$",""),".",""),",","."))),0))/IFERROR(VALUE(TRIM(SUBSTITUTE(SUBSTITUTE(SUBSTITUTE(TRIM(Respostas_Brutas!AS110),"R$",""),".",""),",","."))),0)),""))</f>
        <v/>
      </c>
      <c r="C110" s="4" t="str">
        <f>IF(Respostas_Brutas!B110="","",MIN(1,(IFERROR(VALUE(LEFT(Respostas_Brutas!I110,IFERROR(FIND(" ",Respostas_Brutas!I110)-1,LEN(Respostas_Brutas!I110)))),0)+IFERROR(VALUE(LEFT(Respostas_Brutas!O110,IFERROR(FIND(" ",Respostas_Brutas!O110)-1,LEN(Respostas_Brutas!O110)))),0))/20))</f>
        <v/>
      </c>
      <c r="D110" s="4" t="str">
        <f>IF(Respostas_Brutas!B110="","",IF(Respostas_Brutas!D110="","",MIN(1,MAX(0,(YEAR(TODAY())-N(Respostas_Brutas!D110))/15))))</f>
        <v/>
      </c>
      <c r="E110" s="4" t="str">
        <f>IF(Respostas_Brutas!B110="","",IF(ISNUMBER(SEARCH("Sim",Respostas_Brutas!S110)),1,0))</f>
        <v/>
      </c>
      <c r="F110" s="4" t="str">
        <f>IF(Respostas_Brutas!B110="","",IFERROR(N(Respostas_Brutas!Y110)/N(Respostas_Brutas!Z110),""))</f>
        <v/>
      </c>
      <c r="G110" s="4" t="str">
        <f>IF(Respostas_Brutas!B110="","",IF(Respostas_Brutas!K110&lt;&gt;"",1,0))</f>
        <v/>
      </c>
      <c r="H110" s="4" t="str">
        <f>IF(Respostas_Brutas!B110="","",IF(ISNUMBER(SEARCH("Não",Respostas_Brutas!AH110)),1,0))</f>
        <v/>
      </c>
      <c r="I110" s="4" t="str">
        <f>IF(Respostas_Brutas!B110="","",IF(ISNUMBER(SEARCH("Sim",Respostas_Brutas!AL110)),1,0))</f>
        <v/>
      </c>
      <c r="J110" s="4" t="str">
        <f>IF(Respostas_Brutas!B110="","",IF(Respostas_Brutas!AN110="","",MIN(1,MAX(0,(N(Respostas_Brutas!AN110)-1)/4))))</f>
        <v/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tr">
        <f>IF(Respostas_Brutas!B111="","",Respostas_Brutas!B111)</f>
        <v/>
      </c>
      <c r="B111" s="4" t="str">
        <f>IF(Respostas_Brutas!B111="","",IFERROR(IF(IFERROR(VALUE(TRIM(SUBSTITUTE(SUBSTITUTE(SUBSTITUTE(TRIM(Respostas_Brutas!AS111),"R$",""),".",""),",","."))),0)=0,"",(IFERROR(VALUE(TRIM(SUBSTITUTE(SUBSTITUTE(SUBSTITUTE(TRIM(Respostas_Brutas!AS111),"R$",""),".",""),",","."))),0)-IFERROR(VALUE(TRIM(SUBSTITUTE(SUBSTITUTE(SUBSTITUTE(TRIM(Respostas_Brutas!T111),"R$",""),".",""),",","."))),0))/IFERROR(VALUE(TRIM(SUBSTITUTE(SUBSTITUTE(SUBSTITUTE(TRIM(Respostas_Brutas!AS111),"R$",""),".",""),",","."))),0)),""))</f>
        <v/>
      </c>
      <c r="C111" s="4" t="str">
        <f>IF(Respostas_Brutas!B111="","",MIN(1,(IFERROR(VALUE(LEFT(Respostas_Brutas!I111,IFERROR(FIND(" ",Respostas_Brutas!I111)-1,LEN(Respostas_Brutas!I111)))),0)+IFERROR(VALUE(LEFT(Respostas_Brutas!O111,IFERROR(FIND(" ",Respostas_Brutas!O111)-1,LEN(Respostas_Brutas!O111)))),0))/20))</f>
        <v/>
      </c>
      <c r="D111" s="4" t="str">
        <f>IF(Respostas_Brutas!B111="","",IF(Respostas_Brutas!D111="","",MIN(1,MAX(0,(YEAR(TODAY())-N(Respostas_Brutas!D111))/15))))</f>
        <v/>
      </c>
      <c r="E111" s="4" t="str">
        <f>IF(Respostas_Brutas!B111="","",IF(ISNUMBER(SEARCH("Sim",Respostas_Brutas!S111)),1,0))</f>
        <v/>
      </c>
      <c r="F111" s="4" t="str">
        <f>IF(Respostas_Brutas!B111="","",IFERROR(N(Respostas_Brutas!Y111)/N(Respostas_Brutas!Z111),""))</f>
        <v/>
      </c>
      <c r="G111" s="4" t="str">
        <f>IF(Respostas_Brutas!B111="","",IF(Respostas_Brutas!K111&lt;&gt;"",1,0))</f>
        <v/>
      </c>
      <c r="H111" s="4" t="str">
        <f>IF(Respostas_Brutas!B111="","",IF(ISNUMBER(SEARCH("Não",Respostas_Brutas!AH111)),1,0))</f>
        <v/>
      </c>
      <c r="I111" s="4" t="str">
        <f>IF(Respostas_Brutas!B111="","",IF(ISNUMBER(SEARCH("Sim",Respostas_Brutas!AL111)),1,0))</f>
        <v/>
      </c>
      <c r="J111" s="4" t="str">
        <f>IF(Respostas_Brutas!B111="","",IF(Respostas_Brutas!AN111="","",MIN(1,MAX(0,(N(Respostas_Brutas!AN111)-1)/4))))</f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tr">
        <f>IF(Respostas_Brutas!B112="","",Respostas_Brutas!B112)</f>
        <v/>
      </c>
      <c r="B112" s="4" t="str">
        <f>IF(Respostas_Brutas!B112="","",IFERROR(IF(IFERROR(VALUE(TRIM(SUBSTITUTE(SUBSTITUTE(SUBSTITUTE(TRIM(Respostas_Brutas!AS112),"R$",""),".",""),",","."))),0)=0,"",(IFERROR(VALUE(TRIM(SUBSTITUTE(SUBSTITUTE(SUBSTITUTE(TRIM(Respostas_Brutas!AS112),"R$",""),".",""),",","."))),0)-IFERROR(VALUE(TRIM(SUBSTITUTE(SUBSTITUTE(SUBSTITUTE(TRIM(Respostas_Brutas!T112),"R$",""),".",""),",","."))),0))/IFERROR(VALUE(TRIM(SUBSTITUTE(SUBSTITUTE(SUBSTITUTE(TRIM(Respostas_Brutas!AS112),"R$",""),".",""),",","."))),0)),""))</f>
        <v/>
      </c>
      <c r="C112" s="4" t="str">
        <f>IF(Respostas_Brutas!B112="","",MIN(1,(IFERROR(VALUE(LEFT(Respostas_Brutas!I112,IFERROR(FIND(" ",Respostas_Brutas!I112)-1,LEN(Respostas_Brutas!I112)))),0)+IFERROR(VALUE(LEFT(Respostas_Brutas!O112,IFERROR(FIND(" ",Respostas_Brutas!O112)-1,LEN(Respostas_Brutas!O112)))),0))/20))</f>
        <v/>
      </c>
      <c r="D112" s="4" t="str">
        <f>IF(Respostas_Brutas!B112="","",IF(Respostas_Brutas!D112="","",MIN(1,MAX(0,(YEAR(TODAY())-N(Respostas_Brutas!D112))/15))))</f>
        <v/>
      </c>
      <c r="E112" s="4" t="str">
        <f>IF(Respostas_Brutas!B112="","",IF(ISNUMBER(SEARCH("Sim",Respostas_Brutas!S112)),1,0))</f>
        <v/>
      </c>
      <c r="F112" s="4" t="str">
        <f>IF(Respostas_Brutas!B112="","",IFERROR(N(Respostas_Brutas!Y112)/N(Respostas_Brutas!Z112),""))</f>
        <v/>
      </c>
      <c r="G112" s="4" t="str">
        <f>IF(Respostas_Brutas!B112="","",IF(Respostas_Brutas!K112&lt;&gt;"",1,0))</f>
        <v/>
      </c>
      <c r="H112" s="4" t="str">
        <f>IF(Respostas_Brutas!B112="","",IF(ISNUMBER(SEARCH("Não",Respostas_Brutas!AH112)),1,0))</f>
        <v/>
      </c>
      <c r="I112" s="4" t="str">
        <f>IF(Respostas_Brutas!B112="","",IF(ISNUMBER(SEARCH("Sim",Respostas_Brutas!AL112)),1,0))</f>
        <v/>
      </c>
      <c r="J112" s="4" t="str">
        <f>IF(Respostas_Brutas!B112="","",IF(Respostas_Brutas!AN112="","",MIN(1,MAX(0,(N(Respostas_Brutas!AN112)-1)/4))))</f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tr">
        <f>IF(Respostas_Brutas!B113="","",Respostas_Brutas!B113)</f>
        <v/>
      </c>
      <c r="B113" s="4" t="str">
        <f>IF(Respostas_Brutas!B113="","",IFERROR(IF(IFERROR(VALUE(TRIM(SUBSTITUTE(SUBSTITUTE(SUBSTITUTE(TRIM(Respostas_Brutas!AS113),"R$",""),".",""),",","."))),0)=0,"",(IFERROR(VALUE(TRIM(SUBSTITUTE(SUBSTITUTE(SUBSTITUTE(TRIM(Respostas_Brutas!AS113),"R$",""),".",""),",","."))),0)-IFERROR(VALUE(TRIM(SUBSTITUTE(SUBSTITUTE(SUBSTITUTE(TRIM(Respostas_Brutas!T113),"R$",""),".",""),",","."))),0))/IFERROR(VALUE(TRIM(SUBSTITUTE(SUBSTITUTE(SUBSTITUTE(TRIM(Respostas_Brutas!AS113),"R$",""),".",""),",","."))),0)),""))</f>
        <v/>
      </c>
      <c r="C113" s="4" t="str">
        <f>IF(Respostas_Brutas!B113="","",MIN(1,(IFERROR(VALUE(LEFT(Respostas_Brutas!I113,IFERROR(FIND(" ",Respostas_Brutas!I113)-1,LEN(Respostas_Brutas!I113)))),0)+IFERROR(VALUE(LEFT(Respostas_Brutas!O113,IFERROR(FIND(" ",Respostas_Brutas!O113)-1,LEN(Respostas_Brutas!O113)))),0))/20))</f>
        <v/>
      </c>
      <c r="D113" s="4" t="str">
        <f>IF(Respostas_Brutas!B113="","",IF(Respostas_Brutas!D113="","",MIN(1,MAX(0,(YEAR(TODAY())-N(Respostas_Brutas!D113))/15))))</f>
        <v/>
      </c>
      <c r="E113" s="4" t="str">
        <f>IF(Respostas_Brutas!B113="","",IF(ISNUMBER(SEARCH("Sim",Respostas_Brutas!S113)),1,0))</f>
        <v/>
      </c>
      <c r="F113" s="4" t="str">
        <f>IF(Respostas_Brutas!B113="","",IFERROR(N(Respostas_Brutas!Y113)/N(Respostas_Brutas!Z113),""))</f>
        <v/>
      </c>
      <c r="G113" s="4" t="str">
        <f>IF(Respostas_Brutas!B113="","",IF(Respostas_Brutas!K113&lt;&gt;"",1,0))</f>
        <v/>
      </c>
      <c r="H113" s="4" t="str">
        <f>IF(Respostas_Brutas!B113="","",IF(ISNUMBER(SEARCH("Não",Respostas_Brutas!AH113)),1,0))</f>
        <v/>
      </c>
      <c r="I113" s="4" t="str">
        <f>IF(Respostas_Brutas!B113="","",IF(ISNUMBER(SEARCH("Sim",Respostas_Brutas!AL113)),1,0))</f>
        <v/>
      </c>
      <c r="J113" s="4" t="str">
        <f>IF(Respostas_Brutas!B113="","",IF(Respostas_Brutas!AN113="","",MIN(1,MAX(0,(N(Respostas_Brutas!AN113)-1)/4))))</f>
        <v/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tr">
        <f>IF(Respostas_Brutas!B114="","",Respostas_Brutas!B114)</f>
        <v/>
      </c>
      <c r="B114" s="4" t="str">
        <f>IF(Respostas_Brutas!B114="","",IFERROR(IF(IFERROR(VALUE(TRIM(SUBSTITUTE(SUBSTITUTE(SUBSTITUTE(TRIM(Respostas_Brutas!AS114),"R$",""),".",""),",","."))),0)=0,"",(IFERROR(VALUE(TRIM(SUBSTITUTE(SUBSTITUTE(SUBSTITUTE(TRIM(Respostas_Brutas!AS114),"R$",""),".",""),",","."))),0)-IFERROR(VALUE(TRIM(SUBSTITUTE(SUBSTITUTE(SUBSTITUTE(TRIM(Respostas_Brutas!T114),"R$",""),".",""),",","."))),0))/IFERROR(VALUE(TRIM(SUBSTITUTE(SUBSTITUTE(SUBSTITUTE(TRIM(Respostas_Brutas!AS114),"R$",""),".",""),",","."))),0)),""))</f>
        <v/>
      </c>
      <c r="C114" s="4" t="str">
        <f>IF(Respostas_Brutas!B114="","",MIN(1,(IFERROR(VALUE(LEFT(Respostas_Brutas!I114,IFERROR(FIND(" ",Respostas_Brutas!I114)-1,LEN(Respostas_Brutas!I114)))),0)+IFERROR(VALUE(LEFT(Respostas_Brutas!O114,IFERROR(FIND(" ",Respostas_Brutas!O114)-1,LEN(Respostas_Brutas!O114)))),0))/20))</f>
        <v/>
      </c>
      <c r="D114" s="4" t="str">
        <f>IF(Respostas_Brutas!B114="","",IF(Respostas_Brutas!D114="","",MIN(1,MAX(0,(YEAR(TODAY())-N(Respostas_Brutas!D114))/15))))</f>
        <v/>
      </c>
      <c r="E114" s="4" t="str">
        <f>IF(Respostas_Brutas!B114="","",IF(ISNUMBER(SEARCH("Sim",Respostas_Brutas!S114)),1,0))</f>
        <v/>
      </c>
      <c r="F114" s="4" t="str">
        <f>IF(Respostas_Brutas!B114="","",IFERROR(N(Respostas_Brutas!Y114)/N(Respostas_Brutas!Z114),""))</f>
        <v/>
      </c>
      <c r="G114" s="4" t="str">
        <f>IF(Respostas_Brutas!B114="","",IF(Respostas_Brutas!K114&lt;&gt;"",1,0))</f>
        <v/>
      </c>
      <c r="H114" s="4" t="str">
        <f>IF(Respostas_Brutas!B114="","",IF(ISNUMBER(SEARCH("Não",Respostas_Brutas!AH114)),1,0))</f>
        <v/>
      </c>
      <c r="I114" s="4" t="str">
        <f>IF(Respostas_Brutas!B114="","",IF(ISNUMBER(SEARCH("Sim",Respostas_Brutas!AL114)),1,0))</f>
        <v/>
      </c>
      <c r="J114" s="4" t="str">
        <f>IF(Respostas_Brutas!B114="","",IF(Respostas_Brutas!AN114="","",MIN(1,MAX(0,(N(Respostas_Brutas!AN114)-1)/4))))</f>
        <v/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tr">
        <f>IF(Respostas_Brutas!B115="","",Respostas_Brutas!B115)</f>
        <v/>
      </c>
      <c r="B115" s="4" t="str">
        <f>IF(Respostas_Brutas!B115="","",IFERROR(IF(IFERROR(VALUE(TRIM(SUBSTITUTE(SUBSTITUTE(SUBSTITUTE(TRIM(Respostas_Brutas!AS115),"R$",""),".",""),",","."))),0)=0,"",(IFERROR(VALUE(TRIM(SUBSTITUTE(SUBSTITUTE(SUBSTITUTE(TRIM(Respostas_Brutas!AS115),"R$",""),".",""),",","."))),0)-IFERROR(VALUE(TRIM(SUBSTITUTE(SUBSTITUTE(SUBSTITUTE(TRIM(Respostas_Brutas!T115),"R$",""),".",""),",","."))),0))/IFERROR(VALUE(TRIM(SUBSTITUTE(SUBSTITUTE(SUBSTITUTE(TRIM(Respostas_Brutas!AS115),"R$",""),".",""),",","."))),0)),""))</f>
        <v/>
      </c>
      <c r="C115" s="4" t="str">
        <f>IF(Respostas_Brutas!B115="","",MIN(1,(IFERROR(VALUE(LEFT(Respostas_Brutas!I115,IFERROR(FIND(" ",Respostas_Brutas!I115)-1,LEN(Respostas_Brutas!I115)))),0)+IFERROR(VALUE(LEFT(Respostas_Brutas!O115,IFERROR(FIND(" ",Respostas_Brutas!O115)-1,LEN(Respostas_Brutas!O115)))),0))/20))</f>
        <v/>
      </c>
      <c r="D115" s="4" t="str">
        <f>IF(Respostas_Brutas!B115="","",IF(Respostas_Brutas!D115="","",MIN(1,MAX(0,(YEAR(TODAY())-N(Respostas_Brutas!D115))/15))))</f>
        <v/>
      </c>
      <c r="E115" s="4" t="str">
        <f>IF(Respostas_Brutas!B115="","",IF(ISNUMBER(SEARCH("Sim",Respostas_Brutas!S115)),1,0))</f>
        <v/>
      </c>
      <c r="F115" s="4" t="str">
        <f>IF(Respostas_Brutas!B115="","",IFERROR(N(Respostas_Brutas!Y115)/N(Respostas_Brutas!Z115),""))</f>
        <v/>
      </c>
      <c r="G115" s="4" t="str">
        <f>IF(Respostas_Brutas!B115="","",IF(Respostas_Brutas!K115&lt;&gt;"",1,0))</f>
        <v/>
      </c>
      <c r="H115" s="4" t="str">
        <f>IF(Respostas_Brutas!B115="","",IF(ISNUMBER(SEARCH("Não",Respostas_Brutas!AH115)),1,0))</f>
        <v/>
      </c>
      <c r="I115" s="4" t="str">
        <f>IF(Respostas_Brutas!B115="","",IF(ISNUMBER(SEARCH("Sim",Respostas_Brutas!AL115)),1,0))</f>
        <v/>
      </c>
      <c r="J115" s="4" t="str">
        <f>IF(Respostas_Brutas!B115="","",IF(Respostas_Brutas!AN115="","",MIN(1,MAX(0,(N(Respostas_Brutas!AN115)-1)/4))))</f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tr">
        <f>IF(Respostas_Brutas!B116="","",Respostas_Brutas!B116)</f>
        <v/>
      </c>
      <c r="B116" s="4" t="str">
        <f>IF(Respostas_Brutas!B116="","",IFERROR(IF(IFERROR(VALUE(TRIM(SUBSTITUTE(SUBSTITUTE(SUBSTITUTE(TRIM(Respostas_Brutas!AS116),"R$",""),".",""),",","."))),0)=0,"",(IFERROR(VALUE(TRIM(SUBSTITUTE(SUBSTITUTE(SUBSTITUTE(TRIM(Respostas_Brutas!AS116),"R$",""),".",""),",","."))),0)-IFERROR(VALUE(TRIM(SUBSTITUTE(SUBSTITUTE(SUBSTITUTE(TRIM(Respostas_Brutas!T116),"R$",""),".",""),",","."))),0))/IFERROR(VALUE(TRIM(SUBSTITUTE(SUBSTITUTE(SUBSTITUTE(TRIM(Respostas_Brutas!AS116),"R$",""),".",""),",","."))),0)),""))</f>
        <v/>
      </c>
      <c r="C116" s="4" t="str">
        <f>IF(Respostas_Brutas!B116="","",MIN(1,(IFERROR(VALUE(LEFT(Respostas_Brutas!I116,IFERROR(FIND(" ",Respostas_Brutas!I116)-1,LEN(Respostas_Brutas!I116)))),0)+IFERROR(VALUE(LEFT(Respostas_Brutas!O116,IFERROR(FIND(" ",Respostas_Brutas!O116)-1,LEN(Respostas_Brutas!O116)))),0))/20))</f>
        <v/>
      </c>
      <c r="D116" s="4" t="str">
        <f>IF(Respostas_Brutas!B116="","",IF(Respostas_Brutas!D116="","",MIN(1,MAX(0,(YEAR(TODAY())-N(Respostas_Brutas!D116))/15))))</f>
        <v/>
      </c>
      <c r="E116" s="4" t="str">
        <f>IF(Respostas_Brutas!B116="","",IF(ISNUMBER(SEARCH("Sim",Respostas_Brutas!S116)),1,0))</f>
        <v/>
      </c>
      <c r="F116" s="4" t="str">
        <f>IF(Respostas_Brutas!B116="","",IFERROR(N(Respostas_Brutas!Y116)/N(Respostas_Brutas!Z116),""))</f>
        <v/>
      </c>
      <c r="G116" s="4" t="str">
        <f>IF(Respostas_Brutas!B116="","",IF(Respostas_Brutas!K116&lt;&gt;"",1,0))</f>
        <v/>
      </c>
      <c r="H116" s="4" t="str">
        <f>IF(Respostas_Brutas!B116="","",IF(ISNUMBER(SEARCH("Não",Respostas_Brutas!AH116)),1,0))</f>
        <v/>
      </c>
      <c r="I116" s="4" t="str">
        <f>IF(Respostas_Brutas!B116="","",IF(ISNUMBER(SEARCH("Sim",Respostas_Brutas!AL116)),1,0))</f>
        <v/>
      </c>
      <c r="J116" s="4" t="str">
        <f>IF(Respostas_Brutas!B116="","",IF(Respostas_Brutas!AN116="","",MIN(1,MAX(0,(N(Respostas_Brutas!AN116)-1)/4))))</f>
        <v/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tr">
        <f>IF(Respostas_Brutas!B117="","",Respostas_Brutas!B117)</f>
        <v/>
      </c>
      <c r="B117" s="4" t="str">
        <f>IF(Respostas_Brutas!B117="","",IFERROR(IF(IFERROR(VALUE(TRIM(SUBSTITUTE(SUBSTITUTE(SUBSTITUTE(TRIM(Respostas_Brutas!AS117),"R$",""),".",""),",","."))),0)=0,"",(IFERROR(VALUE(TRIM(SUBSTITUTE(SUBSTITUTE(SUBSTITUTE(TRIM(Respostas_Brutas!AS117),"R$",""),".",""),",","."))),0)-IFERROR(VALUE(TRIM(SUBSTITUTE(SUBSTITUTE(SUBSTITUTE(TRIM(Respostas_Brutas!T117),"R$",""),".",""),",","."))),0))/IFERROR(VALUE(TRIM(SUBSTITUTE(SUBSTITUTE(SUBSTITUTE(TRIM(Respostas_Brutas!AS117),"R$",""),".",""),",","."))),0)),""))</f>
        <v/>
      </c>
      <c r="C117" s="4" t="str">
        <f>IF(Respostas_Brutas!B117="","",MIN(1,(IFERROR(VALUE(LEFT(Respostas_Brutas!I117,IFERROR(FIND(" ",Respostas_Brutas!I117)-1,LEN(Respostas_Brutas!I117)))),0)+IFERROR(VALUE(LEFT(Respostas_Brutas!O117,IFERROR(FIND(" ",Respostas_Brutas!O117)-1,LEN(Respostas_Brutas!O117)))),0))/20))</f>
        <v/>
      </c>
      <c r="D117" s="4" t="str">
        <f>IF(Respostas_Brutas!B117="","",IF(Respostas_Brutas!D117="","",MIN(1,MAX(0,(YEAR(TODAY())-N(Respostas_Brutas!D117))/15))))</f>
        <v/>
      </c>
      <c r="E117" s="4" t="str">
        <f>IF(Respostas_Brutas!B117="","",IF(ISNUMBER(SEARCH("Sim",Respostas_Brutas!S117)),1,0))</f>
        <v/>
      </c>
      <c r="F117" s="4" t="str">
        <f>IF(Respostas_Brutas!B117="","",IFERROR(N(Respostas_Brutas!Y117)/N(Respostas_Brutas!Z117),""))</f>
        <v/>
      </c>
      <c r="G117" s="4" t="str">
        <f>IF(Respostas_Brutas!B117="","",IF(Respostas_Brutas!K117&lt;&gt;"",1,0))</f>
        <v/>
      </c>
      <c r="H117" s="4" t="str">
        <f>IF(Respostas_Brutas!B117="","",IF(ISNUMBER(SEARCH("Não",Respostas_Brutas!AH117)),1,0))</f>
        <v/>
      </c>
      <c r="I117" s="4" t="str">
        <f>IF(Respostas_Brutas!B117="","",IF(ISNUMBER(SEARCH("Sim",Respostas_Brutas!AL117)),1,0))</f>
        <v/>
      </c>
      <c r="J117" s="4" t="str">
        <f>IF(Respostas_Brutas!B117="","",IF(Respostas_Brutas!AN117="","",MIN(1,MAX(0,(N(Respostas_Brutas!AN117)-1)/4))))</f>
        <v/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tr">
        <f>IF(Respostas_Brutas!B118="","",Respostas_Brutas!B118)</f>
        <v/>
      </c>
      <c r="B118" s="4" t="str">
        <f>IF(Respostas_Brutas!B118="","",IFERROR(IF(IFERROR(VALUE(TRIM(SUBSTITUTE(SUBSTITUTE(SUBSTITUTE(TRIM(Respostas_Brutas!AS118),"R$",""),".",""),",","."))),0)=0,"",(IFERROR(VALUE(TRIM(SUBSTITUTE(SUBSTITUTE(SUBSTITUTE(TRIM(Respostas_Brutas!AS118),"R$",""),".",""),",","."))),0)-IFERROR(VALUE(TRIM(SUBSTITUTE(SUBSTITUTE(SUBSTITUTE(TRIM(Respostas_Brutas!T118),"R$",""),".",""),",","."))),0))/IFERROR(VALUE(TRIM(SUBSTITUTE(SUBSTITUTE(SUBSTITUTE(TRIM(Respostas_Brutas!AS118),"R$",""),".",""),",","."))),0)),""))</f>
        <v/>
      </c>
      <c r="C118" s="4" t="str">
        <f>IF(Respostas_Brutas!B118="","",MIN(1,(IFERROR(VALUE(LEFT(Respostas_Brutas!I118,IFERROR(FIND(" ",Respostas_Brutas!I118)-1,LEN(Respostas_Brutas!I118)))),0)+IFERROR(VALUE(LEFT(Respostas_Brutas!O118,IFERROR(FIND(" ",Respostas_Brutas!O118)-1,LEN(Respostas_Brutas!O118)))),0))/20))</f>
        <v/>
      </c>
      <c r="D118" s="4" t="str">
        <f>IF(Respostas_Brutas!B118="","",IF(Respostas_Brutas!D118="","",MIN(1,MAX(0,(YEAR(TODAY())-N(Respostas_Brutas!D118))/15))))</f>
        <v/>
      </c>
      <c r="E118" s="4" t="str">
        <f>IF(Respostas_Brutas!B118="","",IF(ISNUMBER(SEARCH("Sim",Respostas_Brutas!S118)),1,0))</f>
        <v/>
      </c>
      <c r="F118" s="4" t="str">
        <f>IF(Respostas_Brutas!B118="","",IFERROR(N(Respostas_Brutas!Y118)/N(Respostas_Brutas!Z118),""))</f>
        <v/>
      </c>
      <c r="G118" s="4" t="str">
        <f>IF(Respostas_Brutas!B118="","",IF(Respostas_Brutas!K118&lt;&gt;"",1,0))</f>
        <v/>
      </c>
      <c r="H118" s="4" t="str">
        <f>IF(Respostas_Brutas!B118="","",IF(ISNUMBER(SEARCH("Não",Respostas_Brutas!AH118)),1,0))</f>
        <v/>
      </c>
      <c r="I118" s="4" t="str">
        <f>IF(Respostas_Brutas!B118="","",IF(ISNUMBER(SEARCH("Sim",Respostas_Brutas!AL118)),1,0))</f>
        <v/>
      </c>
      <c r="J118" s="4" t="str">
        <f>IF(Respostas_Brutas!B118="","",IF(Respostas_Brutas!AN118="","",MIN(1,MAX(0,(N(Respostas_Brutas!AN118)-1)/4))))</f>
        <v/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tr">
        <f>IF(Respostas_Brutas!B119="","",Respostas_Brutas!B119)</f>
        <v/>
      </c>
      <c r="B119" s="4" t="str">
        <f>IF(Respostas_Brutas!B119="","",IFERROR(IF(IFERROR(VALUE(TRIM(SUBSTITUTE(SUBSTITUTE(SUBSTITUTE(TRIM(Respostas_Brutas!AS119),"R$",""),".",""),",","."))),0)=0,"",(IFERROR(VALUE(TRIM(SUBSTITUTE(SUBSTITUTE(SUBSTITUTE(TRIM(Respostas_Brutas!AS119),"R$",""),".",""),",","."))),0)-IFERROR(VALUE(TRIM(SUBSTITUTE(SUBSTITUTE(SUBSTITUTE(TRIM(Respostas_Brutas!T119),"R$",""),".",""),",","."))),0))/IFERROR(VALUE(TRIM(SUBSTITUTE(SUBSTITUTE(SUBSTITUTE(TRIM(Respostas_Brutas!AS119),"R$",""),".",""),",","."))),0)),""))</f>
        <v/>
      </c>
      <c r="C119" s="4" t="str">
        <f>IF(Respostas_Brutas!B119="","",MIN(1,(IFERROR(VALUE(LEFT(Respostas_Brutas!I119,IFERROR(FIND(" ",Respostas_Brutas!I119)-1,LEN(Respostas_Brutas!I119)))),0)+IFERROR(VALUE(LEFT(Respostas_Brutas!O119,IFERROR(FIND(" ",Respostas_Brutas!O119)-1,LEN(Respostas_Brutas!O119)))),0))/20))</f>
        <v/>
      </c>
      <c r="D119" s="4" t="str">
        <f>IF(Respostas_Brutas!B119="","",IF(Respostas_Brutas!D119="","",MIN(1,MAX(0,(YEAR(TODAY())-N(Respostas_Brutas!D119))/15))))</f>
        <v/>
      </c>
      <c r="E119" s="4" t="str">
        <f>IF(Respostas_Brutas!B119="","",IF(ISNUMBER(SEARCH("Sim",Respostas_Brutas!S119)),1,0))</f>
        <v/>
      </c>
      <c r="F119" s="4" t="str">
        <f>IF(Respostas_Brutas!B119="","",IFERROR(N(Respostas_Brutas!Y119)/N(Respostas_Brutas!Z119),""))</f>
        <v/>
      </c>
      <c r="G119" s="4" t="str">
        <f>IF(Respostas_Brutas!B119="","",IF(Respostas_Brutas!K119&lt;&gt;"",1,0))</f>
        <v/>
      </c>
      <c r="H119" s="4" t="str">
        <f>IF(Respostas_Brutas!B119="","",IF(ISNUMBER(SEARCH("Não",Respostas_Brutas!AH119)),1,0))</f>
        <v/>
      </c>
      <c r="I119" s="4" t="str">
        <f>IF(Respostas_Brutas!B119="","",IF(ISNUMBER(SEARCH("Sim",Respostas_Brutas!AL119)),1,0))</f>
        <v/>
      </c>
      <c r="J119" s="4" t="str">
        <f>IF(Respostas_Brutas!B119="","",IF(Respostas_Brutas!AN119="","",MIN(1,MAX(0,(N(Respostas_Brutas!AN119)-1)/4))))</f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tr">
        <f>IF(Respostas_Brutas!B120="","",Respostas_Brutas!B120)</f>
        <v/>
      </c>
      <c r="B120" s="4" t="str">
        <f>IF(Respostas_Brutas!B120="","",IFERROR(IF(IFERROR(VALUE(TRIM(SUBSTITUTE(SUBSTITUTE(SUBSTITUTE(TRIM(Respostas_Brutas!AS120),"R$",""),".",""),",","."))),0)=0,"",(IFERROR(VALUE(TRIM(SUBSTITUTE(SUBSTITUTE(SUBSTITUTE(TRIM(Respostas_Brutas!AS120),"R$",""),".",""),",","."))),0)-IFERROR(VALUE(TRIM(SUBSTITUTE(SUBSTITUTE(SUBSTITUTE(TRIM(Respostas_Brutas!T120),"R$",""),".",""),",","."))),0))/IFERROR(VALUE(TRIM(SUBSTITUTE(SUBSTITUTE(SUBSTITUTE(TRIM(Respostas_Brutas!AS120),"R$",""),".",""),",","."))),0)),""))</f>
        <v/>
      </c>
      <c r="C120" s="4" t="str">
        <f>IF(Respostas_Brutas!B120="","",MIN(1,(IFERROR(VALUE(LEFT(Respostas_Brutas!I120,IFERROR(FIND(" ",Respostas_Brutas!I120)-1,LEN(Respostas_Brutas!I120)))),0)+IFERROR(VALUE(LEFT(Respostas_Brutas!O120,IFERROR(FIND(" ",Respostas_Brutas!O120)-1,LEN(Respostas_Brutas!O120)))),0))/20))</f>
        <v/>
      </c>
      <c r="D120" s="4" t="str">
        <f>IF(Respostas_Brutas!B120="","",IF(Respostas_Brutas!D120="","",MIN(1,MAX(0,(YEAR(TODAY())-N(Respostas_Brutas!D120))/15))))</f>
        <v/>
      </c>
      <c r="E120" s="4" t="str">
        <f>IF(Respostas_Brutas!B120="","",IF(ISNUMBER(SEARCH("Sim",Respostas_Brutas!S120)),1,0))</f>
        <v/>
      </c>
      <c r="F120" s="4" t="str">
        <f>IF(Respostas_Brutas!B120="","",IFERROR(N(Respostas_Brutas!Y120)/N(Respostas_Brutas!Z120),""))</f>
        <v/>
      </c>
      <c r="G120" s="4" t="str">
        <f>IF(Respostas_Brutas!B120="","",IF(Respostas_Brutas!K120&lt;&gt;"",1,0))</f>
        <v/>
      </c>
      <c r="H120" s="4" t="str">
        <f>IF(Respostas_Brutas!B120="","",IF(ISNUMBER(SEARCH("Não",Respostas_Brutas!AH120)),1,0))</f>
        <v/>
      </c>
      <c r="I120" s="4" t="str">
        <f>IF(Respostas_Brutas!B120="","",IF(ISNUMBER(SEARCH("Sim",Respostas_Brutas!AL120)),1,0))</f>
        <v/>
      </c>
      <c r="J120" s="4" t="str">
        <f>IF(Respostas_Brutas!B120="","",IF(Respostas_Brutas!AN120="","",MIN(1,MAX(0,(N(Respostas_Brutas!AN120)-1)/4))))</f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tr">
        <f>IF(Respostas_Brutas!B121="","",Respostas_Brutas!B121)</f>
        <v/>
      </c>
      <c r="B121" s="4" t="str">
        <f>IF(Respostas_Brutas!B121="","",IFERROR(IF(IFERROR(VALUE(TRIM(SUBSTITUTE(SUBSTITUTE(SUBSTITUTE(TRIM(Respostas_Brutas!AS121),"R$",""),".",""),",","."))),0)=0,"",(IFERROR(VALUE(TRIM(SUBSTITUTE(SUBSTITUTE(SUBSTITUTE(TRIM(Respostas_Brutas!AS121),"R$",""),".",""),",","."))),0)-IFERROR(VALUE(TRIM(SUBSTITUTE(SUBSTITUTE(SUBSTITUTE(TRIM(Respostas_Brutas!T121),"R$",""),".",""),",","."))),0))/IFERROR(VALUE(TRIM(SUBSTITUTE(SUBSTITUTE(SUBSTITUTE(TRIM(Respostas_Brutas!AS121),"R$",""),".",""),",","."))),0)),""))</f>
        <v/>
      </c>
      <c r="C121" s="4" t="str">
        <f>IF(Respostas_Brutas!B121="","",MIN(1,(IFERROR(VALUE(LEFT(Respostas_Brutas!I121,IFERROR(FIND(" ",Respostas_Brutas!I121)-1,LEN(Respostas_Brutas!I121)))),0)+IFERROR(VALUE(LEFT(Respostas_Brutas!O121,IFERROR(FIND(" ",Respostas_Brutas!O121)-1,LEN(Respostas_Brutas!O121)))),0))/20))</f>
        <v/>
      </c>
      <c r="D121" s="4" t="str">
        <f>IF(Respostas_Brutas!B121="","",IF(Respostas_Brutas!D121="","",MIN(1,MAX(0,(YEAR(TODAY())-N(Respostas_Brutas!D121))/15))))</f>
        <v/>
      </c>
      <c r="E121" s="4" t="str">
        <f>IF(Respostas_Brutas!B121="","",IF(ISNUMBER(SEARCH("Sim",Respostas_Brutas!S121)),1,0))</f>
        <v/>
      </c>
      <c r="F121" s="4" t="str">
        <f>IF(Respostas_Brutas!B121="","",IFERROR(N(Respostas_Brutas!Y121)/N(Respostas_Brutas!Z121),""))</f>
        <v/>
      </c>
      <c r="G121" s="4" t="str">
        <f>IF(Respostas_Brutas!B121="","",IF(Respostas_Brutas!K121&lt;&gt;"",1,0))</f>
        <v/>
      </c>
      <c r="H121" s="4" t="str">
        <f>IF(Respostas_Brutas!B121="","",IF(ISNUMBER(SEARCH("Não",Respostas_Brutas!AH121)),1,0))</f>
        <v/>
      </c>
      <c r="I121" s="4" t="str">
        <f>IF(Respostas_Brutas!B121="","",IF(ISNUMBER(SEARCH("Sim",Respostas_Brutas!AL121)),1,0))</f>
        <v/>
      </c>
      <c r="J121" s="4" t="str">
        <f>IF(Respostas_Brutas!B121="","",IF(Respostas_Brutas!AN121="","",MIN(1,MAX(0,(N(Respostas_Brutas!AN121)-1)/4))))</f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tr">
        <f>IF(Respostas_Brutas!B122="","",Respostas_Brutas!B122)</f>
        <v/>
      </c>
      <c r="B122" s="4" t="str">
        <f>IF(Respostas_Brutas!B122="","",IFERROR(IF(IFERROR(VALUE(TRIM(SUBSTITUTE(SUBSTITUTE(SUBSTITUTE(TRIM(Respostas_Brutas!AS122),"R$",""),".",""),",","."))),0)=0,"",(IFERROR(VALUE(TRIM(SUBSTITUTE(SUBSTITUTE(SUBSTITUTE(TRIM(Respostas_Brutas!AS122),"R$",""),".",""),",","."))),0)-IFERROR(VALUE(TRIM(SUBSTITUTE(SUBSTITUTE(SUBSTITUTE(TRIM(Respostas_Brutas!T122),"R$",""),".",""),",","."))),0))/IFERROR(VALUE(TRIM(SUBSTITUTE(SUBSTITUTE(SUBSTITUTE(TRIM(Respostas_Brutas!AS122),"R$",""),".",""),",","."))),0)),""))</f>
        <v/>
      </c>
      <c r="C122" s="4" t="str">
        <f>IF(Respostas_Brutas!B122="","",MIN(1,(IFERROR(VALUE(LEFT(Respostas_Brutas!I122,IFERROR(FIND(" ",Respostas_Brutas!I122)-1,LEN(Respostas_Brutas!I122)))),0)+IFERROR(VALUE(LEFT(Respostas_Brutas!O122,IFERROR(FIND(" ",Respostas_Brutas!O122)-1,LEN(Respostas_Brutas!O122)))),0))/20))</f>
        <v/>
      </c>
      <c r="D122" s="4" t="str">
        <f>IF(Respostas_Brutas!B122="","",IF(Respostas_Brutas!D122="","",MIN(1,MAX(0,(YEAR(TODAY())-N(Respostas_Brutas!D122))/15))))</f>
        <v/>
      </c>
      <c r="E122" s="4" t="str">
        <f>IF(Respostas_Brutas!B122="","",IF(ISNUMBER(SEARCH("Sim",Respostas_Brutas!S122)),1,0))</f>
        <v/>
      </c>
      <c r="F122" s="4" t="str">
        <f>IF(Respostas_Brutas!B122="","",IFERROR(N(Respostas_Brutas!Y122)/N(Respostas_Brutas!Z122),""))</f>
        <v/>
      </c>
      <c r="G122" s="4" t="str">
        <f>IF(Respostas_Brutas!B122="","",IF(Respostas_Brutas!K122&lt;&gt;"",1,0))</f>
        <v/>
      </c>
      <c r="H122" s="4" t="str">
        <f>IF(Respostas_Brutas!B122="","",IF(ISNUMBER(SEARCH("Não",Respostas_Brutas!AH122)),1,0))</f>
        <v/>
      </c>
      <c r="I122" s="4" t="str">
        <f>IF(Respostas_Brutas!B122="","",IF(ISNUMBER(SEARCH("Sim",Respostas_Brutas!AL122)),1,0))</f>
        <v/>
      </c>
      <c r="J122" s="4" t="str">
        <f>IF(Respostas_Brutas!B122="","",IF(Respostas_Brutas!AN122="","",MIN(1,MAX(0,(N(Respostas_Brutas!AN122)-1)/4))))</f>
        <v/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tr">
        <f>IF(Respostas_Brutas!B123="","",Respostas_Brutas!B123)</f>
        <v/>
      </c>
      <c r="B123" s="4" t="str">
        <f>IF(Respostas_Brutas!B123="","",IFERROR(IF(IFERROR(VALUE(TRIM(SUBSTITUTE(SUBSTITUTE(SUBSTITUTE(TRIM(Respostas_Brutas!AS123),"R$",""),".",""),",","."))),0)=0,"",(IFERROR(VALUE(TRIM(SUBSTITUTE(SUBSTITUTE(SUBSTITUTE(TRIM(Respostas_Brutas!AS123),"R$",""),".",""),",","."))),0)-IFERROR(VALUE(TRIM(SUBSTITUTE(SUBSTITUTE(SUBSTITUTE(TRIM(Respostas_Brutas!T123),"R$",""),".",""),",","."))),0))/IFERROR(VALUE(TRIM(SUBSTITUTE(SUBSTITUTE(SUBSTITUTE(TRIM(Respostas_Brutas!AS123),"R$",""),".",""),",","."))),0)),""))</f>
        <v/>
      </c>
      <c r="C123" s="4" t="str">
        <f>IF(Respostas_Brutas!B123="","",MIN(1,(IFERROR(VALUE(LEFT(Respostas_Brutas!I123,IFERROR(FIND(" ",Respostas_Brutas!I123)-1,LEN(Respostas_Brutas!I123)))),0)+IFERROR(VALUE(LEFT(Respostas_Brutas!O123,IFERROR(FIND(" ",Respostas_Brutas!O123)-1,LEN(Respostas_Brutas!O123)))),0))/20))</f>
        <v/>
      </c>
      <c r="D123" s="4" t="str">
        <f>IF(Respostas_Brutas!B123="","",IF(Respostas_Brutas!D123="","",MIN(1,MAX(0,(YEAR(TODAY())-N(Respostas_Brutas!D123))/15))))</f>
        <v/>
      </c>
      <c r="E123" s="4" t="str">
        <f>IF(Respostas_Brutas!B123="","",IF(ISNUMBER(SEARCH("Sim",Respostas_Brutas!S123)),1,0))</f>
        <v/>
      </c>
      <c r="F123" s="4" t="str">
        <f>IF(Respostas_Brutas!B123="","",IFERROR(N(Respostas_Brutas!Y123)/N(Respostas_Brutas!Z123),""))</f>
        <v/>
      </c>
      <c r="G123" s="4" t="str">
        <f>IF(Respostas_Brutas!B123="","",IF(Respostas_Brutas!K123&lt;&gt;"",1,0))</f>
        <v/>
      </c>
      <c r="H123" s="4" t="str">
        <f>IF(Respostas_Brutas!B123="","",IF(ISNUMBER(SEARCH("Não",Respostas_Brutas!AH123)),1,0))</f>
        <v/>
      </c>
      <c r="I123" s="4" t="str">
        <f>IF(Respostas_Brutas!B123="","",IF(ISNUMBER(SEARCH("Sim",Respostas_Brutas!AL123)),1,0))</f>
        <v/>
      </c>
      <c r="J123" s="4" t="str">
        <f>IF(Respostas_Brutas!B123="","",IF(Respostas_Brutas!AN123="","",MIN(1,MAX(0,(N(Respostas_Brutas!AN123)-1)/4))))</f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tr">
        <f>IF(Respostas_Brutas!B124="","",Respostas_Brutas!B124)</f>
        <v/>
      </c>
      <c r="B124" s="4" t="str">
        <f>IF(Respostas_Brutas!B124="","",IFERROR(IF(IFERROR(VALUE(TRIM(SUBSTITUTE(SUBSTITUTE(SUBSTITUTE(TRIM(Respostas_Brutas!AS124),"R$",""),".",""),",","."))),0)=0,"",(IFERROR(VALUE(TRIM(SUBSTITUTE(SUBSTITUTE(SUBSTITUTE(TRIM(Respostas_Brutas!AS124),"R$",""),".",""),",","."))),0)-IFERROR(VALUE(TRIM(SUBSTITUTE(SUBSTITUTE(SUBSTITUTE(TRIM(Respostas_Brutas!T124),"R$",""),".",""),",","."))),0))/IFERROR(VALUE(TRIM(SUBSTITUTE(SUBSTITUTE(SUBSTITUTE(TRIM(Respostas_Brutas!AS124),"R$",""),".",""),",","."))),0)),""))</f>
        <v/>
      </c>
      <c r="C124" s="4" t="str">
        <f>IF(Respostas_Brutas!B124="","",MIN(1,(IFERROR(VALUE(LEFT(Respostas_Brutas!I124,IFERROR(FIND(" ",Respostas_Brutas!I124)-1,LEN(Respostas_Brutas!I124)))),0)+IFERROR(VALUE(LEFT(Respostas_Brutas!O124,IFERROR(FIND(" ",Respostas_Brutas!O124)-1,LEN(Respostas_Brutas!O124)))),0))/20))</f>
        <v/>
      </c>
      <c r="D124" s="4" t="str">
        <f>IF(Respostas_Brutas!B124="","",IF(Respostas_Brutas!D124="","",MIN(1,MAX(0,(YEAR(TODAY())-N(Respostas_Brutas!D124))/15))))</f>
        <v/>
      </c>
      <c r="E124" s="4" t="str">
        <f>IF(Respostas_Brutas!B124="","",IF(ISNUMBER(SEARCH("Sim",Respostas_Brutas!S124)),1,0))</f>
        <v/>
      </c>
      <c r="F124" s="4" t="str">
        <f>IF(Respostas_Brutas!B124="","",IFERROR(N(Respostas_Brutas!Y124)/N(Respostas_Brutas!Z124),""))</f>
        <v/>
      </c>
      <c r="G124" s="4" t="str">
        <f>IF(Respostas_Brutas!B124="","",IF(Respostas_Brutas!K124&lt;&gt;"",1,0))</f>
        <v/>
      </c>
      <c r="H124" s="4" t="str">
        <f>IF(Respostas_Brutas!B124="","",IF(ISNUMBER(SEARCH("Não",Respostas_Brutas!AH124)),1,0))</f>
        <v/>
      </c>
      <c r="I124" s="4" t="str">
        <f>IF(Respostas_Brutas!B124="","",IF(ISNUMBER(SEARCH("Sim",Respostas_Brutas!AL124)),1,0))</f>
        <v/>
      </c>
      <c r="J124" s="4" t="str">
        <f>IF(Respostas_Brutas!B124="","",IF(Respostas_Brutas!AN124="","",MIN(1,MAX(0,(N(Respostas_Brutas!AN124)-1)/4))))</f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tr">
        <f>IF(Respostas_Brutas!B125="","",Respostas_Brutas!B125)</f>
        <v/>
      </c>
      <c r="B125" s="4" t="str">
        <f>IF(Respostas_Brutas!B125="","",IFERROR(IF(IFERROR(VALUE(TRIM(SUBSTITUTE(SUBSTITUTE(SUBSTITUTE(TRIM(Respostas_Brutas!AS125),"R$",""),".",""),",","."))),0)=0,"",(IFERROR(VALUE(TRIM(SUBSTITUTE(SUBSTITUTE(SUBSTITUTE(TRIM(Respostas_Brutas!AS125),"R$",""),".",""),",","."))),0)-IFERROR(VALUE(TRIM(SUBSTITUTE(SUBSTITUTE(SUBSTITUTE(TRIM(Respostas_Brutas!T125),"R$",""),".",""),",","."))),0))/IFERROR(VALUE(TRIM(SUBSTITUTE(SUBSTITUTE(SUBSTITUTE(TRIM(Respostas_Brutas!AS125),"R$",""),".",""),",","."))),0)),""))</f>
        <v/>
      </c>
      <c r="C125" s="4" t="str">
        <f>IF(Respostas_Brutas!B125="","",MIN(1,(IFERROR(VALUE(LEFT(Respostas_Brutas!I125,IFERROR(FIND(" ",Respostas_Brutas!I125)-1,LEN(Respostas_Brutas!I125)))),0)+IFERROR(VALUE(LEFT(Respostas_Brutas!O125,IFERROR(FIND(" ",Respostas_Brutas!O125)-1,LEN(Respostas_Brutas!O125)))),0))/20))</f>
        <v/>
      </c>
      <c r="D125" s="4" t="str">
        <f>IF(Respostas_Brutas!B125="","",IF(Respostas_Brutas!D125="","",MIN(1,MAX(0,(YEAR(TODAY())-N(Respostas_Brutas!D125))/15))))</f>
        <v/>
      </c>
      <c r="E125" s="4" t="str">
        <f>IF(Respostas_Brutas!B125="","",IF(ISNUMBER(SEARCH("Sim",Respostas_Brutas!S125)),1,0))</f>
        <v/>
      </c>
      <c r="F125" s="4" t="str">
        <f>IF(Respostas_Brutas!B125="","",IFERROR(N(Respostas_Brutas!Y125)/N(Respostas_Brutas!Z125),""))</f>
        <v/>
      </c>
      <c r="G125" s="4" t="str">
        <f>IF(Respostas_Brutas!B125="","",IF(Respostas_Brutas!K125&lt;&gt;"",1,0))</f>
        <v/>
      </c>
      <c r="H125" s="4" t="str">
        <f>IF(Respostas_Brutas!B125="","",IF(ISNUMBER(SEARCH("Não",Respostas_Brutas!AH125)),1,0))</f>
        <v/>
      </c>
      <c r="I125" s="4" t="str">
        <f>IF(Respostas_Brutas!B125="","",IF(ISNUMBER(SEARCH("Sim",Respostas_Brutas!AL125)),1,0))</f>
        <v/>
      </c>
      <c r="J125" s="4" t="str">
        <f>IF(Respostas_Brutas!B125="","",IF(Respostas_Brutas!AN125="","",MIN(1,MAX(0,(N(Respostas_Brutas!AN125)-1)/4))))</f>
        <v/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tr">
        <f>IF(Respostas_Brutas!B126="","",Respostas_Brutas!B126)</f>
        <v/>
      </c>
      <c r="B126" s="4" t="str">
        <f>IF(Respostas_Brutas!B126="","",IFERROR(IF(IFERROR(VALUE(TRIM(SUBSTITUTE(SUBSTITUTE(SUBSTITUTE(TRIM(Respostas_Brutas!AS126),"R$",""),".",""),",","."))),0)=0,"",(IFERROR(VALUE(TRIM(SUBSTITUTE(SUBSTITUTE(SUBSTITUTE(TRIM(Respostas_Brutas!AS126),"R$",""),".",""),",","."))),0)-IFERROR(VALUE(TRIM(SUBSTITUTE(SUBSTITUTE(SUBSTITUTE(TRIM(Respostas_Brutas!T126),"R$",""),".",""),",","."))),0))/IFERROR(VALUE(TRIM(SUBSTITUTE(SUBSTITUTE(SUBSTITUTE(TRIM(Respostas_Brutas!AS126),"R$",""),".",""),",","."))),0)),""))</f>
        <v/>
      </c>
      <c r="C126" s="4" t="str">
        <f>IF(Respostas_Brutas!B126="","",MIN(1,(IFERROR(VALUE(LEFT(Respostas_Brutas!I126,IFERROR(FIND(" ",Respostas_Brutas!I126)-1,LEN(Respostas_Brutas!I126)))),0)+IFERROR(VALUE(LEFT(Respostas_Brutas!O126,IFERROR(FIND(" ",Respostas_Brutas!O126)-1,LEN(Respostas_Brutas!O126)))),0))/20))</f>
        <v/>
      </c>
      <c r="D126" s="4" t="str">
        <f>IF(Respostas_Brutas!B126="","",IF(Respostas_Brutas!D126="","",MIN(1,MAX(0,(YEAR(TODAY())-N(Respostas_Brutas!D126))/15))))</f>
        <v/>
      </c>
      <c r="E126" s="4" t="str">
        <f>IF(Respostas_Brutas!B126="","",IF(ISNUMBER(SEARCH("Sim",Respostas_Brutas!S126)),1,0))</f>
        <v/>
      </c>
      <c r="F126" s="4" t="str">
        <f>IF(Respostas_Brutas!B126="","",IFERROR(N(Respostas_Brutas!Y126)/N(Respostas_Brutas!Z126),""))</f>
        <v/>
      </c>
      <c r="G126" s="4" t="str">
        <f>IF(Respostas_Brutas!B126="","",IF(Respostas_Brutas!K126&lt;&gt;"",1,0))</f>
        <v/>
      </c>
      <c r="H126" s="4" t="str">
        <f>IF(Respostas_Brutas!B126="","",IF(ISNUMBER(SEARCH("Não",Respostas_Brutas!AH126)),1,0))</f>
        <v/>
      </c>
      <c r="I126" s="4" t="str">
        <f>IF(Respostas_Brutas!B126="","",IF(ISNUMBER(SEARCH("Sim",Respostas_Brutas!AL126)),1,0))</f>
        <v/>
      </c>
      <c r="J126" s="4" t="str">
        <f>IF(Respostas_Brutas!B126="","",IF(Respostas_Brutas!AN126="","",MIN(1,MAX(0,(N(Respostas_Brutas!AN126)-1)/4))))</f>
        <v/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tr">
        <f>IF(Respostas_Brutas!B127="","",Respostas_Brutas!B127)</f>
        <v/>
      </c>
      <c r="B127" s="4" t="str">
        <f>IF(Respostas_Brutas!B127="","",IFERROR(IF(IFERROR(VALUE(TRIM(SUBSTITUTE(SUBSTITUTE(SUBSTITUTE(TRIM(Respostas_Brutas!AS127),"R$",""),".",""),",","."))),0)=0,"",(IFERROR(VALUE(TRIM(SUBSTITUTE(SUBSTITUTE(SUBSTITUTE(TRIM(Respostas_Brutas!AS127),"R$",""),".",""),",","."))),0)-IFERROR(VALUE(TRIM(SUBSTITUTE(SUBSTITUTE(SUBSTITUTE(TRIM(Respostas_Brutas!T127),"R$",""),".",""),",","."))),0))/IFERROR(VALUE(TRIM(SUBSTITUTE(SUBSTITUTE(SUBSTITUTE(TRIM(Respostas_Brutas!AS127),"R$",""),".",""),",","."))),0)),""))</f>
        <v/>
      </c>
      <c r="C127" s="4" t="str">
        <f>IF(Respostas_Brutas!B127="","",MIN(1,(IFERROR(VALUE(LEFT(Respostas_Brutas!I127,IFERROR(FIND(" ",Respostas_Brutas!I127)-1,LEN(Respostas_Brutas!I127)))),0)+IFERROR(VALUE(LEFT(Respostas_Brutas!O127,IFERROR(FIND(" ",Respostas_Brutas!O127)-1,LEN(Respostas_Brutas!O127)))),0))/20))</f>
        <v/>
      </c>
      <c r="D127" s="4" t="str">
        <f>IF(Respostas_Brutas!B127="","",IF(Respostas_Brutas!D127="","",MIN(1,MAX(0,(YEAR(TODAY())-N(Respostas_Brutas!D127))/15))))</f>
        <v/>
      </c>
      <c r="E127" s="4" t="str">
        <f>IF(Respostas_Brutas!B127="","",IF(ISNUMBER(SEARCH("Sim",Respostas_Brutas!S127)),1,0))</f>
        <v/>
      </c>
      <c r="F127" s="4" t="str">
        <f>IF(Respostas_Brutas!B127="","",IFERROR(N(Respostas_Brutas!Y127)/N(Respostas_Brutas!Z127),""))</f>
        <v/>
      </c>
      <c r="G127" s="4" t="str">
        <f>IF(Respostas_Brutas!B127="","",IF(Respostas_Brutas!K127&lt;&gt;"",1,0))</f>
        <v/>
      </c>
      <c r="H127" s="4" t="str">
        <f>IF(Respostas_Brutas!B127="","",IF(ISNUMBER(SEARCH("Não",Respostas_Brutas!AH127)),1,0))</f>
        <v/>
      </c>
      <c r="I127" s="4" t="str">
        <f>IF(Respostas_Brutas!B127="","",IF(ISNUMBER(SEARCH("Sim",Respostas_Brutas!AL127)),1,0))</f>
        <v/>
      </c>
      <c r="J127" s="4" t="str">
        <f>IF(Respostas_Brutas!B127="","",IF(Respostas_Brutas!AN127="","",MIN(1,MAX(0,(N(Respostas_Brutas!AN127)-1)/4))))</f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tr">
        <f>IF(Respostas_Brutas!B128="","",Respostas_Brutas!B128)</f>
        <v/>
      </c>
      <c r="B128" s="4" t="str">
        <f>IF(Respostas_Brutas!B128="","",IFERROR(IF(IFERROR(VALUE(TRIM(SUBSTITUTE(SUBSTITUTE(SUBSTITUTE(TRIM(Respostas_Brutas!AS128),"R$",""),".",""),",","."))),0)=0,"",(IFERROR(VALUE(TRIM(SUBSTITUTE(SUBSTITUTE(SUBSTITUTE(TRIM(Respostas_Brutas!AS128),"R$",""),".",""),",","."))),0)-IFERROR(VALUE(TRIM(SUBSTITUTE(SUBSTITUTE(SUBSTITUTE(TRIM(Respostas_Brutas!T128),"R$",""),".",""),",","."))),0))/IFERROR(VALUE(TRIM(SUBSTITUTE(SUBSTITUTE(SUBSTITUTE(TRIM(Respostas_Brutas!AS128),"R$",""),".",""),",","."))),0)),""))</f>
        <v/>
      </c>
      <c r="C128" s="4" t="str">
        <f>IF(Respostas_Brutas!B128="","",MIN(1,(IFERROR(VALUE(LEFT(Respostas_Brutas!I128,IFERROR(FIND(" ",Respostas_Brutas!I128)-1,LEN(Respostas_Brutas!I128)))),0)+IFERROR(VALUE(LEFT(Respostas_Brutas!O128,IFERROR(FIND(" ",Respostas_Brutas!O128)-1,LEN(Respostas_Brutas!O128)))),0))/20))</f>
        <v/>
      </c>
      <c r="D128" s="4" t="str">
        <f>IF(Respostas_Brutas!B128="","",IF(Respostas_Brutas!D128="","",MIN(1,MAX(0,(YEAR(TODAY())-N(Respostas_Brutas!D128))/15))))</f>
        <v/>
      </c>
      <c r="E128" s="4" t="str">
        <f>IF(Respostas_Brutas!B128="","",IF(ISNUMBER(SEARCH("Sim",Respostas_Brutas!S128)),1,0))</f>
        <v/>
      </c>
      <c r="F128" s="4" t="str">
        <f>IF(Respostas_Brutas!B128="","",IFERROR(N(Respostas_Brutas!Y128)/N(Respostas_Brutas!Z128),""))</f>
        <v/>
      </c>
      <c r="G128" s="4" t="str">
        <f>IF(Respostas_Brutas!B128="","",IF(Respostas_Brutas!K128&lt;&gt;"",1,0))</f>
        <v/>
      </c>
      <c r="H128" s="4" t="str">
        <f>IF(Respostas_Brutas!B128="","",IF(ISNUMBER(SEARCH("Não",Respostas_Brutas!AH128)),1,0))</f>
        <v/>
      </c>
      <c r="I128" s="4" t="str">
        <f>IF(Respostas_Brutas!B128="","",IF(ISNUMBER(SEARCH("Sim",Respostas_Brutas!AL128)),1,0))</f>
        <v/>
      </c>
      <c r="J128" s="4" t="str">
        <f>IF(Respostas_Brutas!B128="","",IF(Respostas_Brutas!AN128="","",MIN(1,MAX(0,(N(Respostas_Brutas!AN128)-1)/4))))</f>
        <v/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tr">
        <f>IF(Respostas_Brutas!B129="","",Respostas_Brutas!B129)</f>
        <v/>
      </c>
      <c r="B129" s="4" t="str">
        <f>IF(Respostas_Brutas!B129="","",IFERROR(IF(IFERROR(VALUE(TRIM(SUBSTITUTE(SUBSTITUTE(SUBSTITUTE(TRIM(Respostas_Brutas!AS129),"R$",""),".",""),",","."))),0)=0,"",(IFERROR(VALUE(TRIM(SUBSTITUTE(SUBSTITUTE(SUBSTITUTE(TRIM(Respostas_Brutas!AS129),"R$",""),".",""),",","."))),0)-IFERROR(VALUE(TRIM(SUBSTITUTE(SUBSTITUTE(SUBSTITUTE(TRIM(Respostas_Brutas!T129),"R$",""),".",""),",","."))),0))/IFERROR(VALUE(TRIM(SUBSTITUTE(SUBSTITUTE(SUBSTITUTE(TRIM(Respostas_Brutas!AS129),"R$",""),".",""),",","."))),0)),""))</f>
        <v/>
      </c>
      <c r="C129" s="4" t="str">
        <f>IF(Respostas_Brutas!B129="","",MIN(1,(IFERROR(VALUE(LEFT(Respostas_Brutas!I129,IFERROR(FIND(" ",Respostas_Brutas!I129)-1,LEN(Respostas_Brutas!I129)))),0)+IFERROR(VALUE(LEFT(Respostas_Brutas!O129,IFERROR(FIND(" ",Respostas_Brutas!O129)-1,LEN(Respostas_Brutas!O129)))),0))/20))</f>
        <v/>
      </c>
      <c r="D129" s="4" t="str">
        <f>IF(Respostas_Brutas!B129="","",IF(Respostas_Brutas!D129="","",MIN(1,MAX(0,(YEAR(TODAY())-N(Respostas_Brutas!D129))/15))))</f>
        <v/>
      </c>
      <c r="E129" s="4" t="str">
        <f>IF(Respostas_Brutas!B129="","",IF(ISNUMBER(SEARCH("Sim",Respostas_Brutas!S129)),1,0))</f>
        <v/>
      </c>
      <c r="F129" s="4" t="str">
        <f>IF(Respostas_Brutas!B129="","",IFERROR(N(Respostas_Brutas!Y129)/N(Respostas_Brutas!Z129),""))</f>
        <v/>
      </c>
      <c r="G129" s="4" t="str">
        <f>IF(Respostas_Brutas!B129="","",IF(Respostas_Brutas!K129&lt;&gt;"",1,0))</f>
        <v/>
      </c>
      <c r="H129" s="4" t="str">
        <f>IF(Respostas_Brutas!B129="","",IF(ISNUMBER(SEARCH("Não",Respostas_Brutas!AH129)),1,0))</f>
        <v/>
      </c>
      <c r="I129" s="4" t="str">
        <f>IF(Respostas_Brutas!B129="","",IF(ISNUMBER(SEARCH("Sim",Respostas_Brutas!AL129)),1,0))</f>
        <v/>
      </c>
      <c r="J129" s="4" t="str">
        <f>IF(Respostas_Brutas!B129="","",IF(Respostas_Brutas!AN129="","",MIN(1,MAX(0,(N(Respostas_Brutas!AN129)-1)/4))))</f>
        <v/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tr">
        <f>IF(Respostas_Brutas!B130="","",Respostas_Brutas!B130)</f>
        <v/>
      </c>
      <c r="B130" s="4" t="str">
        <f>IF(Respostas_Brutas!B130="","",IFERROR(IF(IFERROR(VALUE(TRIM(SUBSTITUTE(SUBSTITUTE(SUBSTITUTE(TRIM(Respostas_Brutas!AS130),"R$",""),".",""),",","."))),0)=0,"",(IFERROR(VALUE(TRIM(SUBSTITUTE(SUBSTITUTE(SUBSTITUTE(TRIM(Respostas_Brutas!AS130),"R$",""),".",""),",","."))),0)-IFERROR(VALUE(TRIM(SUBSTITUTE(SUBSTITUTE(SUBSTITUTE(TRIM(Respostas_Brutas!T130),"R$",""),".",""),",","."))),0))/IFERROR(VALUE(TRIM(SUBSTITUTE(SUBSTITUTE(SUBSTITUTE(TRIM(Respostas_Brutas!AS130),"R$",""),".",""),",","."))),0)),""))</f>
        <v/>
      </c>
      <c r="C130" s="4" t="str">
        <f>IF(Respostas_Brutas!B130="","",MIN(1,(IFERROR(VALUE(LEFT(Respostas_Brutas!I130,IFERROR(FIND(" ",Respostas_Brutas!I130)-1,LEN(Respostas_Brutas!I130)))),0)+IFERROR(VALUE(LEFT(Respostas_Brutas!O130,IFERROR(FIND(" ",Respostas_Brutas!O130)-1,LEN(Respostas_Brutas!O130)))),0))/20))</f>
        <v/>
      </c>
      <c r="D130" s="4" t="str">
        <f>IF(Respostas_Brutas!B130="","",IF(Respostas_Brutas!D130="","",MIN(1,MAX(0,(YEAR(TODAY())-N(Respostas_Brutas!D130))/15))))</f>
        <v/>
      </c>
      <c r="E130" s="4" t="str">
        <f>IF(Respostas_Brutas!B130="","",IF(ISNUMBER(SEARCH("Sim",Respostas_Brutas!S130)),1,0))</f>
        <v/>
      </c>
      <c r="F130" s="4" t="str">
        <f>IF(Respostas_Brutas!B130="","",IFERROR(N(Respostas_Brutas!Y130)/N(Respostas_Brutas!Z130),""))</f>
        <v/>
      </c>
      <c r="G130" s="4" t="str">
        <f>IF(Respostas_Brutas!B130="","",IF(Respostas_Brutas!K130&lt;&gt;"",1,0))</f>
        <v/>
      </c>
      <c r="H130" s="4" t="str">
        <f>IF(Respostas_Brutas!B130="","",IF(ISNUMBER(SEARCH("Não",Respostas_Brutas!AH130)),1,0))</f>
        <v/>
      </c>
      <c r="I130" s="4" t="str">
        <f>IF(Respostas_Brutas!B130="","",IF(ISNUMBER(SEARCH("Sim",Respostas_Brutas!AL130)),1,0))</f>
        <v/>
      </c>
      <c r="J130" s="4" t="str">
        <f>IF(Respostas_Brutas!B130="","",IF(Respostas_Brutas!AN130="","",MIN(1,MAX(0,(N(Respostas_Brutas!AN130)-1)/4))))</f>
        <v/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tr">
        <f>IF(Respostas_Brutas!B131="","",Respostas_Brutas!B131)</f>
        <v/>
      </c>
      <c r="B131" s="4" t="str">
        <f>IF(Respostas_Brutas!B131="","",IFERROR(IF(IFERROR(VALUE(TRIM(SUBSTITUTE(SUBSTITUTE(SUBSTITUTE(TRIM(Respostas_Brutas!AS131),"R$",""),".",""),",","."))),0)=0,"",(IFERROR(VALUE(TRIM(SUBSTITUTE(SUBSTITUTE(SUBSTITUTE(TRIM(Respostas_Brutas!AS131),"R$",""),".",""),",","."))),0)-IFERROR(VALUE(TRIM(SUBSTITUTE(SUBSTITUTE(SUBSTITUTE(TRIM(Respostas_Brutas!T131),"R$",""),".",""),",","."))),0))/IFERROR(VALUE(TRIM(SUBSTITUTE(SUBSTITUTE(SUBSTITUTE(TRIM(Respostas_Brutas!AS131),"R$",""),".",""),",","."))),0)),""))</f>
        <v/>
      </c>
      <c r="C131" s="4" t="str">
        <f>IF(Respostas_Brutas!B131="","",MIN(1,(IFERROR(VALUE(LEFT(Respostas_Brutas!I131,IFERROR(FIND(" ",Respostas_Brutas!I131)-1,LEN(Respostas_Brutas!I131)))),0)+IFERROR(VALUE(LEFT(Respostas_Brutas!O131,IFERROR(FIND(" ",Respostas_Brutas!O131)-1,LEN(Respostas_Brutas!O131)))),0))/20))</f>
        <v/>
      </c>
      <c r="D131" s="4" t="str">
        <f>IF(Respostas_Brutas!B131="","",IF(Respostas_Brutas!D131="","",MIN(1,MAX(0,(YEAR(TODAY())-N(Respostas_Brutas!D131))/15))))</f>
        <v/>
      </c>
      <c r="E131" s="4" t="str">
        <f>IF(Respostas_Brutas!B131="","",IF(ISNUMBER(SEARCH("Sim",Respostas_Brutas!S131)),1,0))</f>
        <v/>
      </c>
      <c r="F131" s="4" t="str">
        <f>IF(Respostas_Brutas!B131="","",IFERROR(N(Respostas_Brutas!Y131)/N(Respostas_Brutas!Z131),""))</f>
        <v/>
      </c>
      <c r="G131" s="4" t="str">
        <f>IF(Respostas_Brutas!B131="","",IF(Respostas_Brutas!K131&lt;&gt;"",1,0))</f>
        <v/>
      </c>
      <c r="H131" s="4" t="str">
        <f>IF(Respostas_Brutas!B131="","",IF(ISNUMBER(SEARCH("Não",Respostas_Brutas!AH131)),1,0))</f>
        <v/>
      </c>
      <c r="I131" s="4" t="str">
        <f>IF(Respostas_Brutas!B131="","",IF(ISNUMBER(SEARCH("Sim",Respostas_Brutas!AL131)),1,0))</f>
        <v/>
      </c>
      <c r="J131" s="4" t="str">
        <f>IF(Respostas_Brutas!B131="","",IF(Respostas_Brutas!AN131="","",MIN(1,MAX(0,(N(Respostas_Brutas!AN131)-1)/4))))</f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tr">
        <f>IF(Respostas_Brutas!B132="","",Respostas_Brutas!B132)</f>
        <v/>
      </c>
      <c r="B132" s="4" t="str">
        <f>IF(Respostas_Brutas!B132="","",IFERROR(IF(IFERROR(VALUE(TRIM(SUBSTITUTE(SUBSTITUTE(SUBSTITUTE(TRIM(Respostas_Brutas!AS132),"R$",""),".",""),",","."))),0)=0,"",(IFERROR(VALUE(TRIM(SUBSTITUTE(SUBSTITUTE(SUBSTITUTE(TRIM(Respostas_Brutas!AS132),"R$",""),".",""),",","."))),0)-IFERROR(VALUE(TRIM(SUBSTITUTE(SUBSTITUTE(SUBSTITUTE(TRIM(Respostas_Brutas!T132),"R$",""),".",""),",","."))),0))/IFERROR(VALUE(TRIM(SUBSTITUTE(SUBSTITUTE(SUBSTITUTE(TRIM(Respostas_Brutas!AS132),"R$",""),".",""),",","."))),0)),""))</f>
        <v/>
      </c>
      <c r="C132" s="4" t="str">
        <f>IF(Respostas_Brutas!B132="","",MIN(1,(IFERROR(VALUE(LEFT(Respostas_Brutas!I132,IFERROR(FIND(" ",Respostas_Brutas!I132)-1,LEN(Respostas_Brutas!I132)))),0)+IFERROR(VALUE(LEFT(Respostas_Brutas!O132,IFERROR(FIND(" ",Respostas_Brutas!O132)-1,LEN(Respostas_Brutas!O132)))),0))/20))</f>
        <v/>
      </c>
      <c r="D132" s="4" t="str">
        <f>IF(Respostas_Brutas!B132="","",IF(Respostas_Brutas!D132="","",MIN(1,MAX(0,(YEAR(TODAY())-N(Respostas_Brutas!D132))/15))))</f>
        <v/>
      </c>
      <c r="E132" s="4" t="str">
        <f>IF(Respostas_Brutas!B132="","",IF(ISNUMBER(SEARCH("Sim",Respostas_Brutas!S132)),1,0))</f>
        <v/>
      </c>
      <c r="F132" s="4" t="str">
        <f>IF(Respostas_Brutas!B132="","",IFERROR(N(Respostas_Brutas!Y132)/N(Respostas_Brutas!Z132),""))</f>
        <v/>
      </c>
      <c r="G132" s="4" t="str">
        <f>IF(Respostas_Brutas!B132="","",IF(Respostas_Brutas!K132&lt;&gt;"",1,0))</f>
        <v/>
      </c>
      <c r="H132" s="4" t="str">
        <f>IF(Respostas_Brutas!B132="","",IF(ISNUMBER(SEARCH("Não",Respostas_Brutas!AH132)),1,0))</f>
        <v/>
      </c>
      <c r="I132" s="4" t="str">
        <f>IF(Respostas_Brutas!B132="","",IF(ISNUMBER(SEARCH("Sim",Respostas_Brutas!AL132)),1,0))</f>
        <v/>
      </c>
      <c r="J132" s="4" t="str">
        <f>IF(Respostas_Brutas!B132="","",IF(Respostas_Brutas!AN132="","",MIN(1,MAX(0,(N(Respostas_Brutas!AN132)-1)/4))))</f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tr">
        <f>IF(Respostas_Brutas!B133="","",Respostas_Brutas!B133)</f>
        <v/>
      </c>
      <c r="B133" s="4" t="str">
        <f>IF(Respostas_Brutas!B133="","",IFERROR(IF(IFERROR(VALUE(TRIM(SUBSTITUTE(SUBSTITUTE(SUBSTITUTE(TRIM(Respostas_Brutas!AS133),"R$",""),".",""),",","."))),0)=0,"",(IFERROR(VALUE(TRIM(SUBSTITUTE(SUBSTITUTE(SUBSTITUTE(TRIM(Respostas_Brutas!AS133),"R$",""),".",""),",","."))),0)-IFERROR(VALUE(TRIM(SUBSTITUTE(SUBSTITUTE(SUBSTITUTE(TRIM(Respostas_Brutas!T133),"R$",""),".",""),",","."))),0))/IFERROR(VALUE(TRIM(SUBSTITUTE(SUBSTITUTE(SUBSTITUTE(TRIM(Respostas_Brutas!AS133),"R$",""),".",""),",","."))),0)),""))</f>
        <v/>
      </c>
      <c r="C133" s="4" t="str">
        <f>IF(Respostas_Brutas!B133="","",MIN(1,(IFERROR(VALUE(LEFT(Respostas_Brutas!I133,IFERROR(FIND(" ",Respostas_Brutas!I133)-1,LEN(Respostas_Brutas!I133)))),0)+IFERROR(VALUE(LEFT(Respostas_Brutas!O133,IFERROR(FIND(" ",Respostas_Brutas!O133)-1,LEN(Respostas_Brutas!O133)))),0))/20))</f>
        <v/>
      </c>
      <c r="D133" s="4" t="str">
        <f>IF(Respostas_Brutas!B133="","",IF(Respostas_Brutas!D133="","",MIN(1,MAX(0,(YEAR(TODAY())-N(Respostas_Brutas!D133))/15))))</f>
        <v/>
      </c>
      <c r="E133" s="4" t="str">
        <f>IF(Respostas_Brutas!B133="","",IF(ISNUMBER(SEARCH("Sim",Respostas_Brutas!S133)),1,0))</f>
        <v/>
      </c>
      <c r="F133" s="4" t="str">
        <f>IF(Respostas_Brutas!B133="","",IFERROR(N(Respostas_Brutas!Y133)/N(Respostas_Brutas!Z133),""))</f>
        <v/>
      </c>
      <c r="G133" s="4" t="str">
        <f>IF(Respostas_Brutas!B133="","",IF(Respostas_Brutas!K133&lt;&gt;"",1,0))</f>
        <v/>
      </c>
      <c r="H133" s="4" t="str">
        <f>IF(Respostas_Brutas!B133="","",IF(ISNUMBER(SEARCH("Não",Respostas_Brutas!AH133)),1,0))</f>
        <v/>
      </c>
      <c r="I133" s="4" t="str">
        <f>IF(Respostas_Brutas!B133="","",IF(ISNUMBER(SEARCH("Sim",Respostas_Brutas!AL133)),1,0))</f>
        <v/>
      </c>
      <c r="J133" s="4" t="str">
        <f>IF(Respostas_Brutas!B133="","",IF(Respostas_Brutas!AN133="","",MIN(1,MAX(0,(N(Respostas_Brutas!AN133)-1)/4))))</f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tr">
        <f>IF(Respostas_Brutas!B134="","",Respostas_Brutas!B134)</f>
        <v/>
      </c>
      <c r="B134" s="4" t="str">
        <f>IF(Respostas_Brutas!B134="","",IFERROR(IF(IFERROR(VALUE(TRIM(SUBSTITUTE(SUBSTITUTE(SUBSTITUTE(TRIM(Respostas_Brutas!AS134),"R$",""),".",""),",","."))),0)=0,"",(IFERROR(VALUE(TRIM(SUBSTITUTE(SUBSTITUTE(SUBSTITUTE(TRIM(Respostas_Brutas!AS134),"R$",""),".",""),",","."))),0)-IFERROR(VALUE(TRIM(SUBSTITUTE(SUBSTITUTE(SUBSTITUTE(TRIM(Respostas_Brutas!T134),"R$",""),".",""),",","."))),0))/IFERROR(VALUE(TRIM(SUBSTITUTE(SUBSTITUTE(SUBSTITUTE(TRIM(Respostas_Brutas!AS134),"R$",""),".",""),",","."))),0)),""))</f>
        <v/>
      </c>
      <c r="C134" s="4" t="str">
        <f>IF(Respostas_Brutas!B134="","",MIN(1,(IFERROR(VALUE(LEFT(Respostas_Brutas!I134,IFERROR(FIND(" ",Respostas_Brutas!I134)-1,LEN(Respostas_Brutas!I134)))),0)+IFERROR(VALUE(LEFT(Respostas_Brutas!O134,IFERROR(FIND(" ",Respostas_Brutas!O134)-1,LEN(Respostas_Brutas!O134)))),0))/20))</f>
        <v/>
      </c>
      <c r="D134" s="4" t="str">
        <f>IF(Respostas_Brutas!B134="","",IF(Respostas_Brutas!D134="","",MIN(1,MAX(0,(YEAR(TODAY())-N(Respostas_Brutas!D134))/15))))</f>
        <v/>
      </c>
      <c r="E134" s="4" t="str">
        <f>IF(Respostas_Brutas!B134="","",IF(ISNUMBER(SEARCH("Sim",Respostas_Brutas!S134)),1,0))</f>
        <v/>
      </c>
      <c r="F134" s="4" t="str">
        <f>IF(Respostas_Brutas!B134="","",IFERROR(N(Respostas_Brutas!Y134)/N(Respostas_Brutas!Z134),""))</f>
        <v/>
      </c>
      <c r="G134" s="4" t="str">
        <f>IF(Respostas_Brutas!B134="","",IF(Respostas_Brutas!K134&lt;&gt;"",1,0))</f>
        <v/>
      </c>
      <c r="H134" s="4" t="str">
        <f>IF(Respostas_Brutas!B134="","",IF(ISNUMBER(SEARCH("Não",Respostas_Brutas!AH134)),1,0))</f>
        <v/>
      </c>
      <c r="I134" s="4" t="str">
        <f>IF(Respostas_Brutas!B134="","",IF(ISNUMBER(SEARCH("Sim",Respostas_Brutas!AL134)),1,0))</f>
        <v/>
      </c>
      <c r="J134" s="4" t="str">
        <f>IF(Respostas_Brutas!B134="","",IF(Respostas_Brutas!AN134="","",MIN(1,MAX(0,(N(Respostas_Brutas!AN134)-1)/4))))</f>
        <v/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tr">
        <f>IF(Respostas_Brutas!B135="","",Respostas_Brutas!B135)</f>
        <v/>
      </c>
      <c r="B135" s="4" t="str">
        <f>IF(Respostas_Brutas!B135="","",IFERROR(IF(IFERROR(VALUE(TRIM(SUBSTITUTE(SUBSTITUTE(SUBSTITUTE(TRIM(Respostas_Brutas!AS135),"R$",""),".",""),",","."))),0)=0,"",(IFERROR(VALUE(TRIM(SUBSTITUTE(SUBSTITUTE(SUBSTITUTE(TRIM(Respostas_Brutas!AS135),"R$",""),".",""),",","."))),0)-IFERROR(VALUE(TRIM(SUBSTITUTE(SUBSTITUTE(SUBSTITUTE(TRIM(Respostas_Brutas!T135),"R$",""),".",""),",","."))),0))/IFERROR(VALUE(TRIM(SUBSTITUTE(SUBSTITUTE(SUBSTITUTE(TRIM(Respostas_Brutas!AS135),"R$",""),".",""),",","."))),0)),""))</f>
        <v/>
      </c>
      <c r="C135" s="4" t="str">
        <f>IF(Respostas_Brutas!B135="","",MIN(1,(IFERROR(VALUE(LEFT(Respostas_Brutas!I135,IFERROR(FIND(" ",Respostas_Brutas!I135)-1,LEN(Respostas_Brutas!I135)))),0)+IFERROR(VALUE(LEFT(Respostas_Brutas!O135,IFERROR(FIND(" ",Respostas_Brutas!O135)-1,LEN(Respostas_Brutas!O135)))),0))/20))</f>
        <v/>
      </c>
      <c r="D135" s="4" t="str">
        <f>IF(Respostas_Brutas!B135="","",IF(Respostas_Brutas!D135="","",MIN(1,MAX(0,(YEAR(TODAY())-N(Respostas_Brutas!D135))/15))))</f>
        <v/>
      </c>
      <c r="E135" s="4" t="str">
        <f>IF(Respostas_Brutas!B135="","",IF(ISNUMBER(SEARCH("Sim",Respostas_Brutas!S135)),1,0))</f>
        <v/>
      </c>
      <c r="F135" s="4" t="str">
        <f>IF(Respostas_Brutas!B135="","",IFERROR(N(Respostas_Brutas!Y135)/N(Respostas_Brutas!Z135),""))</f>
        <v/>
      </c>
      <c r="G135" s="4" t="str">
        <f>IF(Respostas_Brutas!B135="","",IF(Respostas_Brutas!K135&lt;&gt;"",1,0))</f>
        <v/>
      </c>
      <c r="H135" s="4" t="str">
        <f>IF(Respostas_Brutas!B135="","",IF(ISNUMBER(SEARCH("Não",Respostas_Brutas!AH135)),1,0))</f>
        <v/>
      </c>
      <c r="I135" s="4" t="str">
        <f>IF(Respostas_Brutas!B135="","",IF(ISNUMBER(SEARCH("Sim",Respostas_Brutas!AL135)),1,0))</f>
        <v/>
      </c>
      <c r="J135" s="4" t="str">
        <f>IF(Respostas_Brutas!B135="","",IF(Respostas_Brutas!AN135="","",MIN(1,MAX(0,(N(Respostas_Brutas!AN135)-1)/4))))</f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tr">
        <f>IF(Respostas_Brutas!B136="","",Respostas_Brutas!B136)</f>
        <v/>
      </c>
      <c r="B136" s="4" t="str">
        <f>IF(Respostas_Brutas!B136="","",IFERROR(IF(IFERROR(VALUE(TRIM(SUBSTITUTE(SUBSTITUTE(SUBSTITUTE(TRIM(Respostas_Brutas!AS136),"R$",""),".",""),",","."))),0)=0,"",(IFERROR(VALUE(TRIM(SUBSTITUTE(SUBSTITUTE(SUBSTITUTE(TRIM(Respostas_Brutas!AS136),"R$",""),".",""),",","."))),0)-IFERROR(VALUE(TRIM(SUBSTITUTE(SUBSTITUTE(SUBSTITUTE(TRIM(Respostas_Brutas!T136),"R$",""),".",""),",","."))),0))/IFERROR(VALUE(TRIM(SUBSTITUTE(SUBSTITUTE(SUBSTITUTE(TRIM(Respostas_Brutas!AS136),"R$",""),".",""),",","."))),0)),""))</f>
        <v/>
      </c>
      <c r="C136" s="4" t="str">
        <f>IF(Respostas_Brutas!B136="","",MIN(1,(IFERROR(VALUE(LEFT(Respostas_Brutas!I136,IFERROR(FIND(" ",Respostas_Brutas!I136)-1,LEN(Respostas_Brutas!I136)))),0)+IFERROR(VALUE(LEFT(Respostas_Brutas!O136,IFERROR(FIND(" ",Respostas_Brutas!O136)-1,LEN(Respostas_Brutas!O136)))),0))/20))</f>
        <v/>
      </c>
      <c r="D136" s="4" t="str">
        <f>IF(Respostas_Brutas!B136="","",IF(Respostas_Brutas!D136="","",MIN(1,MAX(0,(YEAR(TODAY())-N(Respostas_Brutas!D136))/15))))</f>
        <v/>
      </c>
      <c r="E136" s="4" t="str">
        <f>IF(Respostas_Brutas!B136="","",IF(ISNUMBER(SEARCH("Sim",Respostas_Brutas!S136)),1,0))</f>
        <v/>
      </c>
      <c r="F136" s="4" t="str">
        <f>IF(Respostas_Brutas!B136="","",IFERROR(N(Respostas_Brutas!Y136)/N(Respostas_Brutas!Z136),""))</f>
        <v/>
      </c>
      <c r="G136" s="4" t="str">
        <f>IF(Respostas_Brutas!B136="","",IF(Respostas_Brutas!K136&lt;&gt;"",1,0))</f>
        <v/>
      </c>
      <c r="H136" s="4" t="str">
        <f>IF(Respostas_Brutas!B136="","",IF(ISNUMBER(SEARCH("Não",Respostas_Brutas!AH136)),1,0))</f>
        <v/>
      </c>
      <c r="I136" s="4" t="str">
        <f>IF(Respostas_Brutas!B136="","",IF(ISNUMBER(SEARCH("Sim",Respostas_Brutas!AL136)),1,0))</f>
        <v/>
      </c>
      <c r="J136" s="4" t="str">
        <f>IF(Respostas_Brutas!B136="","",IF(Respostas_Brutas!AN136="","",MIN(1,MAX(0,(N(Respostas_Brutas!AN136)-1)/4))))</f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tr">
        <f>IF(Respostas_Brutas!B137="","",Respostas_Brutas!B137)</f>
        <v/>
      </c>
      <c r="B137" s="4" t="str">
        <f>IF(Respostas_Brutas!B137="","",IFERROR(IF(IFERROR(VALUE(TRIM(SUBSTITUTE(SUBSTITUTE(SUBSTITUTE(TRIM(Respostas_Brutas!AS137),"R$",""),".",""),",","."))),0)=0,"",(IFERROR(VALUE(TRIM(SUBSTITUTE(SUBSTITUTE(SUBSTITUTE(TRIM(Respostas_Brutas!AS137),"R$",""),".",""),",","."))),0)-IFERROR(VALUE(TRIM(SUBSTITUTE(SUBSTITUTE(SUBSTITUTE(TRIM(Respostas_Brutas!T137),"R$",""),".",""),",","."))),0))/IFERROR(VALUE(TRIM(SUBSTITUTE(SUBSTITUTE(SUBSTITUTE(TRIM(Respostas_Brutas!AS137),"R$",""),".",""),",","."))),0)),""))</f>
        <v/>
      </c>
      <c r="C137" s="4" t="str">
        <f>IF(Respostas_Brutas!B137="","",MIN(1,(IFERROR(VALUE(LEFT(Respostas_Brutas!I137,IFERROR(FIND(" ",Respostas_Brutas!I137)-1,LEN(Respostas_Brutas!I137)))),0)+IFERROR(VALUE(LEFT(Respostas_Brutas!O137,IFERROR(FIND(" ",Respostas_Brutas!O137)-1,LEN(Respostas_Brutas!O137)))),0))/20))</f>
        <v/>
      </c>
      <c r="D137" s="4" t="str">
        <f>IF(Respostas_Brutas!B137="","",IF(Respostas_Brutas!D137="","",MIN(1,MAX(0,(YEAR(TODAY())-N(Respostas_Brutas!D137))/15))))</f>
        <v/>
      </c>
      <c r="E137" s="4" t="str">
        <f>IF(Respostas_Brutas!B137="","",IF(ISNUMBER(SEARCH("Sim",Respostas_Brutas!S137)),1,0))</f>
        <v/>
      </c>
      <c r="F137" s="4" t="str">
        <f>IF(Respostas_Brutas!B137="","",IFERROR(N(Respostas_Brutas!Y137)/N(Respostas_Brutas!Z137),""))</f>
        <v/>
      </c>
      <c r="G137" s="4" t="str">
        <f>IF(Respostas_Brutas!B137="","",IF(Respostas_Brutas!K137&lt;&gt;"",1,0))</f>
        <v/>
      </c>
      <c r="H137" s="4" t="str">
        <f>IF(Respostas_Brutas!B137="","",IF(ISNUMBER(SEARCH("Não",Respostas_Brutas!AH137)),1,0))</f>
        <v/>
      </c>
      <c r="I137" s="4" t="str">
        <f>IF(Respostas_Brutas!B137="","",IF(ISNUMBER(SEARCH("Sim",Respostas_Brutas!AL137)),1,0))</f>
        <v/>
      </c>
      <c r="J137" s="4" t="str">
        <f>IF(Respostas_Brutas!B137="","",IF(Respostas_Brutas!AN137="","",MIN(1,MAX(0,(N(Respostas_Brutas!AN137)-1)/4))))</f>
        <v/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tr">
        <f>IF(Respostas_Brutas!B138="","",Respostas_Brutas!B138)</f>
        <v/>
      </c>
      <c r="B138" s="4" t="str">
        <f>IF(Respostas_Brutas!B138="","",IFERROR(IF(IFERROR(VALUE(TRIM(SUBSTITUTE(SUBSTITUTE(SUBSTITUTE(TRIM(Respostas_Brutas!AS138),"R$",""),".",""),",","."))),0)=0,"",(IFERROR(VALUE(TRIM(SUBSTITUTE(SUBSTITUTE(SUBSTITUTE(TRIM(Respostas_Brutas!AS138),"R$",""),".",""),",","."))),0)-IFERROR(VALUE(TRIM(SUBSTITUTE(SUBSTITUTE(SUBSTITUTE(TRIM(Respostas_Brutas!T138),"R$",""),".",""),",","."))),0))/IFERROR(VALUE(TRIM(SUBSTITUTE(SUBSTITUTE(SUBSTITUTE(TRIM(Respostas_Brutas!AS138),"R$",""),".",""),",","."))),0)),""))</f>
        <v/>
      </c>
      <c r="C138" s="4" t="str">
        <f>IF(Respostas_Brutas!B138="","",MIN(1,(IFERROR(VALUE(LEFT(Respostas_Brutas!I138,IFERROR(FIND(" ",Respostas_Brutas!I138)-1,LEN(Respostas_Brutas!I138)))),0)+IFERROR(VALUE(LEFT(Respostas_Brutas!O138,IFERROR(FIND(" ",Respostas_Brutas!O138)-1,LEN(Respostas_Brutas!O138)))),0))/20))</f>
        <v/>
      </c>
      <c r="D138" s="4" t="str">
        <f>IF(Respostas_Brutas!B138="","",IF(Respostas_Brutas!D138="","",MIN(1,MAX(0,(YEAR(TODAY())-N(Respostas_Brutas!D138))/15))))</f>
        <v/>
      </c>
      <c r="E138" s="4" t="str">
        <f>IF(Respostas_Brutas!B138="","",IF(ISNUMBER(SEARCH("Sim",Respostas_Brutas!S138)),1,0))</f>
        <v/>
      </c>
      <c r="F138" s="4" t="str">
        <f>IF(Respostas_Brutas!B138="","",IFERROR(N(Respostas_Brutas!Y138)/N(Respostas_Brutas!Z138),""))</f>
        <v/>
      </c>
      <c r="G138" s="4" t="str">
        <f>IF(Respostas_Brutas!B138="","",IF(Respostas_Brutas!K138&lt;&gt;"",1,0))</f>
        <v/>
      </c>
      <c r="H138" s="4" t="str">
        <f>IF(Respostas_Brutas!B138="","",IF(ISNUMBER(SEARCH("Não",Respostas_Brutas!AH138)),1,0))</f>
        <v/>
      </c>
      <c r="I138" s="4" t="str">
        <f>IF(Respostas_Brutas!B138="","",IF(ISNUMBER(SEARCH("Sim",Respostas_Brutas!AL138)),1,0))</f>
        <v/>
      </c>
      <c r="J138" s="4" t="str">
        <f>IF(Respostas_Brutas!B138="","",IF(Respostas_Brutas!AN138="","",MIN(1,MAX(0,(N(Respostas_Brutas!AN138)-1)/4))))</f>
        <v/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tr">
        <f>IF(Respostas_Brutas!B139="","",Respostas_Brutas!B139)</f>
        <v/>
      </c>
      <c r="B139" s="4" t="str">
        <f>IF(Respostas_Brutas!B139="","",IFERROR(IF(IFERROR(VALUE(TRIM(SUBSTITUTE(SUBSTITUTE(SUBSTITUTE(TRIM(Respostas_Brutas!AS139),"R$",""),".",""),",","."))),0)=0,"",(IFERROR(VALUE(TRIM(SUBSTITUTE(SUBSTITUTE(SUBSTITUTE(TRIM(Respostas_Brutas!AS139),"R$",""),".",""),",","."))),0)-IFERROR(VALUE(TRIM(SUBSTITUTE(SUBSTITUTE(SUBSTITUTE(TRIM(Respostas_Brutas!T139),"R$",""),".",""),",","."))),0))/IFERROR(VALUE(TRIM(SUBSTITUTE(SUBSTITUTE(SUBSTITUTE(TRIM(Respostas_Brutas!AS139),"R$",""),".",""),",","."))),0)),""))</f>
        <v/>
      </c>
      <c r="C139" s="4" t="str">
        <f>IF(Respostas_Brutas!B139="","",MIN(1,(IFERROR(VALUE(LEFT(Respostas_Brutas!I139,IFERROR(FIND(" ",Respostas_Brutas!I139)-1,LEN(Respostas_Brutas!I139)))),0)+IFERROR(VALUE(LEFT(Respostas_Brutas!O139,IFERROR(FIND(" ",Respostas_Brutas!O139)-1,LEN(Respostas_Brutas!O139)))),0))/20))</f>
        <v/>
      </c>
      <c r="D139" s="4" t="str">
        <f>IF(Respostas_Brutas!B139="","",IF(Respostas_Brutas!D139="","",MIN(1,MAX(0,(YEAR(TODAY())-N(Respostas_Brutas!D139))/15))))</f>
        <v/>
      </c>
      <c r="E139" s="4" t="str">
        <f>IF(Respostas_Brutas!B139="","",IF(ISNUMBER(SEARCH("Sim",Respostas_Brutas!S139)),1,0))</f>
        <v/>
      </c>
      <c r="F139" s="4" t="str">
        <f>IF(Respostas_Brutas!B139="","",IFERROR(N(Respostas_Brutas!Y139)/N(Respostas_Brutas!Z139),""))</f>
        <v/>
      </c>
      <c r="G139" s="4" t="str">
        <f>IF(Respostas_Brutas!B139="","",IF(Respostas_Brutas!K139&lt;&gt;"",1,0))</f>
        <v/>
      </c>
      <c r="H139" s="4" t="str">
        <f>IF(Respostas_Brutas!B139="","",IF(ISNUMBER(SEARCH("Não",Respostas_Brutas!AH139)),1,0))</f>
        <v/>
      </c>
      <c r="I139" s="4" t="str">
        <f>IF(Respostas_Brutas!B139="","",IF(ISNUMBER(SEARCH("Sim",Respostas_Brutas!AL139)),1,0))</f>
        <v/>
      </c>
      <c r="J139" s="4" t="str">
        <f>IF(Respostas_Brutas!B139="","",IF(Respostas_Brutas!AN139="","",MIN(1,MAX(0,(N(Respostas_Brutas!AN139)-1)/4))))</f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tr">
        <f>IF(Respostas_Brutas!B140="","",Respostas_Brutas!B140)</f>
        <v/>
      </c>
      <c r="B140" s="4" t="str">
        <f>IF(Respostas_Brutas!B140="","",IFERROR(IF(IFERROR(VALUE(TRIM(SUBSTITUTE(SUBSTITUTE(SUBSTITUTE(TRIM(Respostas_Brutas!AS140),"R$",""),".",""),",","."))),0)=0,"",(IFERROR(VALUE(TRIM(SUBSTITUTE(SUBSTITUTE(SUBSTITUTE(TRIM(Respostas_Brutas!AS140),"R$",""),".",""),",","."))),0)-IFERROR(VALUE(TRIM(SUBSTITUTE(SUBSTITUTE(SUBSTITUTE(TRIM(Respostas_Brutas!T140),"R$",""),".",""),",","."))),0))/IFERROR(VALUE(TRIM(SUBSTITUTE(SUBSTITUTE(SUBSTITUTE(TRIM(Respostas_Brutas!AS140),"R$",""),".",""),",","."))),0)),""))</f>
        <v/>
      </c>
      <c r="C140" s="4" t="str">
        <f>IF(Respostas_Brutas!B140="","",MIN(1,(IFERROR(VALUE(LEFT(Respostas_Brutas!I140,IFERROR(FIND(" ",Respostas_Brutas!I140)-1,LEN(Respostas_Brutas!I140)))),0)+IFERROR(VALUE(LEFT(Respostas_Brutas!O140,IFERROR(FIND(" ",Respostas_Brutas!O140)-1,LEN(Respostas_Brutas!O140)))),0))/20))</f>
        <v/>
      </c>
      <c r="D140" s="4" t="str">
        <f>IF(Respostas_Brutas!B140="","",IF(Respostas_Brutas!D140="","",MIN(1,MAX(0,(YEAR(TODAY())-N(Respostas_Brutas!D140))/15))))</f>
        <v/>
      </c>
      <c r="E140" s="4" t="str">
        <f>IF(Respostas_Brutas!B140="","",IF(ISNUMBER(SEARCH("Sim",Respostas_Brutas!S140)),1,0))</f>
        <v/>
      </c>
      <c r="F140" s="4" t="str">
        <f>IF(Respostas_Brutas!B140="","",IFERROR(N(Respostas_Brutas!Y140)/N(Respostas_Brutas!Z140),""))</f>
        <v/>
      </c>
      <c r="G140" s="4" t="str">
        <f>IF(Respostas_Brutas!B140="","",IF(Respostas_Brutas!K140&lt;&gt;"",1,0))</f>
        <v/>
      </c>
      <c r="H140" s="4" t="str">
        <f>IF(Respostas_Brutas!B140="","",IF(ISNUMBER(SEARCH("Não",Respostas_Brutas!AH140)),1,0))</f>
        <v/>
      </c>
      <c r="I140" s="4" t="str">
        <f>IF(Respostas_Brutas!B140="","",IF(ISNUMBER(SEARCH("Sim",Respostas_Brutas!AL140)),1,0))</f>
        <v/>
      </c>
      <c r="J140" s="4" t="str">
        <f>IF(Respostas_Brutas!B140="","",IF(Respostas_Brutas!AN140="","",MIN(1,MAX(0,(N(Respostas_Brutas!AN140)-1)/4))))</f>
        <v/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tr">
        <f>IF(Respostas_Brutas!B141="","",Respostas_Brutas!B141)</f>
        <v/>
      </c>
      <c r="B141" s="4" t="str">
        <f>IF(Respostas_Brutas!B141="","",IFERROR(IF(IFERROR(VALUE(TRIM(SUBSTITUTE(SUBSTITUTE(SUBSTITUTE(TRIM(Respostas_Brutas!AS141),"R$",""),".",""),",","."))),0)=0,"",(IFERROR(VALUE(TRIM(SUBSTITUTE(SUBSTITUTE(SUBSTITUTE(TRIM(Respostas_Brutas!AS141),"R$",""),".",""),",","."))),0)-IFERROR(VALUE(TRIM(SUBSTITUTE(SUBSTITUTE(SUBSTITUTE(TRIM(Respostas_Brutas!T141),"R$",""),".",""),",","."))),0))/IFERROR(VALUE(TRIM(SUBSTITUTE(SUBSTITUTE(SUBSTITUTE(TRIM(Respostas_Brutas!AS141),"R$",""),".",""),",","."))),0)),""))</f>
        <v/>
      </c>
      <c r="C141" s="4" t="str">
        <f>IF(Respostas_Brutas!B141="","",MIN(1,(IFERROR(VALUE(LEFT(Respostas_Brutas!I141,IFERROR(FIND(" ",Respostas_Brutas!I141)-1,LEN(Respostas_Brutas!I141)))),0)+IFERROR(VALUE(LEFT(Respostas_Brutas!O141,IFERROR(FIND(" ",Respostas_Brutas!O141)-1,LEN(Respostas_Brutas!O141)))),0))/20))</f>
        <v/>
      </c>
      <c r="D141" s="4" t="str">
        <f>IF(Respostas_Brutas!B141="","",IF(Respostas_Brutas!D141="","",MIN(1,MAX(0,(YEAR(TODAY())-N(Respostas_Brutas!D141))/15))))</f>
        <v/>
      </c>
      <c r="E141" s="4" t="str">
        <f>IF(Respostas_Brutas!B141="","",IF(ISNUMBER(SEARCH("Sim",Respostas_Brutas!S141)),1,0))</f>
        <v/>
      </c>
      <c r="F141" s="4" t="str">
        <f>IF(Respostas_Brutas!B141="","",IFERROR(N(Respostas_Brutas!Y141)/N(Respostas_Brutas!Z141),""))</f>
        <v/>
      </c>
      <c r="G141" s="4" t="str">
        <f>IF(Respostas_Brutas!B141="","",IF(Respostas_Brutas!K141&lt;&gt;"",1,0))</f>
        <v/>
      </c>
      <c r="H141" s="4" t="str">
        <f>IF(Respostas_Brutas!B141="","",IF(ISNUMBER(SEARCH("Não",Respostas_Brutas!AH141)),1,0))</f>
        <v/>
      </c>
      <c r="I141" s="4" t="str">
        <f>IF(Respostas_Brutas!B141="","",IF(ISNUMBER(SEARCH("Sim",Respostas_Brutas!AL141)),1,0))</f>
        <v/>
      </c>
      <c r="J141" s="4" t="str">
        <f>IF(Respostas_Brutas!B141="","",IF(Respostas_Brutas!AN141="","",MIN(1,MAX(0,(N(Respostas_Brutas!AN141)-1)/4))))</f>
        <v/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tr">
        <f>IF(Respostas_Brutas!B142="","",Respostas_Brutas!B142)</f>
        <v/>
      </c>
      <c r="B142" s="4" t="str">
        <f>IF(Respostas_Brutas!B142="","",IFERROR(IF(IFERROR(VALUE(TRIM(SUBSTITUTE(SUBSTITUTE(SUBSTITUTE(TRIM(Respostas_Brutas!AS142),"R$",""),".",""),",","."))),0)=0,"",(IFERROR(VALUE(TRIM(SUBSTITUTE(SUBSTITUTE(SUBSTITUTE(TRIM(Respostas_Brutas!AS142),"R$",""),".",""),",","."))),0)-IFERROR(VALUE(TRIM(SUBSTITUTE(SUBSTITUTE(SUBSTITUTE(TRIM(Respostas_Brutas!T142),"R$",""),".",""),",","."))),0))/IFERROR(VALUE(TRIM(SUBSTITUTE(SUBSTITUTE(SUBSTITUTE(TRIM(Respostas_Brutas!AS142),"R$",""),".",""),",","."))),0)),""))</f>
        <v/>
      </c>
      <c r="C142" s="4" t="str">
        <f>IF(Respostas_Brutas!B142="","",MIN(1,(IFERROR(VALUE(LEFT(Respostas_Brutas!I142,IFERROR(FIND(" ",Respostas_Brutas!I142)-1,LEN(Respostas_Brutas!I142)))),0)+IFERROR(VALUE(LEFT(Respostas_Brutas!O142,IFERROR(FIND(" ",Respostas_Brutas!O142)-1,LEN(Respostas_Brutas!O142)))),0))/20))</f>
        <v/>
      </c>
      <c r="D142" s="4" t="str">
        <f>IF(Respostas_Brutas!B142="","",IF(Respostas_Brutas!D142="","",MIN(1,MAX(0,(YEAR(TODAY())-N(Respostas_Brutas!D142))/15))))</f>
        <v/>
      </c>
      <c r="E142" s="4" t="str">
        <f>IF(Respostas_Brutas!B142="","",IF(ISNUMBER(SEARCH("Sim",Respostas_Brutas!S142)),1,0))</f>
        <v/>
      </c>
      <c r="F142" s="4" t="str">
        <f>IF(Respostas_Brutas!B142="","",IFERROR(N(Respostas_Brutas!Y142)/N(Respostas_Brutas!Z142),""))</f>
        <v/>
      </c>
      <c r="G142" s="4" t="str">
        <f>IF(Respostas_Brutas!B142="","",IF(Respostas_Brutas!K142&lt;&gt;"",1,0))</f>
        <v/>
      </c>
      <c r="H142" s="4" t="str">
        <f>IF(Respostas_Brutas!B142="","",IF(ISNUMBER(SEARCH("Não",Respostas_Brutas!AH142)),1,0))</f>
        <v/>
      </c>
      <c r="I142" s="4" t="str">
        <f>IF(Respostas_Brutas!B142="","",IF(ISNUMBER(SEARCH("Sim",Respostas_Brutas!AL142)),1,0))</f>
        <v/>
      </c>
      <c r="J142" s="4" t="str">
        <f>IF(Respostas_Brutas!B142="","",IF(Respostas_Brutas!AN142="","",MIN(1,MAX(0,(N(Respostas_Brutas!AN142)-1)/4))))</f>
        <v/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tr">
        <f>IF(Respostas_Brutas!B143="","",Respostas_Brutas!B143)</f>
        <v/>
      </c>
      <c r="B143" s="4" t="str">
        <f>IF(Respostas_Brutas!B143="","",IFERROR(IF(IFERROR(VALUE(TRIM(SUBSTITUTE(SUBSTITUTE(SUBSTITUTE(TRIM(Respostas_Brutas!AS143),"R$",""),".",""),",","."))),0)=0,"",(IFERROR(VALUE(TRIM(SUBSTITUTE(SUBSTITUTE(SUBSTITUTE(TRIM(Respostas_Brutas!AS143),"R$",""),".",""),",","."))),0)-IFERROR(VALUE(TRIM(SUBSTITUTE(SUBSTITUTE(SUBSTITUTE(TRIM(Respostas_Brutas!T143),"R$",""),".",""),",","."))),0))/IFERROR(VALUE(TRIM(SUBSTITUTE(SUBSTITUTE(SUBSTITUTE(TRIM(Respostas_Brutas!AS143),"R$",""),".",""),",","."))),0)),""))</f>
        <v/>
      </c>
      <c r="C143" s="4" t="str">
        <f>IF(Respostas_Brutas!B143="","",MIN(1,(IFERROR(VALUE(LEFT(Respostas_Brutas!I143,IFERROR(FIND(" ",Respostas_Brutas!I143)-1,LEN(Respostas_Brutas!I143)))),0)+IFERROR(VALUE(LEFT(Respostas_Brutas!O143,IFERROR(FIND(" ",Respostas_Brutas!O143)-1,LEN(Respostas_Brutas!O143)))),0))/20))</f>
        <v/>
      </c>
      <c r="D143" s="4" t="str">
        <f>IF(Respostas_Brutas!B143="","",IF(Respostas_Brutas!D143="","",MIN(1,MAX(0,(YEAR(TODAY())-N(Respostas_Brutas!D143))/15))))</f>
        <v/>
      </c>
      <c r="E143" s="4" t="str">
        <f>IF(Respostas_Brutas!B143="","",IF(ISNUMBER(SEARCH("Sim",Respostas_Brutas!S143)),1,0))</f>
        <v/>
      </c>
      <c r="F143" s="4" t="str">
        <f>IF(Respostas_Brutas!B143="","",IFERROR(N(Respostas_Brutas!Y143)/N(Respostas_Brutas!Z143),""))</f>
        <v/>
      </c>
      <c r="G143" s="4" t="str">
        <f>IF(Respostas_Brutas!B143="","",IF(Respostas_Brutas!K143&lt;&gt;"",1,0))</f>
        <v/>
      </c>
      <c r="H143" s="4" t="str">
        <f>IF(Respostas_Brutas!B143="","",IF(ISNUMBER(SEARCH("Não",Respostas_Brutas!AH143)),1,0))</f>
        <v/>
      </c>
      <c r="I143" s="4" t="str">
        <f>IF(Respostas_Brutas!B143="","",IF(ISNUMBER(SEARCH("Sim",Respostas_Brutas!AL143)),1,0))</f>
        <v/>
      </c>
      <c r="J143" s="4" t="str">
        <f>IF(Respostas_Brutas!B143="","",IF(Respostas_Brutas!AN143="","",MIN(1,MAX(0,(N(Respostas_Brutas!AN143)-1)/4))))</f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tr">
        <f>IF(Respostas_Brutas!B144="","",Respostas_Brutas!B144)</f>
        <v/>
      </c>
      <c r="B144" s="4" t="str">
        <f>IF(Respostas_Brutas!B144="","",IFERROR(IF(IFERROR(VALUE(TRIM(SUBSTITUTE(SUBSTITUTE(SUBSTITUTE(TRIM(Respostas_Brutas!AS144),"R$",""),".",""),",","."))),0)=0,"",(IFERROR(VALUE(TRIM(SUBSTITUTE(SUBSTITUTE(SUBSTITUTE(TRIM(Respostas_Brutas!AS144),"R$",""),".",""),",","."))),0)-IFERROR(VALUE(TRIM(SUBSTITUTE(SUBSTITUTE(SUBSTITUTE(TRIM(Respostas_Brutas!T144),"R$",""),".",""),",","."))),0))/IFERROR(VALUE(TRIM(SUBSTITUTE(SUBSTITUTE(SUBSTITUTE(TRIM(Respostas_Brutas!AS144),"R$",""),".",""),",","."))),0)),""))</f>
        <v/>
      </c>
      <c r="C144" s="4" t="str">
        <f>IF(Respostas_Brutas!B144="","",MIN(1,(IFERROR(VALUE(LEFT(Respostas_Brutas!I144,IFERROR(FIND(" ",Respostas_Brutas!I144)-1,LEN(Respostas_Brutas!I144)))),0)+IFERROR(VALUE(LEFT(Respostas_Brutas!O144,IFERROR(FIND(" ",Respostas_Brutas!O144)-1,LEN(Respostas_Brutas!O144)))),0))/20))</f>
        <v/>
      </c>
      <c r="D144" s="4" t="str">
        <f>IF(Respostas_Brutas!B144="","",IF(Respostas_Brutas!D144="","",MIN(1,MAX(0,(YEAR(TODAY())-N(Respostas_Brutas!D144))/15))))</f>
        <v/>
      </c>
      <c r="E144" s="4" t="str">
        <f>IF(Respostas_Brutas!B144="","",IF(ISNUMBER(SEARCH("Sim",Respostas_Brutas!S144)),1,0))</f>
        <v/>
      </c>
      <c r="F144" s="4" t="str">
        <f>IF(Respostas_Brutas!B144="","",IFERROR(N(Respostas_Brutas!Y144)/N(Respostas_Brutas!Z144),""))</f>
        <v/>
      </c>
      <c r="G144" s="4" t="str">
        <f>IF(Respostas_Brutas!B144="","",IF(Respostas_Brutas!K144&lt;&gt;"",1,0))</f>
        <v/>
      </c>
      <c r="H144" s="4" t="str">
        <f>IF(Respostas_Brutas!B144="","",IF(ISNUMBER(SEARCH("Não",Respostas_Brutas!AH144)),1,0))</f>
        <v/>
      </c>
      <c r="I144" s="4" t="str">
        <f>IF(Respostas_Brutas!B144="","",IF(ISNUMBER(SEARCH("Sim",Respostas_Brutas!AL144)),1,0))</f>
        <v/>
      </c>
      <c r="J144" s="4" t="str">
        <f>IF(Respostas_Brutas!B144="","",IF(Respostas_Brutas!AN144="","",MIN(1,MAX(0,(N(Respostas_Brutas!AN144)-1)/4))))</f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tr">
        <f>IF(Respostas_Brutas!B145="","",Respostas_Brutas!B145)</f>
        <v/>
      </c>
      <c r="B145" s="4" t="str">
        <f>IF(Respostas_Brutas!B145="","",IFERROR(IF(IFERROR(VALUE(TRIM(SUBSTITUTE(SUBSTITUTE(SUBSTITUTE(TRIM(Respostas_Brutas!AS145),"R$",""),".",""),",","."))),0)=0,"",(IFERROR(VALUE(TRIM(SUBSTITUTE(SUBSTITUTE(SUBSTITUTE(TRIM(Respostas_Brutas!AS145),"R$",""),".",""),",","."))),0)-IFERROR(VALUE(TRIM(SUBSTITUTE(SUBSTITUTE(SUBSTITUTE(TRIM(Respostas_Brutas!T145),"R$",""),".",""),",","."))),0))/IFERROR(VALUE(TRIM(SUBSTITUTE(SUBSTITUTE(SUBSTITUTE(TRIM(Respostas_Brutas!AS145),"R$",""),".",""),",","."))),0)),""))</f>
        <v/>
      </c>
      <c r="C145" s="4" t="str">
        <f>IF(Respostas_Brutas!B145="","",MIN(1,(IFERROR(VALUE(LEFT(Respostas_Brutas!I145,IFERROR(FIND(" ",Respostas_Brutas!I145)-1,LEN(Respostas_Brutas!I145)))),0)+IFERROR(VALUE(LEFT(Respostas_Brutas!O145,IFERROR(FIND(" ",Respostas_Brutas!O145)-1,LEN(Respostas_Brutas!O145)))),0))/20))</f>
        <v/>
      </c>
      <c r="D145" s="4" t="str">
        <f>IF(Respostas_Brutas!B145="","",IF(Respostas_Brutas!D145="","",MIN(1,MAX(0,(YEAR(TODAY())-N(Respostas_Brutas!D145))/15))))</f>
        <v/>
      </c>
      <c r="E145" s="4" t="str">
        <f>IF(Respostas_Brutas!B145="","",IF(ISNUMBER(SEARCH("Sim",Respostas_Brutas!S145)),1,0))</f>
        <v/>
      </c>
      <c r="F145" s="4" t="str">
        <f>IF(Respostas_Brutas!B145="","",IFERROR(N(Respostas_Brutas!Y145)/N(Respostas_Brutas!Z145),""))</f>
        <v/>
      </c>
      <c r="G145" s="4" t="str">
        <f>IF(Respostas_Brutas!B145="","",IF(Respostas_Brutas!K145&lt;&gt;"",1,0))</f>
        <v/>
      </c>
      <c r="H145" s="4" t="str">
        <f>IF(Respostas_Brutas!B145="","",IF(ISNUMBER(SEARCH("Não",Respostas_Brutas!AH145)),1,0))</f>
        <v/>
      </c>
      <c r="I145" s="4" t="str">
        <f>IF(Respostas_Brutas!B145="","",IF(ISNUMBER(SEARCH("Sim",Respostas_Brutas!AL145)),1,0))</f>
        <v/>
      </c>
      <c r="J145" s="4" t="str">
        <f>IF(Respostas_Brutas!B145="","",IF(Respostas_Brutas!AN145="","",MIN(1,MAX(0,(N(Respostas_Brutas!AN145)-1)/4))))</f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tr">
        <f>IF(Respostas_Brutas!B146="","",Respostas_Brutas!B146)</f>
        <v/>
      </c>
      <c r="B146" s="4" t="str">
        <f>IF(Respostas_Brutas!B146="","",IFERROR(IF(IFERROR(VALUE(TRIM(SUBSTITUTE(SUBSTITUTE(SUBSTITUTE(TRIM(Respostas_Brutas!AS146),"R$",""),".",""),",","."))),0)=0,"",(IFERROR(VALUE(TRIM(SUBSTITUTE(SUBSTITUTE(SUBSTITUTE(TRIM(Respostas_Brutas!AS146),"R$",""),".",""),",","."))),0)-IFERROR(VALUE(TRIM(SUBSTITUTE(SUBSTITUTE(SUBSTITUTE(TRIM(Respostas_Brutas!T146),"R$",""),".",""),",","."))),0))/IFERROR(VALUE(TRIM(SUBSTITUTE(SUBSTITUTE(SUBSTITUTE(TRIM(Respostas_Brutas!AS146),"R$",""),".",""),",","."))),0)),""))</f>
        <v/>
      </c>
      <c r="C146" s="4" t="str">
        <f>IF(Respostas_Brutas!B146="","",MIN(1,(IFERROR(VALUE(LEFT(Respostas_Brutas!I146,IFERROR(FIND(" ",Respostas_Brutas!I146)-1,LEN(Respostas_Brutas!I146)))),0)+IFERROR(VALUE(LEFT(Respostas_Brutas!O146,IFERROR(FIND(" ",Respostas_Brutas!O146)-1,LEN(Respostas_Brutas!O146)))),0))/20))</f>
        <v/>
      </c>
      <c r="D146" s="4" t="str">
        <f>IF(Respostas_Brutas!B146="","",IF(Respostas_Brutas!D146="","",MIN(1,MAX(0,(YEAR(TODAY())-N(Respostas_Brutas!D146))/15))))</f>
        <v/>
      </c>
      <c r="E146" s="4" t="str">
        <f>IF(Respostas_Brutas!B146="","",IF(ISNUMBER(SEARCH("Sim",Respostas_Brutas!S146)),1,0))</f>
        <v/>
      </c>
      <c r="F146" s="4" t="str">
        <f>IF(Respostas_Brutas!B146="","",IFERROR(N(Respostas_Brutas!Y146)/N(Respostas_Brutas!Z146),""))</f>
        <v/>
      </c>
      <c r="G146" s="4" t="str">
        <f>IF(Respostas_Brutas!B146="","",IF(Respostas_Brutas!K146&lt;&gt;"",1,0))</f>
        <v/>
      </c>
      <c r="H146" s="4" t="str">
        <f>IF(Respostas_Brutas!B146="","",IF(ISNUMBER(SEARCH("Não",Respostas_Brutas!AH146)),1,0))</f>
        <v/>
      </c>
      <c r="I146" s="4" t="str">
        <f>IF(Respostas_Brutas!B146="","",IF(ISNUMBER(SEARCH("Sim",Respostas_Brutas!AL146)),1,0))</f>
        <v/>
      </c>
      <c r="J146" s="4" t="str">
        <f>IF(Respostas_Brutas!B146="","",IF(Respostas_Brutas!AN146="","",MIN(1,MAX(0,(N(Respostas_Brutas!AN146)-1)/4))))</f>
        <v/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tr">
        <f>IF(Respostas_Brutas!B147="","",Respostas_Brutas!B147)</f>
        <v/>
      </c>
      <c r="B147" s="4" t="str">
        <f>IF(Respostas_Brutas!B147="","",IFERROR(IF(IFERROR(VALUE(TRIM(SUBSTITUTE(SUBSTITUTE(SUBSTITUTE(TRIM(Respostas_Brutas!AS147),"R$",""),".",""),",","."))),0)=0,"",(IFERROR(VALUE(TRIM(SUBSTITUTE(SUBSTITUTE(SUBSTITUTE(TRIM(Respostas_Brutas!AS147),"R$",""),".",""),",","."))),0)-IFERROR(VALUE(TRIM(SUBSTITUTE(SUBSTITUTE(SUBSTITUTE(TRIM(Respostas_Brutas!T147),"R$",""),".",""),",","."))),0))/IFERROR(VALUE(TRIM(SUBSTITUTE(SUBSTITUTE(SUBSTITUTE(TRIM(Respostas_Brutas!AS147),"R$",""),".",""),",","."))),0)),""))</f>
        <v/>
      </c>
      <c r="C147" s="4" t="str">
        <f>IF(Respostas_Brutas!B147="","",MIN(1,(IFERROR(VALUE(LEFT(Respostas_Brutas!I147,IFERROR(FIND(" ",Respostas_Brutas!I147)-1,LEN(Respostas_Brutas!I147)))),0)+IFERROR(VALUE(LEFT(Respostas_Brutas!O147,IFERROR(FIND(" ",Respostas_Brutas!O147)-1,LEN(Respostas_Brutas!O147)))),0))/20))</f>
        <v/>
      </c>
      <c r="D147" s="4" t="str">
        <f>IF(Respostas_Brutas!B147="","",IF(Respostas_Brutas!D147="","",MIN(1,MAX(0,(YEAR(TODAY())-N(Respostas_Brutas!D147))/15))))</f>
        <v/>
      </c>
      <c r="E147" s="4" t="str">
        <f>IF(Respostas_Brutas!B147="","",IF(ISNUMBER(SEARCH("Sim",Respostas_Brutas!S147)),1,0))</f>
        <v/>
      </c>
      <c r="F147" s="4" t="str">
        <f>IF(Respostas_Brutas!B147="","",IFERROR(N(Respostas_Brutas!Y147)/N(Respostas_Brutas!Z147),""))</f>
        <v/>
      </c>
      <c r="G147" s="4" t="str">
        <f>IF(Respostas_Brutas!B147="","",IF(Respostas_Brutas!K147&lt;&gt;"",1,0))</f>
        <v/>
      </c>
      <c r="H147" s="4" t="str">
        <f>IF(Respostas_Brutas!B147="","",IF(ISNUMBER(SEARCH("Não",Respostas_Brutas!AH147)),1,0))</f>
        <v/>
      </c>
      <c r="I147" s="4" t="str">
        <f>IF(Respostas_Brutas!B147="","",IF(ISNUMBER(SEARCH("Sim",Respostas_Brutas!AL147)),1,0))</f>
        <v/>
      </c>
      <c r="J147" s="4" t="str">
        <f>IF(Respostas_Brutas!B147="","",IF(Respostas_Brutas!AN147="","",MIN(1,MAX(0,(N(Respostas_Brutas!AN147)-1)/4))))</f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tr">
        <f>IF(Respostas_Brutas!B148="","",Respostas_Brutas!B148)</f>
        <v/>
      </c>
      <c r="B148" s="4" t="str">
        <f>IF(Respostas_Brutas!B148="","",IFERROR(IF(IFERROR(VALUE(TRIM(SUBSTITUTE(SUBSTITUTE(SUBSTITUTE(TRIM(Respostas_Brutas!AS148),"R$",""),".",""),",","."))),0)=0,"",(IFERROR(VALUE(TRIM(SUBSTITUTE(SUBSTITUTE(SUBSTITUTE(TRIM(Respostas_Brutas!AS148),"R$",""),".",""),",","."))),0)-IFERROR(VALUE(TRIM(SUBSTITUTE(SUBSTITUTE(SUBSTITUTE(TRIM(Respostas_Brutas!T148),"R$",""),".",""),",","."))),0))/IFERROR(VALUE(TRIM(SUBSTITUTE(SUBSTITUTE(SUBSTITUTE(TRIM(Respostas_Brutas!AS148),"R$",""),".",""),",","."))),0)),""))</f>
        <v/>
      </c>
      <c r="C148" s="4" t="str">
        <f>IF(Respostas_Brutas!B148="","",MIN(1,(IFERROR(VALUE(LEFT(Respostas_Brutas!I148,IFERROR(FIND(" ",Respostas_Brutas!I148)-1,LEN(Respostas_Brutas!I148)))),0)+IFERROR(VALUE(LEFT(Respostas_Brutas!O148,IFERROR(FIND(" ",Respostas_Brutas!O148)-1,LEN(Respostas_Brutas!O148)))),0))/20))</f>
        <v/>
      </c>
      <c r="D148" s="4" t="str">
        <f>IF(Respostas_Brutas!B148="","",IF(Respostas_Brutas!D148="","",MIN(1,MAX(0,(YEAR(TODAY())-N(Respostas_Brutas!D148))/15))))</f>
        <v/>
      </c>
      <c r="E148" s="4" t="str">
        <f>IF(Respostas_Brutas!B148="","",IF(ISNUMBER(SEARCH("Sim",Respostas_Brutas!S148)),1,0))</f>
        <v/>
      </c>
      <c r="F148" s="4" t="str">
        <f>IF(Respostas_Brutas!B148="","",IFERROR(N(Respostas_Brutas!Y148)/N(Respostas_Brutas!Z148),""))</f>
        <v/>
      </c>
      <c r="G148" s="4" t="str">
        <f>IF(Respostas_Brutas!B148="","",IF(Respostas_Brutas!K148&lt;&gt;"",1,0))</f>
        <v/>
      </c>
      <c r="H148" s="4" t="str">
        <f>IF(Respostas_Brutas!B148="","",IF(ISNUMBER(SEARCH("Não",Respostas_Brutas!AH148)),1,0))</f>
        <v/>
      </c>
      <c r="I148" s="4" t="str">
        <f>IF(Respostas_Brutas!B148="","",IF(ISNUMBER(SEARCH("Sim",Respostas_Brutas!AL148)),1,0))</f>
        <v/>
      </c>
      <c r="J148" s="4" t="str">
        <f>IF(Respostas_Brutas!B148="","",IF(Respostas_Brutas!AN148="","",MIN(1,MAX(0,(N(Respostas_Brutas!AN148)-1)/4))))</f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tr">
        <f>IF(Respostas_Brutas!B149="","",Respostas_Brutas!B149)</f>
        <v/>
      </c>
      <c r="B149" s="4" t="str">
        <f>IF(Respostas_Brutas!B149="","",IFERROR(IF(IFERROR(VALUE(TRIM(SUBSTITUTE(SUBSTITUTE(SUBSTITUTE(TRIM(Respostas_Brutas!AS149),"R$",""),".",""),",","."))),0)=0,"",(IFERROR(VALUE(TRIM(SUBSTITUTE(SUBSTITUTE(SUBSTITUTE(TRIM(Respostas_Brutas!AS149),"R$",""),".",""),",","."))),0)-IFERROR(VALUE(TRIM(SUBSTITUTE(SUBSTITUTE(SUBSTITUTE(TRIM(Respostas_Brutas!T149),"R$",""),".",""),",","."))),0))/IFERROR(VALUE(TRIM(SUBSTITUTE(SUBSTITUTE(SUBSTITUTE(TRIM(Respostas_Brutas!AS149),"R$",""),".",""),",","."))),0)),""))</f>
        <v/>
      </c>
      <c r="C149" s="4" t="str">
        <f>IF(Respostas_Brutas!B149="","",MIN(1,(IFERROR(VALUE(LEFT(Respostas_Brutas!I149,IFERROR(FIND(" ",Respostas_Brutas!I149)-1,LEN(Respostas_Brutas!I149)))),0)+IFERROR(VALUE(LEFT(Respostas_Brutas!O149,IFERROR(FIND(" ",Respostas_Brutas!O149)-1,LEN(Respostas_Brutas!O149)))),0))/20))</f>
        <v/>
      </c>
      <c r="D149" s="4" t="str">
        <f>IF(Respostas_Brutas!B149="","",IF(Respostas_Brutas!D149="","",MIN(1,MAX(0,(YEAR(TODAY())-N(Respostas_Brutas!D149))/15))))</f>
        <v/>
      </c>
      <c r="E149" s="4" t="str">
        <f>IF(Respostas_Brutas!B149="","",IF(ISNUMBER(SEARCH("Sim",Respostas_Brutas!S149)),1,0))</f>
        <v/>
      </c>
      <c r="F149" s="4" t="str">
        <f>IF(Respostas_Brutas!B149="","",IFERROR(N(Respostas_Brutas!Y149)/N(Respostas_Brutas!Z149),""))</f>
        <v/>
      </c>
      <c r="G149" s="4" t="str">
        <f>IF(Respostas_Brutas!B149="","",IF(Respostas_Brutas!K149&lt;&gt;"",1,0))</f>
        <v/>
      </c>
      <c r="H149" s="4" t="str">
        <f>IF(Respostas_Brutas!B149="","",IF(ISNUMBER(SEARCH("Não",Respostas_Brutas!AH149)),1,0))</f>
        <v/>
      </c>
      <c r="I149" s="4" t="str">
        <f>IF(Respostas_Brutas!B149="","",IF(ISNUMBER(SEARCH("Sim",Respostas_Brutas!AL149)),1,0))</f>
        <v/>
      </c>
      <c r="J149" s="4" t="str">
        <f>IF(Respostas_Brutas!B149="","",IF(Respostas_Brutas!AN149="","",MIN(1,MAX(0,(N(Respostas_Brutas!AN149)-1)/4))))</f>
        <v/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tr">
        <f>IF(Respostas_Brutas!B150="","",Respostas_Brutas!B150)</f>
        <v/>
      </c>
      <c r="B150" s="4" t="str">
        <f>IF(Respostas_Brutas!B150="","",IFERROR(IF(IFERROR(VALUE(TRIM(SUBSTITUTE(SUBSTITUTE(SUBSTITUTE(TRIM(Respostas_Brutas!AS150),"R$",""),".",""),",","."))),0)=0,"",(IFERROR(VALUE(TRIM(SUBSTITUTE(SUBSTITUTE(SUBSTITUTE(TRIM(Respostas_Brutas!AS150),"R$",""),".",""),",","."))),0)-IFERROR(VALUE(TRIM(SUBSTITUTE(SUBSTITUTE(SUBSTITUTE(TRIM(Respostas_Brutas!T150),"R$",""),".",""),",","."))),0))/IFERROR(VALUE(TRIM(SUBSTITUTE(SUBSTITUTE(SUBSTITUTE(TRIM(Respostas_Brutas!AS150),"R$",""),".",""),",","."))),0)),""))</f>
        <v/>
      </c>
      <c r="C150" s="4" t="str">
        <f>IF(Respostas_Brutas!B150="","",MIN(1,(IFERROR(VALUE(LEFT(Respostas_Brutas!I150,IFERROR(FIND(" ",Respostas_Brutas!I150)-1,LEN(Respostas_Brutas!I150)))),0)+IFERROR(VALUE(LEFT(Respostas_Brutas!O150,IFERROR(FIND(" ",Respostas_Brutas!O150)-1,LEN(Respostas_Brutas!O150)))),0))/20))</f>
        <v/>
      </c>
      <c r="D150" s="4" t="str">
        <f>IF(Respostas_Brutas!B150="","",IF(Respostas_Brutas!D150="","",MIN(1,MAX(0,(YEAR(TODAY())-N(Respostas_Brutas!D150))/15))))</f>
        <v/>
      </c>
      <c r="E150" s="4" t="str">
        <f>IF(Respostas_Brutas!B150="","",IF(ISNUMBER(SEARCH("Sim",Respostas_Brutas!S150)),1,0))</f>
        <v/>
      </c>
      <c r="F150" s="4" t="str">
        <f>IF(Respostas_Brutas!B150="","",IFERROR(N(Respostas_Brutas!Y150)/N(Respostas_Brutas!Z150),""))</f>
        <v/>
      </c>
      <c r="G150" s="4" t="str">
        <f>IF(Respostas_Brutas!B150="","",IF(Respostas_Brutas!K150&lt;&gt;"",1,0))</f>
        <v/>
      </c>
      <c r="H150" s="4" t="str">
        <f>IF(Respostas_Brutas!B150="","",IF(ISNUMBER(SEARCH("Não",Respostas_Brutas!AH150)),1,0))</f>
        <v/>
      </c>
      <c r="I150" s="4" t="str">
        <f>IF(Respostas_Brutas!B150="","",IF(ISNUMBER(SEARCH("Sim",Respostas_Brutas!AL150)),1,0))</f>
        <v/>
      </c>
      <c r="J150" s="4" t="str">
        <f>IF(Respostas_Brutas!B150="","",IF(Respostas_Brutas!AN150="","",MIN(1,MAX(0,(N(Respostas_Brutas!AN150)-1)/4))))</f>
        <v/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tr">
        <f>IF(Respostas_Brutas!B151="","",Respostas_Brutas!B151)</f>
        <v/>
      </c>
      <c r="B151" s="4" t="str">
        <f>IF(Respostas_Brutas!B151="","",IFERROR(IF(IFERROR(VALUE(TRIM(SUBSTITUTE(SUBSTITUTE(SUBSTITUTE(TRIM(Respostas_Brutas!AS151),"R$",""),".",""),",","."))),0)=0,"",(IFERROR(VALUE(TRIM(SUBSTITUTE(SUBSTITUTE(SUBSTITUTE(TRIM(Respostas_Brutas!AS151),"R$",""),".",""),",","."))),0)-IFERROR(VALUE(TRIM(SUBSTITUTE(SUBSTITUTE(SUBSTITUTE(TRIM(Respostas_Brutas!T151),"R$",""),".",""),",","."))),0))/IFERROR(VALUE(TRIM(SUBSTITUTE(SUBSTITUTE(SUBSTITUTE(TRIM(Respostas_Brutas!AS151),"R$",""),".",""),",","."))),0)),""))</f>
        <v/>
      </c>
      <c r="C151" s="4" t="str">
        <f>IF(Respostas_Brutas!B151="","",MIN(1,(IFERROR(VALUE(LEFT(Respostas_Brutas!I151,IFERROR(FIND(" ",Respostas_Brutas!I151)-1,LEN(Respostas_Brutas!I151)))),0)+IFERROR(VALUE(LEFT(Respostas_Brutas!O151,IFERROR(FIND(" ",Respostas_Brutas!O151)-1,LEN(Respostas_Brutas!O151)))),0))/20))</f>
        <v/>
      </c>
      <c r="D151" s="4" t="str">
        <f>IF(Respostas_Brutas!B151="","",IF(Respostas_Brutas!D151="","",MIN(1,MAX(0,(YEAR(TODAY())-N(Respostas_Brutas!D151))/15))))</f>
        <v/>
      </c>
      <c r="E151" s="4" t="str">
        <f>IF(Respostas_Brutas!B151="","",IF(ISNUMBER(SEARCH("Sim",Respostas_Brutas!S151)),1,0))</f>
        <v/>
      </c>
      <c r="F151" s="4" t="str">
        <f>IF(Respostas_Brutas!B151="","",IFERROR(N(Respostas_Brutas!Y151)/N(Respostas_Brutas!Z151),""))</f>
        <v/>
      </c>
      <c r="G151" s="4" t="str">
        <f>IF(Respostas_Brutas!B151="","",IF(Respostas_Brutas!K151&lt;&gt;"",1,0))</f>
        <v/>
      </c>
      <c r="H151" s="4" t="str">
        <f>IF(Respostas_Brutas!B151="","",IF(ISNUMBER(SEARCH("Não",Respostas_Brutas!AH151)),1,0))</f>
        <v/>
      </c>
      <c r="I151" s="4" t="str">
        <f>IF(Respostas_Brutas!B151="","",IF(ISNUMBER(SEARCH("Sim",Respostas_Brutas!AL151)),1,0))</f>
        <v/>
      </c>
      <c r="J151" s="4" t="str">
        <f>IF(Respostas_Brutas!B151="","",IF(Respostas_Brutas!AN151="","",MIN(1,MAX(0,(N(Respostas_Brutas!AN151)-1)/4))))</f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tr">
        <f>IF(Respostas_Brutas!B152="","",Respostas_Brutas!B152)</f>
        <v/>
      </c>
      <c r="B152" s="4" t="str">
        <f>IF(Respostas_Brutas!B152="","",IFERROR(IF(IFERROR(VALUE(TRIM(SUBSTITUTE(SUBSTITUTE(SUBSTITUTE(TRIM(Respostas_Brutas!AS152),"R$",""),".",""),",","."))),0)=0,"",(IFERROR(VALUE(TRIM(SUBSTITUTE(SUBSTITUTE(SUBSTITUTE(TRIM(Respostas_Brutas!AS152),"R$",""),".",""),",","."))),0)-IFERROR(VALUE(TRIM(SUBSTITUTE(SUBSTITUTE(SUBSTITUTE(TRIM(Respostas_Brutas!T152),"R$",""),".",""),",","."))),0))/IFERROR(VALUE(TRIM(SUBSTITUTE(SUBSTITUTE(SUBSTITUTE(TRIM(Respostas_Brutas!AS152),"R$",""),".",""),",","."))),0)),""))</f>
        <v/>
      </c>
      <c r="C152" s="4" t="str">
        <f>IF(Respostas_Brutas!B152="","",MIN(1,(IFERROR(VALUE(LEFT(Respostas_Brutas!I152,IFERROR(FIND(" ",Respostas_Brutas!I152)-1,LEN(Respostas_Brutas!I152)))),0)+IFERROR(VALUE(LEFT(Respostas_Brutas!O152,IFERROR(FIND(" ",Respostas_Brutas!O152)-1,LEN(Respostas_Brutas!O152)))),0))/20))</f>
        <v/>
      </c>
      <c r="D152" s="4" t="str">
        <f>IF(Respostas_Brutas!B152="","",IF(Respostas_Brutas!D152="","",MIN(1,MAX(0,(YEAR(TODAY())-N(Respostas_Brutas!D152))/15))))</f>
        <v/>
      </c>
      <c r="E152" s="4" t="str">
        <f>IF(Respostas_Brutas!B152="","",IF(ISNUMBER(SEARCH("Sim",Respostas_Brutas!S152)),1,0))</f>
        <v/>
      </c>
      <c r="F152" s="4" t="str">
        <f>IF(Respostas_Brutas!B152="","",IFERROR(N(Respostas_Brutas!Y152)/N(Respostas_Brutas!Z152),""))</f>
        <v/>
      </c>
      <c r="G152" s="4" t="str">
        <f>IF(Respostas_Brutas!B152="","",IF(Respostas_Brutas!K152&lt;&gt;"",1,0))</f>
        <v/>
      </c>
      <c r="H152" s="4" t="str">
        <f>IF(Respostas_Brutas!B152="","",IF(ISNUMBER(SEARCH("Não",Respostas_Brutas!AH152)),1,0))</f>
        <v/>
      </c>
      <c r="I152" s="4" t="str">
        <f>IF(Respostas_Brutas!B152="","",IF(ISNUMBER(SEARCH("Sim",Respostas_Brutas!AL152)),1,0))</f>
        <v/>
      </c>
      <c r="J152" s="4" t="str">
        <f>IF(Respostas_Brutas!B152="","",IF(Respostas_Brutas!AN152="","",MIN(1,MAX(0,(N(Respostas_Brutas!AN152)-1)/4))))</f>
        <v/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tr">
        <f>IF(Respostas_Brutas!B153="","",Respostas_Brutas!B153)</f>
        <v/>
      </c>
      <c r="B153" s="4" t="str">
        <f>IF(Respostas_Brutas!B153="","",IFERROR(IF(IFERROR(VALUE(TRIM(SUBSTITUTE(SUBSTITUTE(SUBSTITUTE(TRIM(Respostas_Brutas!AS153),"R$",""),".",""),",","."))),0)=0,"",(IFERROR(VALUE(TRIM(SUBSTITUTE(SUBSTITUTE(SUBSTITUTE(TRIM(Respostas_Brutas!AS153),"R$",""),".",""),",","."))),0)-IFERROR(VALUE(TRIM(SUBSTITUTE(SUBSTITUTE(SUBSTITUTE(TRIM(Respostas_Brutas!T153),"R$",""),".",""),",","."))),0))/IFERROR(VALUE(TRIM(SUBSTITUTE(SUBSTITUTE(SUBSTITUTE(TRIM(Respostas_Brutas!AS153),"R$",""),".",""),",","."))),0)),""))</f>
        <v/>
      </c>
      <c r="C153" s="4" t="str">
        <f>IF(Respostas_Brutas!B153="","",MIN(1,(IFERROR(VALUE(LEFT(Respostas_Brutas!I153,IFERROR(FIND(" ",Respostas_Brutas!I153)-1,LEN(Respostas_Brutas!I153)))),0)+IFERROR(VALUE(LEFT(Respostas_Brutas!O153,IFERROR(FIND(" ",Respostas_Brutas!O153)-1,LEN(Respostas_Brutas!O153)))),0))/20))</f>
        <v/>
      </c>
      <c r="D153" s="4" t="str">
        <f>IF(Respostas_Brutas!B153="","",IF(Respostas_Brutas!D153="","",MIN(1,MAX(0,(YEAR(TODAY())-N(Respostas_Brutas!D153))/15))))</f>
        <v/>
      </c>
      <c r="E153" s="4" t="str">
        <f>IF(Respostas_Brutas!B153="","",IF(ISNUMBER(SEARCH("Sim",Respostas_Brutas!S153)),1,0))</f>
        <v/>
      </c>
      <c r="F153" s="4" t="str">
        <f>IF(Respostas_Brutas!B153="","",IFERROR(N(Respostas_Brutas!Y153)/N(Respostas_Brutas!Z153),""))</f>
        <v/>
      </c>
      <c r="G153" s="4" t="str">
        <f>IF(Respostas_Brutas!B153="","",IF(Respostas_Brutas!K153&lt;&gt;"",1,0))</f>
        <v/>
      </c>
      <c r="H153" s="4" t="str">
        <f>IF(Respostas_Brutas!B153="","",IF(ISNUMBER(SEARCH("Não",Respostas_Brutas!AH153)),1,0))</f>
        <v/>
      </c>
      <c r="I153" s="4" t="str">
        <f>IF(Respostas_Brutas!B153="","",IF(ISNUMBER(SEARCH("Sim",Respostas_Brutas!AL153)),1,0))</f>
        <v/>
      </c>
      <c r="J153" s="4" t="str">
        <f>IF(Respostas_Brutas!B153="","",IF(Respostas_Brutas!AN153="","",MIN(1,MAX(0,(N(Respostas_Brutas!AN153)-1)/4))))</f>
        <v/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tr">
        <f>IF(Respostas_Brutas!B154="","",Respostas_Brutas!B154)</f>
        <v/>
      </c>
      <c r="B154" s="4" t="str">
        <f>IF(Respostas_Brutas!B154="","",IFERROR(IF(IFERROR(VALUE(TRIM(SUBSTITUTE(SUBSTITUTE(SUBSTITUTE(TRIM(Respostas_Brutas!AS154),"R$",""),".",""),",","."))),0)=0,"",(IFERROR(VALUE(TRIM(SUBSTITUTE(SUBSTITUTE(SUBSTITUTE(TRIM(Respostas_Brutas!AS154),"R$",""),".",""),",","."))),0)-IFERROR(VALUE(TRIM(SUBSTITUTE(SUBSTITUTE(SUBSTITUTE(TRIM(Respostas_Brutas!T154),"R$",""),".",""),",","."))),0))/IFERROR(VALUE(TRIM(SUBSTITUTE(SUBSTITUTE(SUBSTITUTE(TRIM(Respostas_Brutas!AS154),"R$",""),".",""),",","."))),0)),""))</f>
        <v/>
      </c>
      <c r="C154" s="4" t="str">
        <f>IF(Respostas_Brutas!B154="","",MIN(1,(IFERROR(VALUE(LEFT(Respostas_Brutas!I154,IFERROR(FIND(" ",Respostas_Brutas!I154)-1,LEN(Respostas_Brutas!I154)))),0)+IFERROR(VALUE(LEFT(Respostas_Brutas!O154,IFERROR(FIND(" ",Respostas_Brutas!O154)-1,LEN(Respostas_Brutas!O154)))),0))/20))</f>
        <v/>
      </c>
      <c r="D154" s="4" t="str">
        <f>IF(Respostas_Brutas!B154="","",IF(Respostas_Brutas!D154="","",MIN(1,MAX(0,(YEAR(TODAY())-N(Respostas_Brutas!D154))/15))))</f>
        <v/>
      </c>
      <c r="E154" s="4" t="str">
        <f>IF(Respostas_Brutas!B154="","",IF(ISNUMBER(SEARCH("Sim",Respostas_Brutas!S154)),1,0))</f>
        <v/>
      </c>
      <c r="F154" s="4" t="str">
        <f>IF(Respostas_Brutas!B154="","",IFERROR(N(Respostas_Brutas!Y154)/N(Respostas_Brutas!Z154),""))</f>
        <v/>
      </c>
      <c r="G154" s="4" t="str">
        <f>IF(Respostas_Brutas!B154="","",IF(Respostas_Brutas!K154&lt;&gt;"",1,0))</f>
        <v/>
      </c>
      <c r="H154" s="4" t="str">
        <f>IF(Respostas_Brutas!B154="","",IF(ISNUMBER(SEARCH("Não",Respostas_Brutas!AH154)),1,0))</f>
        <v/>
      </c>
      <c r="I154" s="4" t="str">
        <f>IF(Respostas_Brutas!B154="","",IF(ISNUMBER(SEARCH("Sim",Respostas_Brutas!AL154)),1,0))</f>
        <v/>
      </c>
      <c r="J154" s="4" t="str">
        <f>IF(Respostas_Brutas!B154="","",IF(Respostas_Brutas!AN154="","",MIN(1,MAX(0,(N(Respostas_Brutas!AN154)-1)/4))))</f>
        <v/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tr">
        <f>IF(Respostas_Brutas!B155="","",Respostas_Brutas!B155)</f>
        <v/>
      </c>
      <c r="B155" s="4" t="str">
        <f>IF(Respostas_Brutas!B155="","",IFERROR(IF(IFERROR(VALUE(TRIM(SUBSTITUTE(SUBSTITUTE(SUBSTITUTE(TRIM(Respostas_Brutas!AS155),"R$",""),".",""),",","."))),0)=0,"",(IFERROR(VALUE(TRIM(SUBSTITUTE(SUBSTITUTE(SUBSTITUTE(TRIM(Respostas_Brutas!AS155),"R$",""),".",""),",","."))),0)-IFERROR(VALUE(TRIM(SUBSTITUTE(SUBSTITUTE(SUBSTITUTE(TRIM(Respostas_Brutas!T155),"R$",""),".",""),",","."))),0))/IFERROR(VALUE(TRIM(SUBSTITUTE(SUBSTITUTE(SUBSTITUTE(TRIM(Respostas_Brutas!AS155),"R$",""),".",""),",","."))),0)),""))</f>
        <v/>
      </c>
      <c r="C155" s="4" t="str">
        <f>IF(Respostas_Brutas!B155="","",MIN(1,(IFERROR(VALUE(LEFT(Respostas_Brutas!I155,IFERROR(FIND(" ",Respostas_Brutas!I155)-1,LEN(Respostas_Brutas!I155)))),0)+IFERROR(VALUE(LEFT(Respostas_Brutas!O155,IFERROR(FIND(" ",Respostas_Brutas!O155)-1,LEN(Respostas_Brutas!O155)))),0))/20))</f>
        <v/>
      </c>
      <c r="D155" s="4" t="str">
        <f>IF(Respostas_Brutas!B155="","",IF(Respostas_Brutas!D155="","",MIN(1,MAX(0,(YEAR(TODAY())-N(Respostas_Brutas!D155))/15))))</f>
        <v/>
      </c>
      <c r="E155" s="4" t="str">
        <f>IF(Respostas_Brutas!B155="","",IF(ISNUMBER(SEARCH("Sim",Respostas_Brutas!S155)),1,0))</f>
        <v/>
      </c>
      <c r="F155" s="4" t="str">
        <f>IF(Respostas_Brutas!B155="","",IFERROR(N(Respostas_Brutas!Y155)/N(Respostas_Brutas!Z155),""))</f>
        <v/>
      </c>
      <c r="G155" s="4" t="str">
        <f>IF(Respostas_Brutas!B155="","",IF(Respostas_Brutas!K155&lt;&gt;"",1,0))</f>
        <v/>
      </c>
      <c r="H155" s="4" t="str">
        <f>IF(Respostas_Brutas!B155="","",IF(ISNUMBER(SEARCH("Não",Respostas_Brutas!AH155)),1,0))</f>
        <v/>
      </c>
      <c r="I155" s="4" t="str">
        <f>IF(Respostas_Brutas!B155="","",IF(ISNUMBER(SEARCH("Sim",Respostas_Brutas!AL155)),1,0))</f>
        <v/>
      </c>
      <c r="J155" s="4" t="str">
        <f>IF(Respostas_Brutas!B155="","",IF(Respostas_Brutas!AN155="","",MIN(1,MAX(0,(N(Respostas_Brutas!AN155)-1)/4))))</f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tr">
        <f>IF(Respostas_Brutas!B156="","",Respostas_Brutas!B156)</f>
        <v/>
      </c>
      <c r="B156" s="4" t="str">
        <f>IF(Respostas_Brutas!B156="","",IFERROR(IF(IFERROR(VALUE(TRIM(SUBSTITUTE(SUBSTITUTE(SUBSTITUTE(TRIM(Respostas_Brutas!AS156),"R$",""),".",""),",","."))),0)=0,"",(IFERROR(VALUE(TRIM(SUBSTITUTE(SUBSTITUTE(SUBSTITUTE(TRIM(Respostas_Brutas!AS156),"R$",""),".",""),",","."))),0)-IFERROR(VALUE(TRIM(SUBSTITUTE(SUBSTITUTE(SUBSTITUTE(TRIM(Respostas_Brutas!T156),"R$",""),".",""),",","."))),0))/IFERROR(VALUE(TRIM(SUBSTITUTE(SUBSTITUTE(SUBSTITUTE(TRIM(Respostas_Brutas!AS156),"R$",""),".",""),",","."))),0)),""))</f>
        <v/>
      </c>
      <c r="C156" s="4" t="str">
        <f>IF(Respostas_Brutas!B156="","",MIN(1,(IFERROR(VALUE(LEFT(Respostas_Brutas!I156,IFERROR(FIND(" ",Respostas_Brutas!I156)-1,LEN(Respostas_Brutas!I156)))),0)+IFERROR(VALUE(LEFT(Respostas_Brutas!O156,IFERROR(FIND(" ",Respostas_Brutas!O156)-1,LEN(Respostas_Brutas!O156)))),0))/20))</f>
        <v/>
      </c>
      <c r="D156" s="4" t="str">
        <f>IF(Respostas_Brutas!B156="","",IF(Respostas_Brutas!D156="","",MIN(1,MAX(0,(YEAR(TODAY())-N(Respostas_Brutas!D156))/15))))</f>
        <v/>
      </c>
      <c r="E156" s="4" t="str">
        <f>IF(Respostas_Brutas!B156="","",IF(ISNUMBER(SEARCH("Sim",Respostas_Brutas!S156)),1,0))</f>
        <v/>
      </c>
      <c r="F156" s="4" t="str">
        <f>IF(Respostas_Brutas!B156="","",IFERROR(N(Respostas_Brutas!Y156)/N(Respostas_Brutas!Z156),""))</f>
        <v/>
      </c>
      <c r="G156" s="4" t="str">
        <f>IF(Respostas_Brutas!B156="","",IF(Respostas_Brutas!K156&lt;&gt;"",1,0))</f>
        <v/>
      </c>
      <c r="H156" s="4" t="str">
        <f>IF(Respostas_Brutas!B156="","",IF(ISNUMBER(SEARCH("Não",Respostas_Brutas!AH156)),1,0))</f>
        <v/>
      </c>
      <c r="I156" s="4" t="str">
        <f>IF(Respostas_Brutas!B156="","",IF(ISNUMBER(SEARCH("Sim",Respostas_Brutas!AL156)),1,0))</f>
        <v/>
      </c>
      <c r="J156" s="4" t="str">
        <f>IF(Respostas_Brutas!B156="","",IF(Respostas_Brutas!AN156="","",MIN(1,MAX(0,(N(Respostas_Brutas!AN156)-1)/4))))</f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tr">
        <f>IF(Respostas_Brutas!B157="","",Respostas_Brutas!B157)</f>
        <v/>
      </c>
      <c r="B157" s="4" t="str">
        <f>IF(Respostas_Brutas!B157="","",IFERROR(IF(IFERROR(VALUE(TRIM(SUBSTITUTE(SUBSTITUTE(SUBSTITUTE(TRIM(Respostas_Brutas!AS157),"R$",""),".",""),",","."))),0)=0,"",(IFERROR(VALUE(TRIM(SUBSTITUTE(SUBSTITUTE(SUBSTITUTE(TRIM(Respostas_Brutas!AS157),"R$",""),".",""),",","."))),0)-IFERROR(VALUE(TRIM(SUBSTITUTE(SUBSTITUTE(SUBSTITUTE(TRIM(Respostas_Brutas!T157),"R$",""),".",""),",","."))),0))/IFERROR(VALUE(TRIM(SUBSTITUTE(SUBSTITUTE(SUBSTITUTE(TRIM(Respostas_Brutas!AS157),"R$",""),".",""),",","."))),0)),""))</f>
        <v/>
      </c>
      <c r="C157" s="4" t="str">
        <f>IF(Respostas_Brutas!B157="","",MIN(1,(IFERROR(VALUE(LEFT(Respostas_Brutas!I157,IFERROR(FIND(" ",Respostas_Brutas!I157)-1,LEN(Respostas_Brutas!I157)))),0)+IFERROR(VALUE(LEFT(Respostas_Brutas!O157,IFERROR(FIND(" ",Respostas_Brutas!O157)-1,LEN(Respostas_Brutas!O157)))),0))/20))</f>
        <v/>
      </c>
      <c r="D157" s="4" t="str">
        <f>IF(Respostas_Brutas!B157="","",IF(Respostas_Brutas!D157="","",MIN(1,MAX(0,(YEAR(TODAY())-N(Respostas_Brutas!D157))/15))))</f>
        <v/>
      </c>
      <c r="E157" s="4" t="str">
        <f>IF(Respostas_Brutas!B157="","",IF(ISNUMBER(SEARCH("Sim",Respostas_Brutas!S157)),1,0))</f>
        <v/>
      </c>
      <c r="F157" s="4" t="str">
        <f>IF(Respostas_Brutas!B157="","",IFERROR(N(Respostas_Brutas!Y157)/N(Respostas_Brutas!Z157),""))</f>
        <v/>
      </c>
      <c r="G157" s="4" t="str">
        <f>IF(Respostas_Brutas!B157="","",IF(Respostas_Brutas!K157&lt;&gt;"",1,0))</f>
        <v/>
      </c>
      <c r="H157" s="4" t="str">
        <f>IF(Respostas_Brutas!B157="","",IF(ISNUMBER(SEARCH("Não",Respostas_Brutas!AH157)),1,0))</f>
        <v/>
      </c>
      <c r="I157" s="4" t="str">
        <f>IF(Respostas_Brutas!B157="","",IF(ISNUMBER(SEARCH("Sim",Respostas_Brutas!AL157)),1,0))</f>
        <v/>
      </c>
      <c r="J157" s="4" t="str">
        <f>IF(Respostas_Brutas!B157="","",IF(Respostas_Brutas!AN157="","",MIN(1,MAX(0,(N(Respostas_Brutas!AN157)-1)/4))))</f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tr">
        <f>IF(Respostas_Brutas!B158="","",Respostas_Brutas!B158)</f>
        <v/>
      </c>
      <c r="B158" s="4" t="str">
        <f>IF(Respostas_Brutas!B158="","",IFERROR(IF(IFERROR(VALUE(TRIM(SUBSTITUTE(SUBSTITUTE(SUBSTITUTE(TRIM(Respostas_Brutas!AS158),"R$",""),".",""),",","."))),0)=0,"",(IFERROR(VALUE(TRIM(SUBSTITUTE(SUBSTITUTE(SUBSTITUTE(TRIM(Respostas_Brutas!AS158),"R$",""),".",""),",","."))),0)-IFERROR(VALUE(TRIM(SUBSTITUTE(SUBSTITUTE(SUBSTITUTE(TRIM(Respostas_Brutas!T158),"R$",""),".",""),",","."))),0))/IFERROR(VALUE(TRIM(SUBSTITUTE(SUBSTITUTE(SUBSTITUTE(TRIM(Respostas_Brutas!AS158),"R$",""),".",""),",","."))),0)),""))</f>
        <v/>
      </c>
      <c r="C158" s="4" t="str">
        <f>IF(Respostas_Brutas!B158="","",MIN(1,(IFERROR(VALUE(LEFT(Respostas_Brutas!I158,IFERROR(FIND(" ",Respostas_Brutas!I158)-1,LEN(Respostas_Brutas!I158)))),0)+IFERROR(VALUE(LEFT(Respostas_Brutas!O158,IFERROR(FIND(" ",Respostas_Brutas!O158)-1,LEN(Respostas_Brutas!O158)))),0))/20))</f>
        <v/>
      </c>
      <c r="D158" s="4" t="str">
        <f>IF(Respostas_Brutas!B158="","",IF(Respostas_Brutas!D158="","",MIN(1,MAX(0,(YEAR(TODAY())-N(Respostas_Brutas!D158))/15))))</f>
        <v/>
      </c>
      <c r="E158" s="4" t="str">
        <f>IF(Respostas_Brutas!B158="","",IF(ISNUMBER(SEARCH("Sim",Respostas_Brutas!S158)),1,0))</f>
        <v/>
      </c>
      <c r="F158" s="4" t="str">
        <f>IF(Respostas_Brutas!B158="","",IFERROR(N(Respostas_Brutas!Y158)/N(Respostas_Brutas!Z158),""))</f>
        <v/>
      </c>
      <c r="G158" s="4" t="str">
        <f>IF(Respostas_Brutas!B158="","",IF(Respostas_Brutas!K158&lt;&gt;"",1,0))</f>
        <v/>
      </c>
      <c r="H158" s="4" t="str">
        <f>IF(Respostas_Brutas!B158="","",IF(ISNUMBER(SEARCH("Não",Respostas_Brutas!AH158)),1,0))</f>
        <v/>
      </c>
      <c r="I158" s="4" t="str">
        <f>IF(Respostas_Brutas!B158="","",IF(ISNUMBER(SEARCH("Sim",Respostas_Brutas!AL158)),1,0))</f>
        <v/>
      </c>
      <c r="J158" s="4" t="str">
        <f>IF(Respostas_Brutas!B158="","",IF(Respostas_Brutas!AN158="","",MIN(1,MAX(0,(N(Respostas_Brutas!AN158)-1)/4))))</f>
        <v/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tr">
        <f>IF(Respostas_Brutas!B159="","",Respostas_Brutas!B159)</f>
        <v/>
      </c>
      <c r="B159" s="4" t="str">
        <f>IF(Respostas_Brutas!B159="","",IFERROR(IF(IFERROR(VALUE(TRIM(SUBSTITUTE(SUBSTITUTE(SUBSTITUTE(TRIM(Respostas_Brutas!AS159),"R$",""),".",""),",","."))),0)=0,"",(IFERROR(VALUE(TRIM(SUBSTITUTE(SUBSTITUTE(SUBSTITUTE(TRIM(Respostas_Brutas!AS159),"R$",""),".",""),",","."))),0)-IFERROR(VALUE(TRIM(SUBSTITUTE(SUBSTITUTE(SUBSTITUTE(TRIM(Respostas_Brutas!T159),"R$",""),".",""),",","."))),0))/IFERROR(VALUE(TRIM(SUBSTITUTE(SUBSTITUTE(SUBSTITUTE(TRIM(Respostas_Brutas!AS159),"R$",""),".",""),",","."))),0)),""))</f>
        <v/>
      </c>
      <c r="C159" s="4" t="str">
        <f>IF(Respostas_Brutas!B159="","",MIN(1,(IFERROR(VALUE(LEFT(Respostas_Brutas!I159,IFERROR(FIND(" ",Respostas_Brutas!I159)-1,LEN(Respostas_Brutas!I159)))),0)+IFERROR(VALUE(LEFT(Respostas_Brutas!O159,IFERROR(FIND(" ",Respostas_Brutas!O159)-1,LEN(Respostas_Brutas!O159)))),0))/20))</f>
        <v/>
      </c>
      <c r="D159" s="4" t="str">
        <f>IF(Respostas_Brutas!B159="","",IF(Respostas_Brutas!D159="","",MIN(1,MAX(0,(YEAR(TODAY())-N(Respostas_Brutas!D159))/15))))</f>
        <v/>
      </c>
      <c r="E159" s="4" t="str">
        <f>IF(Respostas_Brutas!B159="","",IF(ISNUMBER(SEARCH("Sim",Respostas_Brutas!S159)),1,0))</f>
        <v/>
      </c>
      <c r="F159" s="4" t="str">
        <f>IF(Respostas_Brutas!B159="","",IFERROR(N(Respostas_Brutas!Y159)/N(Respostas_Brutas!Z159),""))</f>
        <v/>
      </c>
      <c r="G159" s="4" t="str">
        <f>IF(Respostas_Brutas!B159="","",IF(Respostas_Brutas!K159&lt;&gt;"",1,0))</f>
        <v/>
      </c>
      <c r="H159" s="4" t="str">
        <f>IF(Respostas_Brutas!B159="","",IF(ISNUMBER(SEARCH("Não",Respostas_Brutas!AH159)),1,0))</f>
        <v/>
      </c>
      <c r="I159" s="4" t="str">
        <f>IF(Respostas_Brutas!B159="","",IF(ISNUMBER(SEARCH("Sim",Respostas_Brutas!AL159)),1,0))</f>
        <v/>
      </c>
      <c r="J159" s="4" t="str">
        <f>IF(Respostas_Brutas!B159="","",IF(Respostas_Brutas!AN159="","",MIN(1,MAX(0,(N(Respostas_Brutas!AN159)-1)/4))))</f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tr">
        <f>IF(Respostas_Brutas!B160="","",Respostas_Brutas!B160)</f>
        <v/>
      </c>
      <c r="B160" s="4" t="str">
        <f>IF(Respostas_Brutas!B160="","",IFERROR(IF(IFERROR(VALUE(TRIM(SUBSTITUTE(SUBSTITUTE(SUBSTITUTE(TRIM(Respostas_Brutas!AS160),"R$",""),".",""),",","."))),0)=0,"",(IFERROR(VALUE(TRIM(SUBSTITUTE(SUBSTITUTE(SUBSTITUTE(TRIM(Respostas_Brutas!AS160),"R$",""),".",""),",","."))),0)-IFERROR(VALUE(TRIM(SUBSTITUTE(SUBSTITUTE(SUBSTITUTE(TRIM(Respostas_Brutas!T160),"R$",""),".",""),",","."))),0))/IFERROR(VALUE(TRIM(SUBSTITUTE(SUBSTITUTE(SUBSTITUTE(TRIM(Respostas_Brutas!AS160),"R$",""),".",""),",","."))),0)),""))</f>
        <v/>
      </c>
      <c r="C160" s="4" t="str">
        <f>IF(Respostas_Brutas!B160="","",MIN(1,(IFERROR(VALUE(LEFT(Respostas_Brutas!I160,IFERROR(FIND(" ",Respostas_Brutas!I160)-1,LEN(Respostas_Brutas!I160)))),0)+IFERROR(VALUE(LEFT(Respostas_Brutas!O160,IFERROR(FIND(" ",Respostas_Brutas!O160)-1,LEN(Respostas_Brutas!O160)))),0))/20))</f>
        <v/>
      </c>
      <c r="D160" s="4" t="str">
        <f>IF(Respostas_Brutas!B160="","",IF(Respostas_Brutas!D160="","",MIN(1,MAX(0,(YEAR(TODAY())-N(Respostas_Brutas!D160))/15))))</f>
        <v/>
      </c>
      <c r="E160" s="4" t="str">
        <f>IF(Respostas_Brutas!B160="","",IF(ISNUMBER(SEARCH("Sim",Respostas_Brutas!S160)),1,0))</f>
        <v/>
      </c>
      <c r="F160" s="4" t="str">
        <f>IF(Respostas_Brutas!B160="","",IFERROR(N(Respostas_Brutas!Y160)/N(Respostas_Brutas!Z160),""))</f>
        <v/>
      </c>
      <c r="G160" s="4" t="str">
        <f>IF(Respostas_Brutas!B160="","",IF(Respostas_Brutas!K160&lt;&gt;"",1,0))</f>
        <v/>
      </c>
      <c r="H160" s="4" t="str">
        <f>IF(Respostas_Brutas!B160="","",IF(ISNUMBER(SEARCH("Não",Respostas_Brutas!AH160)),1,0))</f>
        <v/>
      </c>
      <c r="I160" s="4" t="str">
        <f>IF(Respostas_Brutas!B160="","",IF(ISNUMBER(SEARCH("Sim",Respostas_Brutas!AL160)),1,0))</f>
        <v/>
      </c>
      <c r="J160" s="4" t="str">
        <f>IF(Respostas_Brutas!B160="","",IF(Respostas_Brutas!AN160="","",MIN(1,MAX(0,(N(Respostas_Brutas!AN160)-1)/4))))</f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tr">
        <f>IF(Respostas_Brutas!B161="","",Respostas_Brutas!B161)</f>
        <v/>
      </c>
      <c r="B161" s="4" t="str">
        <f>IF(Respostas_Brutas!B161="","",IFERROR(IF(IFERROR(VALUE(TRIM(SUBSTITUTE(SUBSTITUTE(SUBSTITUTE(TRIM(Respostas_Brutas!AS161),"R$",""),".",""),",","."))),0)=0,"",(IFERROR(VALUE(TRIM(SUBSTITUTE(SUBSTITUTE(SUBSTITUTE(TRIM(Respostas_Brutas!AS161),"R$",""),".",""),",","."))),0)-IFERROR(VALUE(TRIM(SUBSTITUTE(SUBSTITUTE(SUBSTITUTE(TRIM(Respostas_Brutas!T161),"R$",""),".",""),",","."))),0))/IFERROR(VALUE(TRIM(SUBSTITUTE(SUBSTITUTE(SUBSTITUTE(TRIM(Respostas_Brutas!AS161),"R$",""),".",""),",","."))),0)),""))</f>
        <v/>
      </c>
      <c r="C161" s="4" t="str">
        <f>IF(Respostas_Brutas!B161="","",MIN(1,(IFERROR(VALUE(LEFT(Respostas_Brutas!I161,IFERROR(FIND(" ",Respostas_Brutas!I161)-1,LEN(Respostas_Brutas!I161)))),0)+IFERROR(VALUE(LEFT(Respostas_Brutas!O161,IFERROR(FIND(" ",Respostas_Brutas!O161)-1,LEN(Respostas_Brutas!O161)))),0))/20))</f>
        <v/>
      </c>
      <c r="D161" s="4" t="str">
        <f>IF(Respostas_Brutas!B161="","",IF(Respostas_Brutas!D161="","",MIN(1,MAX(0,(YEAR(TODAY())-N(Respostas_Brutas!D161))/15))))</f>
        <v/>
      </c>
      <c r="E161" s="4" t="str">
        <f>IF(Respostas_Brutas!B161="","",IF(ISNUMBER(SEARCH("Sim",Respostas_Brutas!S161)),1,0))</f>
        <v/>
      </c>
      <c r="F161" s="4" t="str">
        <f>IF(Respostas_Brutas!B161="","",IFERROR(N(Respostas_Brutas!Y161)/N(Respostas_Brutas!Z161),""))</f>
        <v/>
      </c>
      <c r="G161" s="4" t="str">
        <f>IF(Respostas_Brutas!B161="","",IF(Respostas_Brutas!K161&lt;&gt;"",1,0))</f>
        <v/>
      </c>
      <c r="H161" s="4" t="str">
        <f>IF(Respostas_Brutas!B161="","",IF(ISNUMBER(SEARCH("Não",Respostas_Brutas!AH161)),1,0))</f>
        <v/>
      </c>
      <c r="I161" s="4" t="str">
        <f>IF(Respostas_Brutas!B161="","",IF(ISNUMBER(SEARCH("Sim",Respostas_Brutas!AL161)),1,0))</f>
        <v/>
      </c>
      <c r="J161" s="4" t="str">
        <f>IF(Respostas_Brutas!B161="","",IF(Respostas_Brutas!AN161="","",MIN(1,MAX(0,(N(Respostas_Brutas!AN161)-1)/4))))</f>
        <v/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tr">
        <f>IF(Respostas_Brutas!B162="","",Respostas_Brutas!B162)</f>
        <v/>
      </c>
      <c r="B162" s="4" t="str">
        <f>IF(Respostas_Brutas!B162="","",IFERROR(IF(IFERROR(VALUE(TRIM(SUBSTITUTE(SUBSTITUTE(SUBSTITUTE(TRIM(Respostas_Brutas!AS162),"R$",""),".",""),",","."))),0)=0,"",(IFERROR(VALUE(TRIM(SUBSTITUTE(SUBSTITUTE(SUBSTITUTE(TRIM(Respostas_Brutas!AS162),"R$",""),".",""),",","."))),0)-IFERROR(VALUE(TRIM(SUBSTITUTE(SUBSTITUTE(SUBSTITUTE(TRIM(Respostas_Brutas!T162),"R$",""),".",""),",","."))),0))/IFERROR(VALUE(TRIM(SUBSTITUTE(SUBSTITUTE(SUBSTITUTE(TRIM(Respostas_Brutas!AS162),"R$",""),".",""),",","."))),0)),""))</f>
        <v/>
      </c>
      <c r="C162" s="4" t="str">
        <f>IF(Respostas_Brutas!B162="","",MIN(1,(IFERROR(VALUE(LEFT(Respostas_Brutas!I162,IFERROR(FIND(" ",Respostas_Brutas!I162)-1,LEN(Respostas_Brutas!I162)))),0)+IFERROR(VALUE(LEFT(Respostas_Brutas!O162,IFERROR(FIND(" ",Respostas_Brutas!O162)-1,LEN(Respostas_Brutas!O162)))),0))/20))</f>
        <v/>
      </c>
      <c r="D162" s="4" t="str">
        <f>IF(Respostas_Brutas!B162="","",IF(Respostas_Brutas!D162="","",MIN(1,MAX(0,(YEAR(TODAY())-N(Respostas_Brutas!D162))/15))))</f>
        <v/>
      </c>
      <c r="E162" s="4" t="str">
        <f>IF(Respostas_Brutas!B162="","",IF(ISNUMBER(SEARCH("Sim",Respostas_Brutas!S162)),1,0))</f>
        <v/>
      </c>
      <c r="F162" s="4" t="str">
        <f>IF(Respostas_Brutas!B162="","",IFERROR(N(Respostas_Brutas!Y162)/N(Respostas_Brutas!Z162),""))</f>
        <v/>
      </c>
      <c r="G162" s="4" t="str">
        <f>IF(Respostas_Brutas!B162="","",IF(Respostas_Brutas!K162&lt;&gt;"",1,0))</f>
        <v/>
      </c>
      <c r="H162" s="4" t="str">
        <f>IF(Respostas_Brutas!B162="","",IF(ISNUMBER(SEARCH("Não",Respostas_Brutas!AH162)),1,0))</f>
        <v/>
      </c>
      <c r="I162" s="4" t="str">
        <f>IF(Respostas_Brutas!B162="","",IF(ISNUMBER(SEARCH("Sim",Respostas_Brutas!AL162)),1,0))</f>
        <v/>
      </c>
      <c r="J162" s="4" t="str">
        <f>IF(Respostas_Brutas!B162="","",IF(Respostas_Brutas!AN162="","",MIN(1,MAX(0,(N(Respostas_Brutas!AN162)-1)/4))))</f>
        <v/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tr">
        <f>IF(Respostas_Brutas!B163="","",Respostas_Brutas!B163)</f>
        <v/>
      </c>
      <c r="B163" s="4" t="str">
        <f>IF(Respostas_Brutas!B163="","",IFERROR(IF(IFERROR(VALUE(TRIM(SUBSTITUTE(SUBSTITUTE(SUBSTITUTE(TRIM(Respostas_Brutas!AS163),"R$",""),".",""),",","."))),0)=0,"",(IFERROR(VALUE(TRIM(SUBSTITUTE(SUBSTITUTE(SUBSTITUTE(TRIM(Respostas_Brutas!AS163),"R$",""),".",""),",","."))),0)-IFERROR(VALUE(TRIM(SUBSTITUTE(SUBSTITUTE(SUBSTITUTE(TRIM(Respostas_Brutas!T163),"R$",""),".",""),",","."))),0))/IFERROR(VALUE(TRIM(SUBSTITUTE(SUBSTITUTE(SUBSTITUTE(TRIM(Respostas_Brutas!AS163),"R$",""),".",""),",","."))),0)),""))</f>
        <v/>
      </c>
      <c r="C163" s="4" t="str">
        <f>IF(Respostas_Brutas!B163="","",MIN(1,(IFERROR(VALUE(LEFT(Respostas_Brutas!I163,IFERROR(FIND(" ",Respostas_Brutas!I163)-1,LEN(Respostas_Brutas!I163)))),0)+IFERROR(VALUE(LEFT(Respostas_Brutas!O163,IFERROR(FIND(" ",Respostas_Brutas!O163)-1,LEN(Respostas_Brutas!O163)))),0))/20))</f>
        <v/>
      </c>
      <c r="D163" s="4" t="str">
        <f>IF(Respostas_Brutas!B163="","",IF(Respostas_Brutas!D163="","",MIN(1,MAX(0,(YEAR(TODAY())-N(Respostas_Brutas!D163))/15))))</f>
        <v/>
      </c>
      <c r="E163" s="4" t="str">
        <f>IF(Respostas_Brutas!B163="","",IF(ISNUMBER(SEARCH("Sim",Respostas_Brutas!S163)),1,0))</f>
        <v/>
      </c>
      <c r="F163" s="4" t="str">
        <f>IF(Respostas_Brutas!B163="","",IFERROR(N(Respostas_Brutas!Y163)/N(Respostas_Brutas!Z163),""))</f>
        <v/>
      </c>
      <c r="G163" s="4" t="str">
        <f>IF(Respostas_Brutas!B163="","",IF(Respostas_Brutas!K163&lt;&gt;"",1,0))</f>
        <v/>
      </c>
      <c r="H163" s="4" t="str">
        <f>IF(Respostas_Brutas!B163="","",IF(ISNUMBER(SEARCH("Não",Respostas_Brutas!AH163)),1,0))</f>
        <v/>
      </c>
      <c r="I163" s="4" t="str">
        <f>IF(Respostas_Brutas!B163="","",IF(ISNUMBER(SEARCH("Sim",Respostas_Brutas!AL163)),1,0))</f>
        <v/>
      </c>
      <c r="J163" s="4" t="str">
        <f>IF(Respostas_Brutas!B163="","",IF(Respostas_Brutas!AN163="","",MIN(1,MAX(0,(N(Respostas_Brutas!AN163)-1)/4))))</f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tr">
        <f>IF(Respostas_Brutas!B164="","",Respostas_Brutas!B164)</f>
        <v/>
      </c>
      <c r="B164" s="4" t="str">
        <f>IF(Respostas_Brutas!B164="","",IFERROR(IF(IFERROR(VALUE(TRIM(SUBSTITUTE(SUBSTITUTE(SUBSTITUTE(TRIM(Respostas_Brutas!AS164),"R$",""),".",""),",","."))),0)=0,"",(IFERROR(VALUE(TRIM(SUBSTITUTE(SUBSTITUTE(SUBSTITUTE(TRIM(Respostas_Brutas!AS164),"R$",""),".",""),",","."))),0)-IFERROR(VALUE(TRIM(SUBSTITUTE(SUBSTITUTE(SUBSTITUTE(TRIM(Respostas_Brutas!T164),"R$",""),".",""),",","."))),0))/IFERROR(VALUE(TRIM(SUBSTITUTE(SUBSTITUTE(SUBSTITUTE(TRIM(Respostas_Brutas!AS164),"R$",""),".",""),",","."))),0)),""))</f>
        <v/>
      </c>
      <c r="C164" s="4" t="str">
        <f>IF(Respostas_Brutas!B164="","",MIN(1,(IFERROR(VALUE(LEFT(Respostas_Brutas!I164,IFERROR(FIND(" ",Respostas_Brutas!I164)-1,LEN(Respostas_Brutas!I164)))),0)+IFERROR(VALUE(LEFT(Respostas_Brutas!O164,IFERROR(FIND(" ",Respostas_Brutas!O164)-1,LEN(Respostas_Brutas!O164)))),0))/20))</f>
        <v/>
      </c>
      <c r="D164" s="4" t="str">
        <f>IF(Respostas_Brutas!B164="","",IF(Respostas_Brutas!D164="","",MIN(1,MAX(0,(YEAR(TODAY())-N(Respostas_Brutas!D164))/15))))</f>
        <v/>
      </c>
      <c r="E164" s="4" t="str">
        <f>IF(Respostas_Brutas!B164="","",IF(ISNUMBER(SEARCH("Sim",Respostas_Brutas!S164)),1,0))</f>
        <v/>
      </c>
      <c r="F164" s="4" t="str">
        <f>IF(Respostas_Brutas!B164="","",IFERROR(N(Respostas_Brutas!Y164)/N(Respostas_Brutas!Z164),""))</f>
        <v/>
      </c>
      <c r="G164" s="4" t="str">
        <f>IF(Respostas_Brutas!B164="","",IF(Respostas_Brutas!K164&lt;&gt;"",1,0))</f>
        <v/>
      </c>
      <c r="H164" s="4" t="str">
        <f>IF(Respostas_Brutas!B164="","",IF(ISNUMBER(SEARCH("Não",Respostas_Brutas!AH164)),1,0))</f>
        <v/>
      </c>
      <c r="I164" s="4" t="str">
        <f>IF(Respostas_Brutas!B164="","",IF(ISNUMBER(SEARCH("Sim",Respostas_Brutas!AL164)),1,0))</f>
        <v/>
      </c>
      <c r="J164" s="4" t="str">
        <f>IF(Respostas_Brutas!B164="","",IF(Respostas_Brutas!AN164="","",MIN(1,MAX(0,(N(Respostas_Brutas!AN164)-1)/4))))</f>
        <v/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tr">
        <f>IF(Respostas_Brutas!B165="","",Respostas_Brutas!B165)</f>
        <v/>
      </c>
      <c r="B165" s="4" t="str">
        <f>IF(Respostas_Brutas!B165="","",IFERROR(IF(IFERROR(VALUE(TRIM(SUBSTITUTE(SUBSTITUTE(SUBSTITUTE(TRIM(Respostas_Brutas!AS165),"R$",""),".",""),",","."))),0)=0,"",(IFERROR(VALUE(TRIM(SUBSTITUTE(SUBSTITUTE(SUBSTITUTE(TRIM(Respostas_Brutas!AS165),"R$",""),".",""),",","."))),0)-IFERROR(VALUE(TRIM(SUBSTITUTE(SUBSTITUTE(SUBSTITUTE(TRIM(Respostas_Brutas!T165),"R$",""),".",""),",","."))),0))/IFERROR(VALUE(TRIM(SUBSTITUTE(SUBSTITUTE(SUBSTITUTE(TRIM(Respostas_Brutas!AS165),"R$",""),".",""),",","."))),0)),""))</f>
        <v/>
      </c>
      <c r="C165" s="4" t="str">
        <f>IF(Respostas_Brutas!B165="","",MIN(1,(IFERROR(VALUE(LEFT(Respostas_Brutas!I165,IFERROR(FIND(" ",Respostas_Brutas!I165)-1,LEN(Respostas_Brutas!I165)))),0)+IFERROR(VALUE(LEFT(Respostas_Brutas!O165,IFERROR(FIND(" ",Respostas_Brutas!O165)-1,LEN(Respostas_Brutas!O165)))),0))/20))</f>
        <v/>
      </c>
      <c r="D165" s="4" t="str">
        <f>IF(Respostas_Brutas!B165="","",IF(Respostas_Brutas!D165="","",MIN(1,MAX(0,(YEAR(TODAY())-N(Respostas_Brutas!D165))/15))))</f>
        <v/>
      </c>
      <c r="E165" s="4" t="str">
        <f>IF(Respostas_Brutas!B165="","",IF(ISNUMBER(SEARCH("Sim",Respostas_Brutas!S165)),1,0))</f>
        <v/>
      </c>
      <c r="F165" s="4" t="str">
        <f>IF(Respostas_Brutas!B165="","",IFERROR(N(Respostas_Brutas!Y165)/N(Respostas_Brutas!Z165),""))</f>
        <v/>
      </c>
      <c r="G165" s="4" t="str">
        <f>IF(Respostas_Brutas!B165="","",IF(Respostas_Brutas!K165&lt;&gt;"",1,0))</f>
        <v/>
      </c>
      <c r="H165" s="4" t="str">
        <f>IF(Respostas_Brutas!B165="","",IF(ISNUMBER(SEARCH("Não",Respostas_Brutas!AH165)),1,0))</f>
        <v/>
      </c>
      <c r="I165" s="4" t="str">
        <f>IF(Respostas_Brutas!B165="","",IF(ISNUMBER(SEARCH("Sim",Respostas_Brutas!AL165)),1,0))</f>
        <v/>
      </c>
      <c r="J165" s="4" t="str">
        <f>IF(Respostas_Brutas!B165="","",IF(Respostas_Brutas!AN165="","",MIN(1,MAX(0,(N(Respostas_Brutas!AN165)-1)/4))))</f>
        <v/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tr">
        <f>IF(Respostas_Brutas!B166="","",Respostas_Brutas!B166)</f>
        <v/>
      </c>
      <c r="B166" s="4" t="str">
        <f>IF(Respostas_Brutas!B166="","",IFERROR(IF(IFERROR(VALUE(TRIM(SUBSTITUTE(SUBSTITUTE(SUBSTITUTE(TRIM(Respostas_Brutas!AS166),"R$",""),".",""),",","."))),0)=0,"",(IFERROR(VALUE(TRIM(SUBSTITUTE(SUBSTITUTE(SUBSTITUTE(TRIM(Respostas_Brutas!AS166),"R$",""),".",""),",","."))),0)-IFERROR(VALUE(TRIM(SUBSTITUTE(SUBSTITUTE(SUBSTITUTE(TRIM(Respostas_Brutas!T166),"R$",""),".",""),",","."))),0))/IFERROR(VALUE(TRIM(SUBSTITUTE(SUBSTITUTE(SUBSTITUTE(TRIM(Respostas_Brutas!AS166),"R$",""),".",""),",","."))),0)),""))</f>
        <v/>
      </c>
      <c r="C166" s="4" t="str">
        <f>IF(Respostas_Brutas!B166="","",MIN(1,(IFERROR(VALUE(LEFT(Respostas_Brutas!I166,IFERROR(FIND(" ",Respostas_Brutas!I166)-1,LEN(Respostas_Brutas!I166)))),0)+IFERROR(VALUE(LEFT(Respostas_Brutas!O166,IFERROR(FIND(" ",Respostas_Brutas!O166)-1,LEN(Respostas_Brutas!O166)))),0))/20))</f>
        <v/>
      </c>
      <c r="D166" s="4" t="str">
        <f>IF(Respostas_Brutas!B166="","",IF(Respostas_Brutas!D166="","",MIN(1,MAX(0,(YEAR(TODAY())-N(Respostas_Brutas!D166))/15))))</f>
        <v/>
      </c>
      <c r="E166" s="4" t="str">
        <f>IF(Respostas_Brutas!B166="","",IF(ISNUMBER(SEARCH("Sim",Respostas_Brutas!S166)),1,0))</f>
        <v/>
      </c>
      <c r="F166" s="4" t="str">
        <f>IF(Respostas_Brutas!B166="","",IFERROR(N(Respostas_Brutas!Y166)/N(Respostas_Brutas!Z166),""))</f>
        <v/>
      </c>
      <c r="G166" s="4" t="str">
        <f>IF(Respostas_Brutas!B166="","",IF(Respostas_Brutas!K166&lt;&gt;"",1,0))</f>
        <v/>
      </c>
      <c r="H166" s="4" t="str">
        <f>IF(Respostas_Brutas!B166="","",IF(ISNUMBER(SEARCH("Não",Respostas_Brutas!AH166)),1,0))</f>
        <v/>
      </c>
      <c r="I166" s="4" t="str">
        <f>IF(Respostas_Brutas!B166="","",IF(ISNUMBER(SEARCH("Sim",Respostas_Brutas!AL166)),1,0))</f>
        <v/>
      </c>
      <c r="J166" s="4" t="str">
        <f>IF(Respostas_Brutas!B166="","",IF(Respostas_Brutas!AN166="","",MIN(1,MAX(0,(N(Respostas_Brutas!AN166)-1)/4))))</f>
        <v/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tr">
        <f>IF(Respostas_Brutas!B167="","",Respostas_Brutas!B167)</f>
        <v/>
      </c>
      <c r="B167" s="4" t="str">
        <f>IF(Respostas_Brutas!B167="","",IFERROR(IF(IFERROR(VALUE(TRIM(SUBSTITUTE(SUBSTITUTE(SUBSTITUTE(TRIM(Respostas_Brutas!AS167),"R$",""),".",""),",","."))),0)=0,"",(IFERROR(VALUE(TRIM(SUBSTITUTE(SUBSTITUTE(SUBSTITUTE(TRIM(Respostas_Brutas!AS167),"R$",""),".",""),",","."))),0)-IFERROR(VALUE(TRIM(SUBSTITUTE(SUBSTITUTE(SUBSTITUTE(TRIM(Respostas_Brutas!T167),"R$",""),".",""),",","."))),0))/IFERROR(VALUE(TRIM(SUBSTITUTE(SUBSTITUTE(SUBSTITUTE(TRIM(Respostas_Brutas!AS167),"R$",""),".",""),",","."))),0)),""))</f>
        <v/>
      </c>
      <c r="C167" s="4" t="str">
        <f>IF(Respostas_Brutas!B167="","",MIN(1,(IFERROR(VALUE(LEFT(Respostas_Brutas!I167,IFERROR(FIND(" ",Respostas_Brutas!I167)-1,LEN(Respostas_Brutas!I167)))),0)+IFERROR(VALUE(LEFT(Respostas_Brutas!O167,IFERROR(FIND(" ",Respostas_Brutas!O167)-1,LEN(Respostas_Brutas!O167)))),0))/20))</f>
        <v/>
      </c>
      <c r="D167" s="4" t="str">
        <f>IF(Respostas_Brutas!B167="","",IF(Respostas_Brutas!D167="","",MIN(1,MAX(0,(YEAR(TODAY())-N(Respostas_Brutas!D167))/15))))</f>
        <v/>
      </c>
      <c r="E167" s="4" t="str">
        <f>IF(Respostas_Brutas!B167="","",IF(ISNUMBER(SEARCH("Sim",Respostas_Brutas!S167)),1,0))</f>
        <v/>
      </c>
      <c r="F167" s="4" t="str">
        <f>IF(Respostas_Brutas!B167="","",IFERROR(N(Respostas_Brutas!Y167)/N(Respostas_Brutas!Z167),""))</f>
        <v/>
      </c>
      <c r="G167" s="4" t="str">
        <f>IF(Respostas_Brutas!B167="","",IF(Respostas_Brutas!K167&lt;&gt;"",1,0))</f>
        <v/>
      </c>
      <c r="H167" s="4" t="str">
        <f>IF(Respostas_Brutas!B167="","",IF(ISNUMBER(SEARCH("Não",Respostas_Brutas!AH167)),1,0))</f>
        <v/>
      </c>
      <c r="I167" s="4" t="str">
        <f>IF(Respostas_Brutas!B167="","",IF(ISNUMBER(SEARCH("Sim",Respostas_Brutas!AL167)),1,0))</f>
        <v/>
      </c>
      <c r="J167" s="4" t="str">
        <f>IF(Respostas_Brutas!B167="","",IF(Respostas_Brutas!AN167="","",MIN(1,MAX(0,(N(Respostas_Brutas!AN167)-1)/4))))</f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tr">
        <f>IF(Respostas_Brutas!B168="","",Respostas_Brutas!B168)</f>
        <v/>
      </c>
      <c r="B168" s="4" t="str">
        <f>IF(Respostas_Brutas!B168="","",IFERROR(IF(IFERROR(VALUE(TRIM(SUBSTITUTE(SUBSTITUTE(SUBSTITUTE(TRIM(Respostas_Brutas!AS168),"R$",""),".",""),",","."))),0)=0,"",(IFERROR(VALUE(TRIM(SUBSTITUTE(SUBSTITUTE(SUBSTITUTE(TRIM(Respostas_Brutas!AS168),"R$",""),".",""),",","."))),0)-IFERROR(VALUE(TRIM(SUBSTITUTE(SUBSTITUTE(SUBSTITUTE(TRIM(Respostas_Brutas!T168),"R$",""),".",""),",","."))),0))/IFERROR(VALUE(TRIM(SUBSTITUTE(SUBSTITUTE(SUBSTITUTE(TRIM(Respostas_Brutas!AS168),"R$",""),".",""),",","."))),0)),""))</f>
        <v/>
      </c>
      <c r="C168" s="4" t="str">
        <f>IF(Respostas_Brutas!B168="","",MIN(1,(IFERROR(VALUE(LEFT(Respostas_Brutas!I168,IFERROR(FIND(" ",Respostas_Brutas!I168)-1,LEN(Respostas_Brutas!I168)))),0)+IFERROR(VALUE(LEFT(Respostas_Brutas!O168,IFERROR(FIND(" ",Respostas_Brutas!O168)-1,LEN(Respostas_Brutas!O168)))),0))/20))</f>
        <v/>
      </c>
      <c r="D168" s="4" t="str">
        <f>IF(Respostas_Brutas!B168="","",IF(Respostas_Brutas!D168="","",MIN(1,MAX(0,(YEAR(TODAY())-N(Respostas_Brutas!D168))/15))))</f>
        <v/>
      </c>
      <c r="E168" s="4" t="str">
        <f>IF(Respostas_Brutas!B168="","",IF(ISNUMBER(SEARCH("Sim",Respostas_Brutas!S168)),1,0))</f>
        <v/>
      </c>
      <c r="F168" s="4" t="str">
        <f>IF(Respostas_Brutas!B168="","",IFERROR(N(Respostas_Brutas!Y168)/N(Respostas_Brutas!Z168),""))</f>
        <v/>
      </c>
      <c r="G168" s="4" t="str">
        <f>IF(Respostas_Brutas!B168="","",IF(Respostas_Brutas!K168&lt;&gt;"",1,0))</f>
        <v/>
      </c>
      <c r="H168" s="4" t="str">
        <f>IF(Respostas_Brutas!B168="","",IF(ISNUMBER(SEARCH("Não",Respostas_Brutas!AH168)),1,0))</f>
        <v/>
      </c>
      <c r="I168" s="4" t="str">
        <f>IF(Respostas_Brutas!B168="","",IF(ISNUMBER(SEARCH("Sim",Respostas_Brutas!AL168)),1,0))</f>
        <v/>
      </c>
      <c r="J168" s="4" t="str">
        <f>IF(Respostas_Brutas!B168="","",IF(Respostas_Brutas!AN168="","",MIN(1,MAX(0,(N(Respostas_Brutas!AN168)-1)/4))))</f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tr">
        <f>IF(Respostas_Brutas!B169="","",Respostas_Brutas!B169)</f>
        <v/>
      </c>
      <c r="B169" s="4" t="str">
        <f>IF(Respostas_Brutas!B169="","",IFERROR(IF(IFERROR(VALUE(TRIM(SUBSTITUTE(SUBSTITUTE(SUBSTITUTE(TRIM(Respostas_Brutas!AS169),"R$",""),".",""),",","."))),0)=0,"",(IFERROR(VALUE(TRIM(SUBSTITUTE(SUBSTITUTE(SUBSTITUTE(TRIM(Respostas_Brutas!AS169),"R$",""),".",""),",","."))),0)-IFERROR(VALUE(TRIM(SUBSTITUTE(SUBSTITUTE(SUBSTITUTE(TRIM(Respostas_Brutas!T169),"R$",""),".",""),",","."))),0))/IFERROR(VALUE(TRIM(SUBSTITUTE(SUBSTITUTE(SUBSTITUTE(TRIM(Respostas_Brutas!AS169),"R$",""),".",""),",","."))),0)),""))</f>
        <v/>
      </c>
      <c r="C169" s="4" t="str">
        <f>IF(Respostas_Brutas!B169="","",MIN(1,(IFERROR(VALUE(LEFT(Respostas_Brutas!I169,IFERROR(FIND(" ",Respostas_Brutas!I169)-1,LEN(Respostas_Brutas!I169)))),0)+IFERROR(VALUE(LEFT(Respostas_Brutas!O169,IFERROR(FIND(" ",Respostas_Brutas!O169)-1,LEN(Respostas_Brutas!O169)))),0))/20))</f>
        <v/>
      </c>
      <c r="D169" s="4" t="str">
        <f>IF(Respostas_Brutas!B169="","",IF(Respostas_Brutas!D169="","",MIN(1,MAX(0,(YEAR(TODAY())-N(Respostas_Brutas!D169))/15))))</f>
        <v/>
      </c>
      <c r="E169" s="4" t="str">
        <f>IF(Respostas_Brutas!B169="","",IF(ISNUMBER(SEARCH("Sim",Respostas_Brutas!S169)),1,0))</f>
        <v/>
      </c>
      <c r="F169" s="4" t="str">
        <f>IF(Respostas_Brutas!B169="","",IFERROR(N(Respostas_Brutas!Y169)/N(Respostas_Brutas!Z169),""))</f>
        <v/>
      </c>
      <c r="G169" s="4" t="str">
        <f>IF(Respostas_Brutas!B169="","",IF(Respostas_Brutas!K169&lt;&gt;"",1,0))</f>
        <v/>
      </c>
      <c r="H169" s="4" t="str">
        <f>IF(Respostas_Brutas!B169="","",IF(ISNUMBER(SEARCH("Não",Respostas_Brutas!AH169)),1,0))</f>
        <v/>
      </c>
      <c r="I169" s="4" t="str">
        <f>IF(Respostas_Brutas!B169="","",IF(ISNUMBER(SEARCH("Sim",Respostas_Brutas!AL169)),1,0))</f>
        <v/>
      </c>
      <c r="J169" s="4" t="str">
        <f>IF(Respostas_Brutas!B169="","",IF(Respostas_Brutas!AN169="","",MIN(1,MAX(0,(N(Respostas_Brutas!AN169)-1)/4))))</f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tr">
        <f>IF(Respostas_Brutas!B170="","",Respostas_Brutas!B170)</f>
        <v/>
      </c>
      <c r="B170" s="4" t="str">
        <f>IF(Respostas_Brutas!B170="","",IFERROR(IF(IFERROR(VALUE(TRIM(SUBSTITUTE(SUBSTITUTE(SUBSTITUTE(TRIM(Respostas_Brutas!AS170),"R$",""),".",""),",","."))),0)=0,"",(IFERROR(VALUE(TRIM(SUBSTITUTE(SUBSTITUTE(SUBSTITUTE(TRIM(Respostas_Brutas!AS170),"R$",""),".",""),",","."))),0)-IFERROR(VALUE(TRIM(SUBSTITUTE(SUBSTITUTE(SUBSTITUTE(TRIM(Respostas_Brutas!T170),"R$",""),".",""),",","."))),0))/IFERROR(VALUE(TRIM(SUBSTITUTE(SUBSTITUTE(SUBSTITUTE(TRIM(Respostas_Brutas!AS170),"R$",""),".",""),",","."))),0)),""))</f>
        <v/>
      </c>
      <c r="C170" s="4" t="str">
        <f>IF(Respostas_Brutas!B170="","",MIN(1,(IFERROR(VALUE(LEFT(Respostas_Brutas!I170,IFERROR(FIND(" ",Respostas_Brutas!I170)-1,LEN(Respostas_Brutas!I170)))),0)+IFERROR(VALUE(LEFT(Respostas_Brutas!O170,IFERROR(FIND(" ",Respostas_Brutas!O170)-1,LEN(Respostas_Brutas!O170)))),0))/20))</f>
        <v/>
      </c>
      <c r="D170" s="4" t="str">
        <f>IF(Respostas_Brutas!B170="","",IF(Respostas_Brutas!D170="","",MIN(1,MAX(0,(YEAR(TODAY())-N(Respostas_Brutas!D170))/15))))</f>
        <v/>
      </c>
      <c r="E170" s="4" t="str">
        <f>IF(Respostas_Brutas!B170="","",IF(ISNUMBER(SEARCH("Sim",Respostas_Brutas!S170)),1,0))</f>
        <v/>
      </c>
      <c r="F170" s="4" t="str">
        <f>IF(Respostas_Brutas!B170="","",IFERROR(N(Respostas_Brutas!Y170)/N(Respostas_Brutas!Z170),""))</f>
        <v/>
      </c>
      <c r="G170" s="4" t="str">
        <f>IF(Respostas_Brutas!B170="","",IF(Respostas_Brutas!K170&lt;&gt;"",1,0))</f>
        <v/>
      </c>
      <c r="H170" s="4" t="str">
        <f>IF(Respostas_Brutas!B170="","",IF(ISNUMBER(SEARCH("Não",Respostas_Brutas!AH170)),1,0))</f>
        <v/>
      </c>
      <c r="I170" s="4" t="str">
        <f>IF(Respostas_Brutas!B170="","",IF(ISNUMBER(SEARCH("Sim",Respostas_Brutas!AL170)),1,0))</f>
        <v/>
      </c>
      <c r="J170" s="4" t="str">
        <f>IF(Respostas_Brutas!B170="","",IF(Respostas_Brutas!AN170="","",MIN(1,MAX(0,(N(Respostas_Brutas!AN170)-1)/4))))</f>
        <v/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tr">
        <f>IF(Respostas_Brutas!B171="","",Respostas_Brutas!B171)</f>
        <v/>
      </c>
      <c r="B171" s="4" t="str">
        <f>IF(Respostas_Brutas!B171="","",IFERROR(IF(IFERROR(VALUE(TRIM(SUBSTITUTE(SUBSTITUTE(SUBSTITUTE(TRIM(Respostas_Brutas!AS171),"R$",""),".",""),",","."))),0)=0,"",(IFERROR(VALUE(TRIM(SUBSTITUTE(SUBSTITUTE(SUBSTITUTE(TRIM(Respostas_Brutas!AS171),"R$",""),".",""),",","."))),0)-IFERROR(VALUE(TRIM(SUBSTITUTE(SUBSTITUTE(SUBSTITUTE(TRIM(Respostas_Brutas!T171),"R$",""),".",""),",","."))),0))/IFERROR(VALUE(TRIM(SUBSTITUTE(SUBSTITUTE(SUBSTITUTE(TRIM(Respostas_Brutas!AS171),"R$",""),".",""),",","."))),0)),""))</f>
        <v/>
      </c>
      <c r="C171" s="4" t="str">
        <f>IF(Respostas_Brutas!B171="","",MIN(1,(IFERROR(VALUE(LEFT(Respostas_Brutas!I171,IFERROR(FIND(" ",Respostas_Brutas!I171)-1,LEN(Respostas_Brutas!I171)))),0)+IFERROR(VALUE(LEFT(Respostas_Brutas!O171,IFERROR(FIND(" ",Respostas_Brutas!O171)-1,LEN(Respostas_Brutas!O171)))),0))/20))</f>
        <v/>
      </c>
      <c r="D171" s="4" t="str">
        <f>IF(Respostas_Brutas!B171="","",IF(Respostas_Brutas!D171="","",MIN(1,MAX(0,(YEAR(TODAY())-N(Respostas_Brutas!D171))/15))))</f>
        <v/>
      </c>
      <c r="E171" s="4" t="str">
        <f>IF(Respostas_Brutas!B171="","",IF(ISNUMBER(SEARCH("Sim",Respostas_Brutas!S171)),1,0))</f>
        <v/>
      </c>
      <c r="F171" s="4" t="str">
        <f>IF(Respostas_Brutas!B171="","",IFERROR(N(Respostas_Brutas!Y171)/N(Respostas_Brutas!Z171),""))</f>
        <v/>
      </c>
      <c r="G171" s="4" t="str">
        <f>IF(Respostas_Brutas!B171="","",IF(Respostas_Brutas!K171&lt;&gt;"",1,0))</f>
        <v/>
      </c>
      <c r="H171" s="4" t="str">
        <f>IF(Respostas_Brutas!B171="","",IF(ISNUMBER(SEARCH("Não",Respostas_Brutas!AH171)),1,0))</f>
        <v/>
      </c>
      <c r="I171" s="4" t="str">
        <f>IF(Respostas_Brutas!B171="","",IF(ISNUMBER(SEARCH("Sim",Respostas_Brutas!AL171)),1,0))</f>
        <v/>
      </c>
      <c r="J171" s="4" t="str">
        <f>IF(Respostas_Brutas!B171="","",IF(Respostas_Brutas!AN171="","",MIN(1,MAX(0,(N(Respostas_Brutas!AN171)-1)/4))))</f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tr">
        <f>IF(Respostas_Brutas!B172="","",Respostas_Brutas!B172)</f>
        <v/>
      </c>
      <c r="B172" s="4" t="str">
        <f>IF(Respostas_Brutas!B172="","",IFERROR(IF(IFERROR(VALUE(TRIM(SUBSTITUTE(SUBSTITUTE(SUBSTITUTE(TRIM(Respostas_Brutas!AS172),"R$",""),".",""),",","."))),0)=0,"",(IFERROR(VALUE(TRIM(SUBSTITUTE(SUBSTITUTE(SUBSTITUTE(TRIM(Respostas_Brutas!AS172),"R$",""),".",""),",","."))),0)-IFERROR(VALUE(TRIM(SUBSTITUTE(SUBSTITUTE(SUBSTITUTE(TRIM(Respostas_Brutas!T172),"R$",""),".",""),",","."))),0))/IFERROR(VALUE(TRIM(SUBSTITUTE(SUBSTITUTE(SUBSTITUTE(TRIM(Respostas_Brutas!AS172),"R$",""),".",""),",","."))),0)),""))</f>
        <v/>
      </c>
      <c r="C172" s="4" t="str">
        <f>IF(Respostas_Brutas!B172="","",MIN(1,(IFERROR(VALUE(LEFT(Respostas_Brutas!I172,IFERROR(FIND(" ",Respostas_Brutas!I172)-1,LEN(Respostas_Brutas!I172)))),0)+IFERROR(VALUE(LEFT(Respostas_Brutas!O172,IFERROR(FIND(" ",Respostas_Brutas!O172)-1,LEN(Respostas_Brutas!O172)))),0))/20))</f>
        <v/>
      </c>
      <c r="D172" s="4" t="str">
        <f>IF(Respostas_Brutas!B172="","",IF(Respostas_Brutas!D172="","",MIN(1,MAX(0,(YEAR(TODAY())-N(Respostas_Brutas!D172))/15))))</f>
        <v/>
      </c>
      <c r="E172" s="4" t="str">
        <f>IF(Respostas_Brutas!B172="","",IF(ISNUMBER(SEARCH("Sim",Respostas_Brutas!S172)),1,0))</f>
        <v/>
      </c>
      <c r="F172" s="4" t="str">
        <f>IF(Respostas_Brutas!B172="","",IFERROR(N(Respostas_Brutas!Y172)/N(Respostas_Brutas!Z172),""))</f>
        <v/>
      </c>
      <c r="G172" s="4" t="str">
        <f>IF(Respostas_Brutas!B172="","",IF(Respostas_Brutas!K172&lt;&gt;"",1,0))</f>
        <v/>
      </c>
      <c r="H172" s="4" t="str">
        <f>IF(Respostas_Brutas!B172="","",IF(ISNUMBER(SEARCH("Não",Respostas_Brutas!AH172)),1,0))</f>
        <v/>
      </c>
      <c r="I172" s="4" t="str">
        <f>IF(Respostas_Brutas!B172="","",IF(ISNUMBER(SEARCH("Sim",Respostas_Brutas!AL172)),1,0))</f>
        <v/>
      </c>
      <c r="J172" s="4" t="str">
        <f>IF(Respostas_Brutas!B172="","",IF(Respostas_Brutas!AN172="","",MIN(1,MAX(0,(N(Respostas_Brutas!AN172)-1)/4))))</f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tr">
        <f>IF(Respostas_Brutas!B173="","",Respostas_Brutas!B173)</f>
        <v/>
      </c>
      <c r="B173" s="4" t="str">
        <f>IF(Respostas_Brutas!B173="","",IFERROR(IF(IFERROR(VALUE(TRIM(SUBSTITUTE(SUBSTITUTE(SUBSTITUTE(TRIM(Respostas_Brutas!AS173),"R$",""),".",""),",","."))),0)=0,"",(IFERROR(VALUE(TRIM(SUBSTITUTE(SUBSTITUTE(SUBSTITUTE(TRIM(Respostas_Brutas!AS173),"R$",""),".",""),",","."))),0)-IFERROR(VALUE(TRIM(SUBSTITUTE(SUBSTITUTE(SUBSTITUTE(TRIM(Respostas_Brutas!T173),"R$",""),".",""),",","."))),0))/IFERROR(VALUE(TRIM(SUBSTITUTE(SUBSTITUTE(SUBSTITUTE(TRIM(Respostas_Brutas!AS173),"R$",""),".",""),",","."))),0)),""))</f>
        <v/>
      </c>
      <c r="C173" s="4" t="str">
        <f>IF(Respostas_Brutas!B173="","",MIN(1,(IFERROR(VALUE(LEFT(Respostas_Brutas!I173,IFERROR(FIND(" ",Respostas_Brutas!I173)-1,LEN(Respostas_Brutas!I173)))),0)+IFERROR(VALUE(LEFT(Respostas_Brutas!O173,IFERROR(FIND(" ",Respostas_Brutas!O173)-1,LEN(Respostas_Brutas!O173)))),0))/20))</f>
        <v/>
      </c>
      <c r="D173" s="4" t="str">
        <f>IF(Respostas_Brutas!B173="","",IF(Respostas_Brutas!D173="","",MIN(1,MAX(0,(YEAR(TODAY())-N(Respostas_Brutas!D173))/15))))</f>
        <v/>
      </c>
      <c r="E173" s="4" t="str">
        <f>IF(Respostas_Brutas!B173="","",IF(ISNUMBER(SEARCH("Sim",Respostas_Brutas!S173)),1,0))</f>
        <v/>
      </c>
      <c r="F173" s="4" t="str">
        <f>IF(Respostas_Brutas!B173="","",IFERROR(N(Respostas_Brutas!Y173)/N(Respostas_Brutas!Z173),""))</f>
        <v/>
      </c>
      <c r="G173" s="4" t="str">
        <f>IF(Respostas_Brutas!B173="","",IF(Respostas_Brutas!K173&lt;&gt;"",1,0))</f>
        <v/>
      </c>
      <c r="H173" s="4" t="str">
        <f>IF(Respostas_Brutas!B173="","",IF(ISNUMBER(SEARCH("Não",Respostas_Brutas!AH173)),1,0))</f>
        <v/>
      </c>
      <c r="I173" s="4" t="str">
        <f>IF(Respostas_Brutas!B173="","",IF(ISNUMBER(SEARCH("Sim",Respostas_Brutas!AL173)),1,0))</f>
        <v/>
      </c>
      <c r="J173" s="4" t="str">
        <f>IF(Respostas_Brutas!B173="","",IF(Respostas_Brutas!AN173="","",MIN(1,MAX(0,(N(Respostas_Brutas!AN173)-1)/4))))</f>
        <v/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tr">
        <f>IF(Respostas_Brutas!B174="","",Respostas_Brutas!B174)</f>
        <v/>
      </c>
      <c r="B174" s="4" t="str">
        <f>IF(Respostas_Brutas!B174="","",IFERROR(IF(IFERROR(VALUE(TRIM(SUBSTITUTE(SUBSTITUTE(SUBSTITUTE(TRIM(Respostas_Brutas!AS174),"R$",""),".",""),",","."))),0)=0,"",(IFERROR(VALUE(TRIM(SUBSTITUTE(SUBSTITUTE(SUBSTITUTE(TRIM(Respostas_Brutas!AS174),"R$",""),".",""),",","."))),0)-IFERROR(VALUE(TRIM(SUBSTITUTE(SUBSTITUTE(SUBSTITUTE(TRIM(Respostas_Brutas!T174),"R$",""),".",""),",","."))),0))/IFERROR(VALUE(TRIM(SUBSTITUTE(SUBSTITUTE(SUBSTITUTE(TRIM(Respostas_Brutas!AS174),"R$",""),".",""),",","."))),0)),""))</f>
        <v/>
      </c>
      <c r="C174" s="4" t="str">
        <f>IF(Respostas_Brutas!B174="","",MIN(1,(IFERROR(VALUE(LEFT(Respostas_Brutas!I174,IFERROR(FIND(" ",Respostas_Brutas!I174)-1,LEN(Respostas_Brutas!I174)))),0)+IFERROR(VALUE(LEFT(Respostas_Brutas!O174,IFERROR(FIND(" ",Respostas_Brutas!O174)-1,LEN(Respostas_Brutas!O174)))),0))/20))</f>
        <v/>
      </c>
      <c r="D174" s="4" t="str">
        <f>IF(Respostas_Brutas!B174="","",IF(Respostas_Brutas!D174="","",MIN(1,MAX(0,(YEAR(TODAY())-N(Respostas_Brutas!D174))/15))))</f>
        <v/>
      </c>
      <c r="E174" s="4" t="str">
        <f>IF(Respostas_Brutas!B174="","",IF(ISNUMBER(SEARCH("Sim",Respostas_Brutas!S174)),1,0))</f>
        <v/>
      </c>
      <c r="F174" s="4" t="str">
        <f>IF(Respostas_Brutas!B174="","",IFERROR(N(Respostas_Brutas!Y174)/N(Respostas_Brutas!Z174),""))</f>
        <v/>
      </c>
      <c r="G174" s="4" t="str">
        <f>IF(Respostas_Brutas!B174="","",IF(Respostas_Brutas!K174&lt;&gt;"",1,0))</f>
        <v/>
      </c>
      <c r="H174" s="4" t="str">
        <f>IF(Respostas_Brutas!B174="","",IF(ISNUMBER(SEARCH("Não",Respostas_Brutas!AH174)),1,0))</f>
        <v/>
      </c>
      <c r="I174" s="4" t="str">
        <f>IF(Respostas_Brutas!B174="","",IF(ISNUMBER(SEARCH("Sim",Respostas_Brutas!AL174)),1,0))</f>
        <v/>
      </c>
      <c r="J174" s="4" t="str">
        <f>IF(Respostas_Brutas!B174="","",IF(Respostas_Brutas!AN174="","",MIN(1,MAX(0,(N(Respostas_Brutas!AN174)-1)/4))))</f>
        <v/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tr">
        <f>IF(Respostas_Brutas!B175="","",Respostas_Brutas!B175)</f>
        <v/>
      </c>
      <c r="B175" s="4" t="str">
        <f>IF(Respostas_Brutas!B175="","",IFERROR(IF(IFERROR(VALUE(TRIM(SUBSTITUTE(SUBSTITUTE(SUBSTITUTE(TRIM(Respostas_Brutas!AS175),"R$",""),".",""),",","."))),0)=0,"",(IFERROR(VALUE(TRIM(SUBSTITUTE(SUBSTITUTE(SUBSTITUTE(TRIM(Respostas_Brutas!AS175),"R$",""),".",""),",","."))),0)-IFERROR(VALUE(TRIM(SUBSTITUTE(SUBSTITUTE(SUBSTITUTE(TRIM(Respostas_Brutas!T175),"R$",""),".",""),",","."))),0))/IFERROR(VALUE(TRIM(SUBSTITUTE(SUBSTITUTE(SUBSTITUTE(TRIM(Respostas_Brutas!AS175),"R$",""),".",""),",","."))),0)),""))</f>
        <v/>
      </c>
      <c r="C175" s="4" t="str">
        <f>IF(Respostas_Brutas!B175="","",MIN(1,(IFERROR(VALUE(LEFT(Respostas_Brutas!I175,IFERROR(FIND(" ",Respostas_Brutas!I175)-1,LEN(Respostas_Brutas!I175)))),0)+IFERROR(VALUE(LEFT(Respostas_Brutas!O175,IFERROR(FIND(" ",Respostas_Brutas!O175)-1,LEN(Respostas_Brutas!O175)))),0))/20))</f>
        <v/>
      </c>
      <c r="D175" s="4" t="str">
        <f>IF(Respostas_Brutas!B175="","",IF(Respostas_Brutas!D175="","",MIN(1,MAX(0,(YEAR(TODAY())-N(Respostas_Brutas!D175))/15))))</f>
        <v/>
      </c>
      <c r="E175" s="4" t="str">
        <f>IF(Respostas_Brutas!B175="","",IF(ISNUMBER(SEARCH("Sim",Respostas_Brutas!S175)),1,0))</f>
        <v/>
      </c>
      <c r="F175" s="4" t="str">
        <f>IF(Respostas_Brutas!B175="","",IFERROR(N(Respostas_Brutas!Y175)/N(Respostas_Brutas!Z175),""))</f>
        <v/>
      </c>
      <c r="G175" s="4" t="str">
        <f>IF(Respostas_Brutas!B175="","",IF(Respostas_Brutas!K175&lt;&gt;"",1,0))</f>
        <v/>
      </c>
      <c r="H175" s="4" t="str">
        <f>IF(Respostas_Brutas!B175="","",IF(ISNUMBER(SEARCH("Não",Respostas_Brutas!AH175)),1,0))</f>
        <v/>
      </c>
      <c r="I175" s="4" t="str">
        <f>IF(Respostas_Brutas!B175="","",IF(ISNUMBER(SEARCH("Sim",Respostas_Brutas!AL175)),1,0))</f>
        <v/>
      </c>
      <c r="J175" s="4" t="str">
        <f>IF(Respostas_Brutas!B175="","",IF(Respostas_Brutas!AN175="","",MIN(1,MAX(0,(N(Respostas_Brutas!AN175)-1)/4))))</f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tr">
        <f>IF(Respostas_Brutas!B176="","",Respostas_Brutas!B176)</f>
        <v/>
      </c>
      <c r="B176" s="4" t="str">
        <f>IF(Respostas_Brutas!B176="","",IFERROR(IF(IFERROR(VALUE(TRIM(SUBSTITUTE(SUBSTITUTE(SUBSTITUTE(TRIM(Respostas_Brutas!AS176),"R$",""),".",""),",","."))),0)=0,"",(IFERROR(VALUE(TRIM(SUBSTITUTE(SUBSTITUTE(SUBSTITUTE(TRIM(Respostas_Brutas!AS176),"R$",""),".",""),",","."))),0)-IFERROR(VALUE(TRIM(SUBSTITUTE(SUBSTITUTE(SUBSTITUTE(TRIM(Respostas_Brutas!T176),"R$",""),".",""),",","."))),0))/IFERROR(VALUE(TRIM(SUBSTITUTE(SUBSTITUTE(SUBSTITUTE(TRIM(Respostas_Brutas!AS176),"R$",""),".",""),",","."))),0)),""))</f>
        <v/>
      </c>
      <c r="C176" s="4" t="str">
        <f>IF(Respostas_Brutas!B176="","",MIN(1,(IFERROR(VALUE(LEFT(Respostas_Brutas!I176,IFERROR(FIND(" ",Respostas_Brutas!I176)-1,LEN(Respostas_Brutas!I176)))),0)+IFERROR(VALUE(LEFT(Respostas_Brutas!O176,IFERROR(FIND(" ",Respostas_Brutas!O176)-1,LEN(Respostas_Brutas!O176)))),0))/20))</f>
        <v/>
      </c>
      <c r="D176" s="4" t="str">
        <f>IF(Respostas_Brutas!B176="","",IF(Respostas_Brutas!D176="","",MIN(1,MAX(0,(YEAR(TODAY())-N(Respostas_Brutas!D176))/15))))</f>
        <v/>
      </c>
      <c r="E176" s="4" t="str">
        <f>IF(Respostas_Brutas!B176="","",IF(ISNUMBER(SEARCH("Sim",Respostas_Brutas!S176)),1,0))</f>
        <v/>
      </c>
      <c r="F176" s="4" t="str">
        <f>IF(Respostas_Brutas!B176="","",IFERROR(N(Respostas_Brutas!Y176)/N(Respostas_Brutas!Z176),""))</f>
        <v/>
      </c>
      <c r="G176" s="4" t="str">
        <f>IF(Respostas_Brutas!B176="","",IF(Respostas_Brutas!K176&lt;&gt;"",1,0))</f>
        <v/>
      </c>
      <c r="H176" s="4" t="str">
        <f>IF(Respostas_Brutas!B176="","",IF(ISNUMBER(SEARCH("Não",Respostas_Brutas!AH176)),1,0))</f>
        <v/>
      </c>
      <c r="I176" s="4" t="str">
        <f>IF(Respostas_Brutas!B176="","",IF(ISNUMBER(SEARCH("Sim",Respostas_Brutas!AL176)),1,0))</f>
        <v/>
      </c>
      <c r="J176" s="4" t="str">
        <f>IF(Respostas_Brutas!B176="","",IF(Respostas_Brutas!AN176="","",MIN(1,MAX(0,(N(Respostas_Brutas!AN176)-1)/4))))</f>
        <v/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tr">
        <f>IF(Respostas_Brutas!B177="","",Respostas_Brutas!B177)</f>
        <v/>
      </c>
      <c r="B177" s="4" t="str">
        <f>IF(Respostas_Brutas!B177="","",IFERROR(IF(IFERROR(VALUE(TRIM(SUBSTITUTE(SUBSTITUTE(SUBSTITUTE(TRIM(Respostas_Brutas!AS177),"R$",""),".",""),",","."))),0)=0,"",(IFERROR(VALUE(TRIM(SUBSTITUTE(SUBSTITUTE(SUBSTITUTE(TRIM(Respostas_Brutas!AS177),"R$",""),".",""),",","."))),0)-IFERROR(VALUE(TRIM(SUBSTITUTE(SUBSTITUTE(SUBSTITUTE(TRIM(Respostas_Brutas!T177),"R$",""),".",""),",","."))),0))/IFERROR(VALUE(TRIM(SUBSTITUTE(SUBSTITUTE(SUBSTITUTE(TRIM(Respostas_Brutas!AS177),"R$",""),".",""),",","."))),0)),""))</f>
        <v/>
      </c>
      <c r="C177" s="4" t="str">
        <f>IF(Respostas_Brutas!B177="","",MIN(1,(IFERROR(VALUE(LEFT(Respostas_Brutas!I177,IFERROR(FIND(" ",Respostas_Brutas!I177)-1,LEN(Respostas_Brutas!I177)))),0)+IFERROR(VALUE(LEFT(Respostas_Brutas!O177,IFERROR(FIND(" ",Respostas_Brutas!O177)-1,LEN(Respostas_Brutas!O177)))),0))/20))</f>
        <v/>
      </c>
      <c r="D177" s="4" t="str">
        <f>IF(Respostas_Brutas!B177="","",IF(Respostas_Brutas!D177="","",MIN(1,MAX(0,(YEAR(TODAY())-N(Respostas_Brutas!D177))/15))))</f>
        <v/>
      </c>
      <c r="E177" s="4" t="str">
        <f>IF(Respostas_Brutas!B177="","",IF(ISNUMBER(SEARCH("Sim",Respostas_Brutas!S177)),1,0))</f>
        <v/>
      </c>
      <c r="F177" s="4" t="str">
        <f>IF(Respostas_Brutas!B177="","",IFERROR(N(Respostas_Brutas!Y177)/N(Respostas_Brutas!Z177),""))</f>
        <v/>
      </c>
      <c r="G177" s="4" t="str">
        <f>IF(Respostas_Brutas!B177="","",IF(Respostas_Brutas!K177&lt;&gt;"",1,0))</f>
        <v/>
      </c>
      <c r="H177" s="4" t="str">
        <f>IF(Respostas_Brutas!B177="","",IF(ISNUMBER(SEARCH("Não",Respostas_Brutas!AH177)),1,0))</f>
        <v/>
      </c>
      <c r="I177" s="4" t="str">
        <f>IF(Respostas_Brutas!B177="","",IF(ISNUMBER(SEARCH("Sim",Respostas_Brutas!AL177)),1,0))</f>
        <v/>
      </c>
      <c r="J177" s="4" t="str">
        <f>IF(Respostas_Brutas!B177="","",IF(Respostas_Brutas!AN177="","",MIN(1,MAX(0,(N(Respostas_Brutas!AN177)-1)/4))))</f>
        <v/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tr">
        <f>IF(Respostas_Brutas!B178="","",Respostas_Brutas!B178)</f>
        <v/>
      </c>
      <c r="B178" s="4" t="str">
        <f>IF(Respostas_Brutas!B178="","",IFERROR(IF(IFERROR(VALUE(TRIM(SUBSTITUTE(SUBSTITUTE(SUBSTITUTE(TRIM(Respostas_Brutas!AS178),"R$",""),".",""),",","."))),0)=0,"",(IFERROR(VALUE(TRIM(SUBSTITUTE(SUBSTITUTE(SUBSTITUTE(TRIM(Respostas_Brutas!AS178),"R$",""),".",""),",","."))),0)-IFERROR(VALUE(TRIM(SUBSTITUTE(SUBSTITUTE(SUBSTITUTE(TRIM(Respostas_Brutas!T178),"R$",""),".",""),",","."))),0))/IFERROR(VALUE(TRIM(SUBSTITUTE(SUBSTITUTE(SUBSTITUTE(TRIM(Respostas_Brutas!AS178),"R$",""),".",""),",","."))),0)),""))</f>
        <v/>
      </c>
      <c r="C178" s="4" t="str">
        <f>IF(Respostas_Brutas!B178="","",MIN(1,(IFERROR(VALUE(LEFT(Respostas_Brutas!I178,IFERROR(FIND(" ",Respostas_Brutas!I178)-1,LEN(Respostas_Brutas!I178)))),0)+IFERROR(VALUE(LEFT(Respostas_Brutas!O178,IFERROR(FIND(" ",Respostas_Brutas!O178)-1,LEN(Respostas_Brutas!O178)))),0))/20))</f>
        <v/>
      </c>
      <c r="D178" s="4" t="str">
        <f>IF(Respostas_Brutas!B178="","",IF(Respostas_Brutas!D178="","",MIN(1,MAX(0,(YEAR(TODAY())-N(Respostas_Brutas!D178))/15))))</f>
        <v/>
      </c>
      <c r="E178" s="4" t="str">
        <f>IF(Respostas_Brutas!B178="","",IF(ISNUMBER(SEARCH("Sim",Respostas_Brutas!S178)),1,0))</f>
        <v/>
      </c>
      <c r="F178" s="4" t="str">
        <f>IF(Respostas_Brutas!B178="","",IFERROR(N(Respostas_Brutas!Y178)/N(Respostas_Brutas!Z178),""))</f>
        <v/>
      </c>
      <c r="G178" s="4" t="str">
        <f>IF(Respostas_Brutas!B178="","",IF(Respostas_Brutas!K178&lt;&gt;"",1,0))</f>
        <v/>
      </c>
      <c r="H178" s="4" t="str">
        <f>IF(Respostas_Brutas!B178="","",IF(ISNUMBER(SEARCH("Não",Respostas_Brutas!AH178)),1,0))</f>
        <v/>
      </c>
      <c r="I178" s="4" t="str">
        <f>IF(Respostas_Brutas!B178="","",IF(ISNUMBER(SEARCH("Sim",Respostas_Brutas!AL178)),1,0))</f>
        <v/>
      </c>
      <c r="J178" s="4" t="str">
        <f>IF(Respostas_Brutas!B178="","",IF(Respostas_Brutas!AN178="","",MIN(1,MAX(0,(N(Respostas_Brutas!AN178)-1)/4))))</f>
        <v/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tr">
        <f>IF(Respostas_Brutas!B179="","",Respostas_Brutas!B179)</f>
        <v/>
      </c>
      <c r="B179" s="4" t="str">
        <f>IF(Respostas_Brutas!B179="","",IFERROR(IF(IFERROR(VALUE(TRIM(SUBSTITUTE(SUBSTITUTE(SUBSTITUTE(TRIM(Respostas_Brutas!AS179),"R$",""),".",""),",","."))),0)=0,"",(IFERROR(VALUE(TRIM(SUBSTITUTE(SUBSTITUTE(SUBSTITUTE(TRIM(Respostas_Brutas!AS179),"R$",""),".",""),",","."))),0)-IFERROR(VALUE(TRIM(SUBSTITUTE(SUBSTITUTE(SUBSTITUTE(TRIM(Respostas_Brutas!T179),"R$",""),".",""),",","."))),0))/IFERROR(VALUE(TRIM(SUBSTITUTE(SUBSTITUTE(SUBSTITUTE(TRIM(Respostas_Brutas!AS179),"R$",""),".",""),",","."))),0)),""))</f>
        <v/>
      </c>
      <c r="C179" s="4" t="str">
        <f>IF(Respostas_Brutas!B179="","",MIN(1,(IFERROR(VALUE(LEFT(Respostas_Brutas!I179,IFERROR(FIND(" ",Respostas_Brutas!I179)-1,LEN(Respostas_Brutas!I179)))),0)+IFERROR(VALUE(LEFT(Respostas_Brutas!O179,IFERROR(FIND(" ",Respostas_Brutas!O179)-1,LEN(Respostas_Brutas!O179)))),0))/20))</f>
        <v/>
      </c>
      <c r="D179" s="4" t="str">
        <f>IF(Respostas_Brutas!B179="","",IF(Respostas_Brutas!D179="","",MIN(1,MAX(0,(YEAR(TODAY())-N(Respostas_Brutas!D179))/15))))</f>
        <v/>
      </c>
      <c r="E179" s="4" t="str">
        <f>IF(Respostas_Brutas!B179="","",IF(ISNUMBER(SEARCH("Sim",Respostas_Brutas!S179)),1,0))</f>
        <v/>
      </c>
      <c r="F179" s="4" t="str">
        <f>IF(Respostas_Brutas!B179="","",IFERROR(N(Respostas_Brutas!Y179)/N(Respostas_Brutas!Z179),""))</f>
        <v/>
      </c>
      <c r="G179" s="4" t="str">
        <f>IF(Respostas_Brutas!B179="","",IF(Respostas_Brutas!K179&lt;&gt;"",1,0))</f>
        <v/>
      </c>
      <c r="H179" s="4" t="str">
        <f>IF(Respostas_Brutas!B179="","",IF(ISNUMBER(SEARCH("Não",Respostas_Brutas!AH179)),1,0))</f>
        <v/>
      </c>
      <c r="I179" s="4" t="str">
        <f>IF(Respostas_Brutas!B179="","",IF(ISNUMBER(SEARCH("Sim",Respostas_Brutas!AL179)),1,0))</f>
        <v/>
      </c>
      <c r="J179" s="4" t="str">
        <f>IF(Respostas_Brutas!B179="","",IF(Respostas_Brutas!AN179="","",MIN(1,MAX(0,(N(Respostas_Brutas!AN179)-1)/4))))</f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tr">
        <f>IF(Respostas_Brutas!B180="","",Respostas_Brutas!B180)</f>
        <v/>
      </c>
      <c r="B180" s="4" t="str">
        <f>IF(Respostas_Brutas!B180="","",IFERROR(IF(IFERROR(VALUE(TRIM(SUBSTITUTE(SUBSTITUTE(SUBSTITUTE(TRIM(Respostas_Brutas!AS180),"R$",""),".",""),",","."))),0)=0,"",(IFERROR(VALUE(TRIM(SUBSTITUTE(SUBSTITUTE(SUBSTITUTE(TRIM(Respostas_Brutas!AS180),"R$",""),".",""),",","."))),0)-IFERROR(VALUE(TRIM(SUBSTITUTE(SUBSTITUTE(SUBSTITUTE(TRIM(Respostas_Brutas!T180),"R$",""),".",""),",","."))),0))/IFERROR(VALUE(TRIM(SUBSTITUTE(SUBSTITUTE(SUBSTITUTE(TRIM(Respostas_Brutas!AS180),"R$",""),".",""),",","."))),0)),""))</f>
        <v/>
      </c>
      <c r="C180" s="4" t="str">
        <f>IF(Respostas_Brutas!B180="","",MIN(1,(IFERROR(VALUE(LEFT(Respostas_Brutas!I180,IFERROR(FIND(" ",Respostas_Brutas!I180)-1,LEN(Respostas_Brutas!I180)))),0)+IFERROR(VALUE(LEFT(Respostas_Brutas!O180,IFERROR(FIND(" ",Respostas_Brutas!O180)-1,LEN(Respostas_Brutas!O180)))),0))/20))</f>
        <v/>
      </c>
      <c r="D180" s="4" t="str">
        <f>IF(Respostas_Brutas!B180="","",IF(Respostas_Brutas!D180="","",MIN(1,MAX(0,(YEAR(TODAY())-N(Respostas_Brutas!D180))/15))))</f>
        <v/>
      </c>
      <c r="E180" s="4" t="str">
        <f>IF(Respostas_Brutas!B180="","",IF(ISNUMBER(SEARCH("Sim",Respostas_Brutas!S180)),1,0))</f>
        <v/>
      </c>
      <c r="F180" s="4" t="str">
        <f>IF(Respostas_Brutas!B180="","",IFERROR(N(Respostas_Brutas!Y180)/N(Respostas_Brutas!Z180),""))</f>
        <v/>
      </c>
      <c r="G180" s="4" t="str">
        <f>IF(Respostas_Brutas!B180="","",IF(Respostas_Brutas!K180&lt;&gt;"",1,0))</f>
        <v/>
      </c>
      <c r="H180" s="4" t="str">
        <f>IF(Respostas_Brutas!B180="","",IF(ISNUMBER(SEARCH("Não",Respostas_Brutas!AH180)),1,0))</f>
        <v/>
      </c>
      <c r="I180" s="4" t="str">
        <f>IF(Respostas_Brutas!B180="","",IF(ISNUMBER(SEARCH("Sim",Respostas_Brutas!AL180)),1,0))</f>
        <v/>
      </c>
      <c r="J180" s="4" t="str">
        <f>IF(Respostas_Brutas!B180="","",IF(Respostas_Brutas!AN180="","",MIN(1,MAX(0,(N(Respostas_Brutas!AN180)-1)/4))))</f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tr">
        <f>IF(Respostas_Brutas!B181="","",Respostas_Brutas!B181)</f>
        <v/>
      </c>
      <c r="B181" s="4" t="str">
        <f>IF(Respostas_Brutas!B181="","",IFERROR(IF(IFERROR(VALUE(TRIM(SUBSTITUTE(SUBSTITUTE(SUBSTITUTE(TRIM(Respostas_Brutas!AS181),"R$",""),".",""),",","."))),0)=0,"",(IFERROR(VALUE(TRIM(SUBSTITUTE(SUBSTITUTE(SUBSTITUTE(TRIM(Respostas_Brutas!AS181),"R$",""),".",""),",","."))),0)-IFERROR(VALUE(TRIM(SUBSTITUTE(SUBSTITUTE(SUBSTITUTE(TRIM(Respostas_Brutas!T181),"R$",""),".",""),",","."))),0))/IFERROR(VALUE(TRIM(SUBSTITUTE(SUBSTITUTE(SUBSTITUTE(TRIM(Respostas_Brutas!AS181),"R$",""),".",""),",","."))),0)),""))</f>
        <v/>
      </c>
      <c r="C181" s="4" t="str">
        <f>IF(Respostas_Brutas!B181="","",MIN(1,(IFERROR(VALUE(LEFT(Respostas_Brutas!I181,IFERROR(FIND(" ",Respostas_Brutas!I181)-1,LEN(Respostas_Brutas!I181)))),0)+IFERROR(VALUE(LEFT(Respostas_Brutas!O181,IFERROR(FIND(" ",Respostas_Brutas!O181)-1,LEN(Respostas_Brutas!O181)))),0))/20))</f>
        <v/>
      </c>
      <c r="D181" s="4" t="str">
        <f>IF(Respostas_Brutas!B181="","",IF(Respostas_Brutas!D181="","",MIN(1,MAX(0,(YEAR(TODAY())-N(Respostas_Brutas!D181))/15))))</f>
        <v/>
      </c>
      <c r="E181" s="4" t="str">
        <f>IF(Respostas_Brutas!B181="","",IF(ISNUMBER(SEARCH("Sim",Respostas_Brutas!S181)),1,0))</f>
        <v/>
      </c>
      <c r="F181" s="4" t="str">
        <f>IF(Respostas_Brutas!B181="","",IFERROR(N(Respostas_Brutas!Y181)/N(Respostas_Brutas!Z181),""))</f>
        <v/>
      </c>
      <c r="G181" s="4" t="str">
        <f>IF(Respostas_Brutas!B181="","",IF(Respostas_Brutas!K181&lt;&gt;"",1,0))</f>
        <v/>
      </c>
      <c r="H181" s="4" t="str">
        <f>IF(Respostas_Brutas!B181="","",IF(ISNUMBER(SEARCH("Não",Respostas_Brutas!AH181)),1,0))</f>
        <v/>
      </c>
      <c r="I181" s="4" t="str">
        <f>IF(Respostas_Brutas!B181="","",IF(ISNUMBER(SEARCH("Sim",Respostas_Brutas!AL181)),1,0))</f>
        <v/>
      </c>
      <c r="J181" s="4" t="str">
        <f>IF(Respostas_Brutas!B181="","",IF(Respostas_Brutas!AN181="","",MIN(1,MAX(0,(N(Respostas_Brutas!AN181)-1)/4))))</f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tr">
        <f>IF(Respostas_Brutas!B182="","",Respostas_Brutas!B182)</f>
        <v/>
      </c>
      <c r="B182" s="4" t="str">
        <f>IF(Respostas_Brutas!B182="","",IFERROR(IF(IFERROR(VALUE(TRIM(SUBSTITUTE(SUBSTITUTE(SUBSTITUTE(TRIM(Respostas_Brutas!AS182),"R$",""),".",""),",","."))),0)=0,"",(IFERROR(VALUE(TRIM(SUBSTITUTE(SUBSTITUTE(SUBSTITUTE(TRIM(Respostas_Brutas!AS182),"R$",""),".",""),",","."))),0)-IFERROR(VALUE(TRIM(SUBSTITUTE(SUBSTITUTE(SUBSTITUTE(TRIM(Respostas_Brutas!T182),"R$",""),".",""),",","."))),0))/IFERROR(VALUE(TRIM(SUBSTITUTE(SUBSTITUTE(SUBSTITUTE(TRIM(Respostas_Brutas!AS182),"R$",""),".",""),",","."))),0)),""))</f>
        <v/>
      </c>
      <c r="C182" s="4" t="str">
        <f>IF(Respostas_Brutas!B182="","",MIN(1,(IFERROR(VALUE(LEFT(Respostas_Brutas!I182,IFERROR(FIND(" ",Respostas_Brutas!I182)-1,LEN(Respostas_Brutas!I182)))),0)+IFERROR(VALUE(LEFT(Respostas_Brutas!O182,IFERROR(FIND(" ",Respostas_Brutas!O182)-1,LEN(Respostas_Brutas!O182)))),0))/20))</f>
        <v/>
      </c>
      <c r="D182" s="4" t="str">
        <f>IF(Respostas_Brutas!B182="","",IF(Respostas_Brutas!D182="","",MIN(1,MAX(0,(YEAR(TODAY())-N(Respostas_Brutas!D182))/15))))</f>
        <v/>
      </c>
      <c r="E182" s="4" t="str">
        <f>IF(Respostas_Brutas!B182="","",IF(ISNUMBER(SEARCH("Sim",Respostas_Brutas!S182)),1,0))</f>
        <v/>
      </c>
      <c r="F182" s="4" t="str">
        <f>IF(Respostas_Brutas!B182="","",IFERROR(N(Respostas_Brutas!Y182)/N(Respostas_Brutas!Z182),""))</f>
        <v/>
      </c>
      <c r="G182" s="4" t="str">
        <f>IF(Respostas_Brutas!B182="","",IF(Respostas_Brutas!K182&lt;&gt;"",1,0))</f>
        <v/>
      </c>
      <c r="H182" s="4" t="str">
        <f>IF(Respostas_Brutas!B182="","",IF(ISNUMBER(SEARCH("Não",Respostas_Brutas!AH182)),1,0))</f>
        <v/>
      </c>
      <c r="I182" s="4" t="str">
        <f>IF(Respostas_Brutas!B182="","",IF(ISNUMBER(SEARCH("Sim",Respostas_Brutas!AL182)),1,0))</f>
        <v/>
      </c>
      <c r="J182" s="4" t="str">
        <f>IF(Respostas_Brutas!B182="","",IF(Respostas_Brutas!AN182="","",MIN(1,MAX(0,(N(Respostas_Brutas!AN182)-1)/4))))</f>
        <v/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tr">
        <f>IF(Respostas_Brutas!B183="","",Respostas_Brutas!B183)</f>
        <v/>
      </c>
      <c r="B183" s="4" t="str">
        <f>IF(Respostas_Brutas!B183="","",IFERROR(IF(IFERROR(VALUE(TRIM(SUBSTITUTE(SUBSTITUTE(SUBSTITUTE(TRIM(Respostas_Brutas!AS183),"R$",""),".",""),",","."))),0)=0,"",(IFERROR(VALUE(TRIM(SUBSTITUTE(SUBSTITUTE(SUBSTITUTE(TRIM(Respostas_Brutas!AS183),"R$",""),".",""),",","."))),0)-IFERROR(VALUE(TRIM(SUBSTITUTE(SUBSTITUTE(SUBSTITUTE(TRIM(Respostas_Brutas!T183),"R$",""),".",""),",","."))),0))/IFERROR(VALUE(TRIM(SUBSTITUTE(SUBSTITUTE(SUBSTITUTE(TRIM(Respostas_Brutas!AS183),"R$",""),".",""),",","."))),0)),""))</f>
        <v/>
      </c>
      <c r="C183" s="4" t="str">
        <f>IF(Respostas_Brutas!B183="","",MIN(1,(IFERROR(VALUE(LEFT(Respostas_Brutas!I183,IFERROR(FIND(" ",Respostas_Brutas!I183)-1,LEN(Respostas_Brutas!I183)))),0)+IFERROR(VALUE(LEFT(Respostas_Brutas!O183,IFERROR(FIND(" ",Respostas_Brutas!O183)-1,LEN(Respostas_Brutas!O183)))),0))/20))</f>
        <v/>
      </c>
      <c r="D183" s="4" t="str">
        <f>IF(Respostas_Brutas!B183="","",IF(Respostas_Brutas!D183="","",MIN(1,MAX(0,(YEAR(TODAY())-N(Respostas_Brutas!D183))/15))))</f>
        <v/>
      </c>
      <c r="E183" s="4" t="str">
        <f>IF(Respostas_Brutas!B183="","",IF(ISNUMBER(SEARCH("Sim",Respostas_Brutas!S183)),1,0))</f>
        <v/>
      </c>
      <c r="F183" s="4" t="str">
        <f>IF(Respostas_Brutas!B183="","",IFERROR(N(Respostas_Brutas!Y183)/N(Respostas_Brutas!Z183),""))</f>
        <v/>
      </c>
      <c r="G183" s="4" t="str">
        <f>IF(Respostas_Brutas!B183="","",IF(Respostas_Brutas!K183&lt;&gt;"",1,0))</f>
        <v/>
      </c>
      <c r="H183" s="4" t="str">
        <f>IF(Respostas_Brutas!B183="","",IF(ISNUMBER(SEARCH("Não",Respostas_Brutas!AH183)),1,0))</f>
        <v/>
      </c>
      <c r="I183" s="4" t="str">
        <f>IF(Respostas_Brutas!B183="","",IF(ISNUMBER(SEARCH("Sim",Respostas_Brutas!AL183)),1,0))</f>
        <v/>
      </c>
      <c r="J183" s="4" t="str">
        <f>IF(Respostas_Brutas!B183="","",IF(Respostas_Brutas!AN183="","",MIN(1,MAX(0,(N(Respostas_Brutas!AN183)-1)/4))))</f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tr">
        <f>IF(Respostas_Brutas!B184="","",Respostas_Brutas!B184)</f>
        <v/>
      </c>
      <c r="B184" s="4" t="str">
        <f>IF(Respostas_Brutas!B184="","",IFERROR(IF(IFERROR(VALUE(TRIM(SUBSTITUTE(SUBSTITUTE(SUBSTITUTE(TRIM(Respostas_Brutas!AS184),"R$",""),".",""),",","."))),0)=0,"",(IFERROR(VALUE(TRIM(SUBSTITUTE(SUBSTITUTE(SUBSTITUTE(TRIM(Respostas_Brutas!AS184),"R$",""),".",""),",","."))),0)-IFERROR(VALUE(TRIM(SUBSTITUTE(SUBSTITUTE(SUBSTITUTE(TRIM(Respostas_Brutas!T184),"R$",""),".",""),",","."))),0))/IFERROR(VALUE(TRIM(SUBSTITUTE(SUBSTITUTE(SUBSTITUTE(TRIM(Respostas_Brutas!AS184),"R$",""),".",""),",","."))),0)),""))</f>
        <v/>
      </c>
      <c r="C184" s="4" t="str">
        <f>IF(Respostas_Brutas!B184="","",MIN(1,(IFERROR(VALUE(LEFT(Respostas_Brutas!I184,IFERROR(FIND(" ",Respostas_Brutas!I184)-1,LEN(Respostas_Brutas!I184)))),0)+IFERROR(VALUE(LEFT(Respostas_Brutas!O184,IFERROR(FIND(" ",Respostas_Brutas!O184)-1,LEN(Respostas_Brutas!O184)))),0))/20))</f>
        <v/>
      </c>
      <c r="D184" s="4" t="str">
        <f>IF(Respostas_Brutas!B184="","",IF(Respostas_Brutas!D184="","",MIN(1,MAX(0,(YEAR(TODAY())-N(Respostas_Brutas!D184))/15))))</f>
        <v/>
      </c>
      <c r="E184" s="4" t="str">
        <f>IF(Respostas_Brutas!B184="","",IF(ISNUMBER(SEARCH("Sim",Respostas_Brutas!S184)),1,0))</f>
        <v/>
      </c>
      <c r="F184" s="4" t="str">
        <f>IF(Respostas_Brutas!B184="","",IFERROR(N(Respostas_Brutas!Y184)/N(Respostas_Brutas!Z184),""))</f>
        <v/>
      </c>
      <c r="G184" s="4" t="str">
        <f>IF(Respostas_Brutas!B184="","",IF(Respostas_Brutas!K184&lt;&gt;"",1,0))</f>
        <v/>
      </c>
      <c r="H184" s="4" t="str">
        <f>IF(Respostas_Brutas!B184="","",IF(ISNUMBER(SEARCH("Não",Respostas_Brutas!AH184)),1,0))</f>
        <v/>
      </c>
      <c r="I184" s="4" t="str">
        <f>IF(Respostas_Brutas!B184="","",IF(ISNUMBER(SEARCH("Sim",Respostas_Brutas!AL184)),1,0))</f>
        <v/>
      </c>
      <c r="J184" s="4" t="str">
        <f>IF(Respostas_Brutas!B184="","",IF(Respostas_Brutas!AN184="","",MIN(1,MAX(0,(N(Respostas_Brutas!AN184)-1)/4))))</f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tr">
        <f>IF(Respostas_Brutas!B185="","",Respostas_Brutas!B185)</f>
        <v/>
      </c>
      <c r="B185" s="4" t="str">
        <f>IF(Respostas_Brutas!B185="","",IFERROR(IF(IFERROR(VALUE(TRIM(SUBSTITUTE(SUBSTITUTE(SUBSTITUTE(TRIM(Respostas_Brutas!AS185),"R$",""),".",""),",","."))),0)=0,"",(IFERROR(VALUE(TRIM(SUBSTITUTE(SUBSTITUTE(SUBSTITUTE(TRIM(Respostas_Brutas!AS185),"R$",""),".",""),",","."))),0)-IFERROR(VALUE(TRIM(SUBSTITUTE(SUBSTITUTE(SUBSTITUTE(TRIM(Respostas_Brutas!T185),"R$",""),".",""),",","."))),0))/IFERROR(VALUE(TRIM(SUBSTITUTE(SUBSTITUTE(SUBSTITUTE(TRIM(Respostas_Brutas!AS185),"R$",""),".",""),",","."))),0)),""))</f>
        <v/>
      </c>
      <c r="C185" s="4" t="str">
        <f>IF(Respostas_Brutas!B185="","",MIN(1,(IFERROR(VALUE(LEFT(Respostas_Brutas!I185,IFERROR(FIND(" ",Respostas_Brutas!I185)-1,LEN(Respostas_Brutas!I185)))),0)+IFERROR(VALUE(LEFT(Respostas_Brutas!O185,IFERROR(FIND(" ",Respostas_Brutas!O185)-1,LEN(Respostas_Brutas!O185)))),0))/20))</f>
        <v/>
      </c>
      <c r="D185" s="4" t="str">
        <f>IF(Respostas_Brutas!B185="","",IF(Respostas_Brutas!D185="","",MIN(1,MAX(0,(YEAR(TODAY())-N(Respostas_Brutas!D185))/15))))</f>
        <v/>
      </c>
      <c r="E185" s="4" t="str">
        <f>IF(Respostas_Brutas!B185="","",IF(ISNUMBER(SEARCH("Sim",Respostas_Brutas!S185)),1,0))</f>
        <v/>
      </c>
      <c r="F185" s="4" t="str">
        <f>IF(Respostas_Brutas!B185="","",IFERROR(N(Respostas_Brutas!Y185)/N(Respostas_Brutas!Z185),""))</f>
        <v/>
      </c>
      <c r="G185" s="4" t="str">
        <f>IF(Respostas_Brutas!B185="","",IF(Respostas_Brutas!K185&lt;&gt;"",1,0))</f>
        <v/>
      </c>
      <c r="H185" s="4" t="str">
        <f>IF(Respostas_Brutas!B185="","",IF(ISNUMBER(SEARCH("Não",Respostas_Brutas!AH185)),1,0))</f>
        <v/>
      </c>
      <c r="I185" s="4" t="str">
        <f>IF(Respostas_Brutas!B185="","",IF(ISNUMBER(SEARCH("Sim",Respostas_Brutas!AL185)),1,0))</f>
        <v/>
      </c>
      <c r="J185" s="4" t="str">
        <f>IF(Respostas_Brutas!B185="","",IF(Respostas_Brutas!AN185="","",MIN(1,MAX(0,(N(Respostas_Brutas!AN185)-1)/4))))</f>
        <v/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tr">
        <f>IF(Respostas_Brutas!B186="","",Respostas_Brutas!B186)</f>
        <v/>
      </c>
      <c r="B186" s="4" t="str">
        <f>IF(Respostas_Brutas!B186="","",IFERROR(IF(IFERROR(VALUE(TRIM(SUBSTITUTE(SUBSTITUTE(SUBSTITUTE(TRIM(Respostas_Brutas!AS186),"R$",""),".",""),",","."))),0)=0,"",(IFERROR(VALUE(TRIM(SUBSTITUTE(SUBSTITUTE(SUBSTITUTE(TRIM(Respostas_Brutas!AS186),"R$",""),".",""),",","."))),0)-IFERROR(VALUE(TRIM(SUBSTITUTE(SUBSTITUTE(SUBSTITUTE(TRIM(Respostas_Brutas!T186),"R$",""),".",""),",","."))),0))/IFERROR(VALUE(TRIM(SUBSTITUTE(SUBSTITUTE(SUBSTITUTE(TRIM(Respostas_Brutas!AS186),"R$",""),".",""),",","."))),0)),""))</f>
        <v/>
      </c>
      <c r="C186" s="4" t="str">
        <f>IF(Respostas_Brutas!B186="","",MIN(1,(IFERROR(VALUE(LEFT(Respostas_Brutas!I186,IFERROR(FIND(" ",Respostas_Brutas!I186)-1,LEN(Respostas_Brutas!I186)))),0)+IFERROR(VALUE(LEFT(Respostas_Brutas!O186,IFERROR(FIND(" ",Respostas_Brutas!O186)-1,LEN(Respostas_Brutas!O186)))),0))/20))</f>
        <v/>
      </c>
      <c r="D186" s="4" t="str">
        <f>IF(Respostas_Brutas!B186="","",IF(Respostas_Brutas!D186="","",MIN(1,MAX(0,(YEAR(TODAY())-N(Respostas_Brutas!D186))/15))))</f>
        <v/>
      </c>
      <c r="E186" s="4" t="str">
        <f>IF(Respostas_Brutas!B186="","",IF(ISNUMBER(SEARCH("Sim",Respostas_Brutas!S186)),1,0))</f>
        <v/>
      </c>
      <c r="F186" s="4" t="str">
        <f>IF(Respostas_Brutas!B186="","",IFERROR(N(Respostas_Brutas!Y186)/N(Respostas_Brutas!Z186),""))</f>
        <v/>
      </c>
      <c r="G186" s="4" t="str">
        <f>IF(Respostas_Brutas!B186="","",IF(Respostas_Brutas!K186&lt;&gt;"",1,0))</f>
        <v/>
      </c>
      <c r="H186" s="4" t="str">
        <f>IF(Respostas_Brutas!B186="","",IF(ISNUMBER(SEARCH("Não",Respostas_Brutas!AH186)),1,0))</f>
        <v/>
      </c>
      <c r="I186" s="4" t="str">
        <f>IF(Respostas_Brutas!B186="","",IF(ISNUMBER(SEARCH("Sim",Respostas_Brutas!AL186)),1,0))</f>
        <v/>
      </c>
      <c r="J186" s="4" t="str">
        <f>IF(Respostas_Brutas!B186="","",IF(Respostas_Brutas!AN186="","",MIN(1,MAX(0,(N(Respostas_Brutas!AN186)-1)/4))))</f>
        <v/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tr">
        <f>IF(Respostas_Brutas!B187="","",Respostas_Brutas!B187)</f>
        <v/>
      </c>
      <c r="B187" s="4" t="str">
        <f>IF(Respostas_Brutas!B187="","",IFERROR(IF(IFERROR(VALUE(TRIM(SUBSTITUTE(SUBSTITUTE(SUBSTITUTE(TRIM(Respostas_Brutas!AS187),"R$",""),".",""),",","."))),0)=0,"",(IFERROR(VALUE(TRIM(SUBSTITUTE(SUBSTITUTE(SUBSTITUTE(TRIM(Respostas_Brutas!AS187),"R$",""),".",""),",","."))),0)-IFERROR(VALUE(TRIM(SUBSTITUTE(SUBSTITUTE(SUBSTITUTE(TRIM(Respostas_Brutas!T187),"R$",""),".",""),",","."))),0))/IFERROR(VALUE(TRIM(SUBSTITUTE(SUBSTITUTE(SUBSTITUTE(TRIM(Respostas_Brutas!AS187),"R$",""),".",""),",","."))),0)),""))</f>
        <v/>
      </c>
      <c r="C187" s="4" t="str">
        <f>IF(Respostas_Brutas!B187="","",MIN(1,(IFERROR(VALUE(LEFT(Respostas_Brutas!I187,IFERROR(FIND(" ",Respostas_Brutas!I187)-1,LEN(Respostas_Brutas!I187)))),0)+IFERROR(VALUE(LEFT(Respostas_Brutas!O187,IFERROR(FIND(" ",Respostas_Brutas!O187)-1,LEN(Respostas_Brutas!O187)))),0))/20))</f>
        <v/>
      </c>
      <c r="D187" s="4" t="str">
        <f>IF(Respostas_Brutas!B187="","",IF(Respostas_Brutas!D187="","",MIN(1,MAX(0,(YEAR(TODAY())-N(Respostas_Brutas!D187))/15))))</f>
        <v/>
      </c>
      <c r="E187" s="4" t="str">
        <f>IF(Respostas_Brutas!B187="","",IF(ISNUMBER(SEARCH("Sim",Respostas_Brutas!S187)),1,0))</f>
        <v/>
      </c>
      <c r="F187" s="4" t="str">
        <f>IF(Respostas_Brutas!B187="","",IFERROR(N(Respostas_Brutas!Y187)/N(Respostas_Brutas!Z187),""))</f>
        <v/>
      </c>
      <c r="G187" s="4" t="str">
        <f>IF(Respostas_Brutas!B187="","",IF(Respostas_Brutas!K187&lt;&gt;"",1,0))</f>
        <v/>
      </c>
      <c r="H187" s="4" t="str">
        <f>IF(Respostas_Brutas!B187="","",IF(ISNUMBER(SEARCH("Não",Respostas_Brutas!AH187)),1,0))</f>
        <v/>
      </c>
      <c r="I187" s="4" t="str">
        <f>IF(Respostas_Brutas!B187="","",IF(ISNUMBER(SEARCH("Sim",Respostas_Brutas!AL187)),1,0))</f>
        <v/>
      </c>
      <c r="J187" s="4" t="str">
        <f>IF(Respostas_Brutas!B187="","",IF(Respostas_Brutas!AN187="","",MIN(1,MAX(0,(N(Respostas_Brutas!AN187)-1)/4))))</f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tr">
        <f>IF(Respostas_Brutas!B188="","",Respostas_Brutas!B188)</f>
        <v/>
      </c>
      <c r="B188" s="4" t="str">
        <f>IF(Respostas_Brutas!B188="","",IFERROR(IF(IFERROR(VALUE(TRIM(SUBSTITUTE(SUBSTITUTE(SUBSTITUTE(TRIM(Respostas_Brutas!AS188),"R$",""),".",""),",","."))),0)=0,"",(IFERROR(VALUE(TRIM(SUBSTITUTE(SUBSTITUTE(SUBSTITUTE(TRIM(Respostas_Brutas!AS188),"R$",""),".",""),",","."))),0)-IFERROR(VALUE(TRIM(SUBSTITUTE(SUBSTITUTE(SUBSTITUTE(TRIM(Respostas_Brutas!T188),"R$",""),".",""),",","."))),0))/IFERROR(VALUE(TRIM(SUBSTITUTE(SUBSTITUTE(SUBSTITUTE(TRIM(Respostas_Brutas!AS188),"R$",""),".",""),",","."))),0)),""))</f>
        <v/>
      </c>
      <c r="C188" s="4" t="str">
        <f>IF(Respostas_Brutas!B188="","",MIN(1,(IFERROR(VALUE(LEFT(Respostas_Brutas!I188,IFERROR(FIND(" ",Respostas_Brutas!I188)-1,LEN(Respostas_Brutas!I188)))),0)+IFERROR(VALUE(LEFT(Respostas_Brutas!O188,IFERROR(FIND(" ",Respostas_Brutas!O188)-1,LEN(Respostas_Brutas!O188)))),0))/20))</f>
        <v/>
      </c>
      <c r="D188" s="4" t="str">
        <f>IF(Respostas_Brutas!B188="","",IF(Respostas_Brutas!D188="","",MIN(1,MAX(0,(YEAR(TODAY())-N(Respostas_Brutas!D188))/15))))</f>
        <v/>
      </c>
      <c r="E188" s="4" t="str">
        <f>IF(Respostas_Brutas!B188="","",IF(ISNUMBER(SEARCH("Sim",Respostas_Brutas!S188)),1,0))</f>
        <v/>
      </c>
      <c r="F188" s="4" t="str">
        <f>IF(Respostas_Brutas!B188="","",IFERROR(N(Respostas_Brutas!Y188)/N(Respostas_Brutas!Z188),""))</f>
        <v/>
      </c>
      <c r="G188" s="4" t="str">
        <f>IF(Respostas_Brutas!B188="","",IF(Respostas_Brutas!K188&lt;&gt;"",1,0))</f>
        <v/>
      </c>
      <c r="H188" s="4" t="str">
        <f>IF(Respostas_Brutas!B188="","",IF(ISNUMBER(SEARCH("Não",Respostas_Brutas!AH188)),1,0))</f>
        <v/>
      </c>
      <c r="I188" s="4" t="str">
        <f>IF(Respostas_Brutas!B188="","",IF(ISNUMBER(SEARCH("Sim",Respostas_Brutas!AL188)),1,0))</f>
        <v/>
      </c>
      <c r="J188" s="4" t="str">
        <f>IF(Respostas_Brutas!B188="","",IF(Respostas_Brutas!AN188="","",MIN(1,MAX(0,(N(Respostas_Brutas!AN188)-1)/4))))</f>
        <v/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tr">
        <f>IF(Respostas_Brutas!B189="","",Respostas_Brutas!B189)</f>
        <v/>
      </c>
      <c r="B189" s="4" t="str">
        <f>IF(Respostas_Brutas!B189="","",IFERROR(IF(IFERROR(VALUE(TRIM(SUBSTITUTE(SUBSTITUTE(SUBSTITUTE(TRIM(Respostas_Brutas!AS189),"R$",""),".",""),",","."))),0)=0,"",(IFERROR(VALUE(TRIM(SUBSTITUTE(SUBSTITUTE(SUBSTITUTE(TRIM(Respostas_Brutas!AS189),"R$",""),".",""),",","."))),0)-IFERROR(VALUE(TRIM(SUBSTITUTE(SUBSTITUTE(SUBSTITUTE(TRIM(Respostas_Brutas!T189),"R$",""),".",""),",","."))),0))/IFERROR(VALUE(TRIM(SUBSTITUTE(SUBSTITUTE(SUBSTITUTE(TRIM(Respostas_Brutas!AS189),"R$",""),".",""),",","."))),0)),""))</f>
        <v/>
      </c>
      <c r="C189" s="4" t="str">
        <f>IF(Respostas_Brutas!B189="","",MIN(1,(IFERROR(VALUE(LEFT(Respostas_Brutas!I189,IFERROR(FIND(" ",Respostas_Brutas!I189)-1,LEN(Respostas_Brutas!I189)))),0)+IFERROR(VALUE(LEFT(Respostas_Brutas!O189,IFERROR(FIND(" ",Respostas_Brutas!O189)-1,LEN(Respostas_Brutas!O189)))),0))/20))</f>
        <v/>
      </c>
      <c r="D189" s="4" t="str">
        <f>IF(Respostas_Brutas!B189="","",IF(Respostas_Brutas!D189="","",MIN(1,MAX(0,(YEAR(TODAY())-N(Respostas_Brutas!D189))/15))))</f>
        <v/>
      </c>
      <c r="E189" s="4" t="str">
        <f>IF(Respostas_Brutas!B189="","",IF(ISNUMBER(SEARCH("Sim",Respostas_Brutas!S189)),1,0))</f>
        <v/>
      </c>
      <c r="F189" s="4" t="str">
        <f>IF(Respostas_Brutas!B189="","",IFERROR(N(Respostas_Brutas!Y189)/N(Respostas_Brutas!Z189),""))</f>
        <v/>
      </c>
      <c r="G189" s="4" t="str">
        <f>IF(Respostas_Brutas!B189="","",IF(Respostas_Brutas!K189&lt;&gt;"",1,0))</f>
        <v/>
      </c>
      <c r="H189" s="4" t="str">
        <f>IF(Respostas_Brutas!B189="","",IF(ISNUMBER(SEARCH("Não",Respostas_Brutas!AH189)),1,0))</f>
        <v/>
      </c>
      <c r="I189" s="4" t="str">
        <f>IF(Respostas_Brutas!B189="","",IF(ISNUMBER(SEARCH("Sim",Respostas_Brutas!AL189)),1,0))</f>
        <v/>
      </c>
      <c r="J189" s="4" t="str">
        <f>IF(Respostas_Brutas!B189="","",IF(Respostas_Brutas!AN189="","",MIN(1,MAX(0,(N(Respostas_Brutas!AN189)-1)/4))))</f>
        <v/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tr">
        <f>IF(Respostas_Brutas!B190="","",Respostas_Brutas!B190)</f>
        <v/>
      </c>
      <c r="B190" s="4" t="str">
        <f>IF(Respostas_Brutas!B190="","",IFERROR(IF(IFERROR(VALUE(TRIM(SUBSTITUTE(SUBSTITUTE(SUBSTITUTE(TRIM(Respostas_Brutas!AS190),"R$",""),".",""),",","."))),0)=0,"",(IFERROR(VALUE(TRIM(SUBSTITUTE(SUBSTITUTE(SUBSTITUTE(TRIM(Respostas_Brutas!AS190),"R$",""),".",""),",","."))),0)-IFERROR(VALUE(TRIM(SUBSTITUTE(SUBSTITUTE(SUBSTITUTE(TRIM(Respostas_Brutas!T190),"R$",""),".",""),",","."))),0))/IFERROR(VALUE(TRIM(SUBSTITUTE(SUBSTITUTE(SUBSTITUTE(TRIM(Respostas_Brutas!AS190),"R$",""),".",""),",","."))),0)),""))</f>
        <v/>
      </c>
      <c r="C190" s="4" t="str">
        <f>IF(Respostas_Brutas!B190="","",MIN(1,(IFERROR(VALUE(LEFT(Respostas_Brutas!I190,IFERROR(FIND(" ",Respostas_Brutas!I190)-1,LEN(Respostas_Brutas!I190)))),0)+IFERROR(VALUE(LEFT(Respostas_Brutas!O190,IFERROR(FIND(" ",Respostas_Brutas!O190)-1,LEN(Respostas_Brutas!O190)))),0))/20))</f>
        <v/>
      </c>
      <c r="D190" s="4" t="str">
        <f>IF(Respostas_Brutas!B190="","",IF(Respostas_Brutas!D190="","",MIN(1,MAX(0,(YEAR(TODAY())-N(Respostas_Brutas!D190))/15))))</f>
        <v/>
      </c>
      <c r="E190" s="4" t="str">
        <f>IF(Respostas_Brutas!B190="","",IF(ISNUMBER(SEARCH("Sim",Respostas_Brutas!S190)),1,0))</f>
        <v/>
      </c>
      <c r="F190" s="4" t="str">
        <f>IF(Respostas_Brutas!B190="","",IFERROR(N(Respostas_Brutas!Y190)/N(Respostas_Brutas!Z190),""))</f>
        <v/>
      </c>
      <c r="G190" s="4" t="str">
        <f>IF(Respostas_Brutas!B190="","",IF(Respostas_Brutas!K190&lt;&gt;"",1,0))</f>
        <v/>
      </c>
      <c r="H190" s="4" t="str">
        <f>IF(Respostas_Brutas!B190="","",IF(ISNUMBER(SEARCH("Não",Respostas_Brutas!AH190)),1,0))</f>
        <v/>
      </c>
      <c r="I190" s="4" t="str">
        <f>IF(Respostas_Brutas!B190="","",IF(ISNUMBER(SEARCH("Sim",Respostas_Brutas!AL190)),1,0))</f>
        <v/>
      </c>
      <c r="J190" s="4" t="str">
        <f>IF(Respostas_Brutas!B190="","",IF(Respostas_Brutas!AN190="","",MIN(1,MAX(0,(N(Respostas_Brutas!AN190)-1)/4))))</f>
        <v/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tr">
        <f>IF(Respostas_Brutas!B191="","",Respostas_Brutas!B191)</f>
        <v/>
      </c>
      <c r="B191" s="4" t="str">
        <f>IF(Respostas_Brutas!B191="","",IFERROR(IF(IFERROR(VALUE(TRIM(SUBSTITUTE(SUBSTITUTE(SUBSTITUTE(TRIM(Respostas_Brutas!AS191),"R$",""),".",""),",","."))),0)=0,"",(IFERROR(VALUE(TRIM(SUBSTITUTE(SUBSTITUTE(SUBSTITUTE(TRIM(Respostas_Brutas!AS191),"R$",""),".",""),",","."))),0)-IFERROR(VALUE(TRIM(SUBSTITUTE(SUBSTITUTE(SUBSTITUTE(TRIM(Respostas_Brutas!T191),"R$",""),".",""),",","."))),0))/IFERROR(VALUE(TRIM(SUBSTITUTE(SUBSTITUTE(SUBSTITUTE(TRIM(Respostas_Brutas!AS191),"R$",""),".",""),",","."))),0)),""))</f>
        <v/>
      </c>
      <c r="C191" s="4" t="str">
        <f>IF(Respostas_Brutas!B191="","",MIN(1,(IFERROR(VALUE(LEFT(Respostas_Brutas!I191,IFERROR(FIND(" ",Respostas_Brutas!I191)-1,LEN(Respostas_Brutas!I191)))),0)+IFERROR(VALUE(LEFT(Respostas_Brutas!O191,IFERROR(FIND(" ",Respostas_Brutas!O191)-1,LEN(Respostas_Brutas!O191)))),0))/20))</f>
        <v/>
      </c>
      <c r="D191" s="4" t="str">
        <f>IF(Respostas_Brutas!B191="","",IF(Respostas_Brutas!D191="","",MIN(1,MAX(0,(YEAR(TODAY())-N(Respostas_Brutas!D191))/15))))</f>
        <v/>
      </c>
      <c r="E191" s="4" t="str">
        <f>IF(Respostas_Brutas!B191="","",IF(ISNUMBER(SEARCH("Sim",Respostas_Brutas!S191)),1,0))</f>
        <v/>
      </c>
      <c r="F191" s="4" t="str">
        <f>IF(Respostas_Brutas!B191="","",IFERROR(N(Respostas_Brutas!Y191)/N(Respostas_Brutas!Z191),""))</f>
        <v/>
      </c>
      <c r="G191" s="4" t="str">
        <f>IF(Respostas_Brutas!B191="","",IF(Respostas_Brutas!K191&lt;&gt;"",1,0))</f>
        <v/>
      </c>
      <c r="H191" s="4" t="str">
        <f>IF(Respostas_Brutas!B191="","",IF(ISNUMBER(SEARCH("Não",Respostas_Brutas!AH191)),1,0))</f>
        <v/>
      </c>
      <c r="I191" s="4" t="str">
        <f>IF(Respostas_Brutas!B191="","",IF(ISNUMBER(SEARCH("Sim",Respostas_Brutas!AL191)),1,0))</f>
        <v/>
      </c>
      <c r="J191" s="4" t="str">
        <f>IF(Respostas_Brutas!B191="","",IF(Respostas_Brutas!AN191="","",MIN(1,MAX(0,(N(Respostas_Brutas!AN191)-1)/4))))</f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tr">
        <f>IF(Respostas_Brutas!B192="","",Respostas_Brutas!B192)</f>
        <v/>
      </c>
      <c r="B192" s="4" t="str">
        <f>IF(Respostas_Brutas!B192="","",IFERROR(IF(IFERROR(VALUE(TRIM(SUBSTITUTE(SUBSTITUTE(SUBSTITUTE(TRIM(Respostas_Brutas!AS192),"R$",""),".",""),",","."))),0)=0,"",(IFERROR(VALUE(TRIM(SUBSTITUTE(SUBSTITUTE(SUBSTITUTE(TRIM(Respostas_Brutas!AS192),"R$",""),".",""),",","."))),0)-IFERROR(VALUE(TRIM(SUBSTITUTE(SUBSTITUTE(SUBSTITUTE(TRIM(Respostas_Brutas!T192),"R$",""),".",""),",","."))),0))/IFERROR(VALUE(TRIM(SUBSTITUTE(SUBSTITUTE(SUBSTITUTE(TRIM(Respostas_Brutas!AS192),"R$",""),".",""),",","."))),0)),""))</f>
        <v/>
      </c>
      <c r="C192" s="4" t="str">
        <f>IF(Respostas_Brutas!B192="","",MIN(1,(IFERROR(VALUE(LEFT(Respostas_Brutas!I192,IFERROR(FIND(" ",Respostas_Brutas!I192)-1,LEN(Respostas_Brutas!I192)))),0)+IFERROR(VALUE(LEFT(Respostas_Brutas!O192,IFERROR(FIND(" ",Respostas_Brutas!O192)-1,LEN(Respostas_Brutas!O192)))),0))/20))</f>
        <v/>
      </c>
      <c r="D192" s="4" t="str">
        <f>IF(Respostas_Brutas!B192="","",IF(Respostas_Brutas!D192="","",MIN(1,MAX(0,(YEAR(TODAY())-N(Respostas_Brutas!D192))/15))))</f>
        <v/>
      </c>
      <c r="E192" s="4" t="str">
        <f>IF(Respostas_Brutas!B192="","",IF(ISNUMBER(SEARCH("Sim",Respostas_Brutas!S192)),1,0))</f>
        <v/>
      </c>
      <c r="F192" s="4" t="str">
        <f>IF(Respostas_Brutas!B192="","",IFERROR(N(Respostas_Brutas!Y192)/N(Respostas_Brutas!Z192),""))</f>
        <v/>
      </c>
      <c r="G192" s="4" t="str">
        <f>IF(Respostas_Brutas!B192="","",IF(Respostas_Brutas!K192&lt;&gt;"",1,0))</f>
        <v/>
      </c>
      <c r="H192" s="4" t="str">
        <f>IF(Respostas_Brutas!B192="","",IF(ISNUMBER(SEARCH("Não",Respostas_Brutas!AH192)),1,0))</f>
        <v/>
      </c>
      <c r="I192" s="4" t="str">
        <f>IF(Respostas_Brutas!B192="","",IF(ISNUMBER(SEARCH("Sim",Respostas_Brutas!AL192)),1,0))</f>
        <v/>
      </c>
      <c r="J192" s="4" t="str">
        <f>IF(Respostas_Brutas!B192="","",IF(Respostas_Brutas!AN192="","",MIN(1,MAX(0,(N(Respostas_Brutas!AN192)-1)/4))))</f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tr">
        <f>IF(Respostas_Brutas!B193="","",Respostas_Brutas!B193)</f>
        <v/>
      </c>
      <c r="B193" s="4" t="str">
        <f>IF(Respostas_Brutas!B193="","",IFERROR(IF(IFERROR(VALUE(TRIM(SUBSTITUTE(SUBSTITUTE(SUBSTITUTE(TRIM(Respostas_Brutas!AS193),"R$",""),".",""),",","."))),0)=0,"",(IFERROR(VALUE(TRIM(SUBSTITUTE(SUBSTITUTE(SUBSTITUTE(TRIM(Respostas_Brutas!AS193),"R$",""),".",""),",","."))),0)-IFERROR(VALUE(TRIM(SUBSTITUTE(SUBSTITUTE(SUBSTITUTE(TRIM(Respostas_Brutas!T193),"R$",""),".",""),",","."))),0))/IFERROR(VALUE(TRIM(SUBSTITUTE(SUBSTITUTE(SUBSTITUTE(TRIM(Respostas_Brutas!AS193),"R$",""),".",""),",","."))),0)),""))</f>
        <v/>
      </c>
      <c r="C193" s="4" t="str">
        <f>IF(Respostas_Brutas!B193="","",MIN(1,(IFERROR(VALUE(LEFT(Respostas_Brutas!I193,IFERROR(FIND(" ",Respostas_Brutas!I193)-1,LEN(Respostas_Brutas!I193)))),0)+IFERROR(VALUE(LEFT(Respostas_Brutas!O193,IFERROR(FIND(" ",Respostas_Brutas!O193)-1,LEN(Respostas_Brutas!O193)))),0))/20))</f>
        <v/>
      </c>
      <c r="D193" s="4" t="str">
        <f>IF(Respostas_Brutas!B193="","",IF(Respostas_Brutas!D193="","",MIN(1,MAX(0,(YEAR(TODAY())-N(Respostas_Brutas!D193))/15))))</f>
        <v/>
      </c>
      <c r="E193" s="4" t="str">
        <f>IF(Respostas_Brutas!B193="","",IF(ISNUMBER(SEARCH("Sim",Respostas_Brutas!S193)),1,0))</f>
        <v/>
      </c>
      <c r="F193" s="4" t="str">
        <f>IF(Respostas_Brutas!B193="","",IFERROR(N(Respostas_Brutas!Y193)/N(Respostas_Brutas!Z193),""))</f>
        <v/>
      </c>
      <c r="G193" s="4" t="str">
        <f>IF(Respostas_Brutas!B193="","",IF(Respostas_Brutas!K193&lt;&gt;"",1,0))</f>
        <v/>
      </c>
      <c r="H193" s="4" t="str">
        <f>IF(Respostas_Brutas!B193="","",IF(ISNUMBER(SEARCH("Não",Respostas_Brutas!AH193)),1,0))</f>
        <v/>
      </c>
      <c r="I193" s="4" t="str">
        <f>IF(Respostas_Brutas!B193="","",IF(ISNUMBER(SEARCH("Sim",Respostas_Brutas!AL193)),1,0))</f>
        <v/>
      </c>
      <c r="J193" s="4" t="str">
        <f>IF(Respostas_Brutas!B193="","",IF(Respostas_Brutas!AN193="","",MIN(1,MAX(0,(N(Respostas_Brutas!AN193)-1)/4))))</f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tr">
        <f>IF(Respostas_Brutas!B194="","",Respostas_Brutas!B194)</f>
        <v/>
      </c>
      <c r="B194" s="4" t="str">
        <f>IF(Respostas_Brutas!B194="","",IFERROR(IF(IFERROR(VALUE(TRIM(SUBSTITUTE(SUBSTITUTE(SUBSTITUTE(TRIM(Respostas_Brutas!AS194),"R$",""),".",""),",","."))),0)=0,"",(IFERROR(VALUE(TRIM(SUBSTITUTE(SUBSTITUTE(SUBSTITUTE(TRIM(Respostas_Brutas!AS194),"R$",""),".",""),",","."))),0)-IFERROR(VALUE(TRIM(SUBSTITUTE(SUBSTITUTE(SUBSTITUTE(TRIM(Respostas_Brutas!T194),"R$",""),".",""),",","."))),0))/IFERROR(VALUE(TRIM(SUBSTITUTE(SUBSTITUTE(SUBSTITUTE(TRIM(Respostas_Brutas!AS194),"R$",""),".",""),",","."))),0)),""))</f>
        <v/>
      </c>
      <c r="C194" s="4" t="str">
        <f>IF(Respostas_Brutas!B194="","",MIN(1,(IFERROR(VALUE(LEFT(Respostas_Brutas!I194,IFERROR(FIND(" ",Respostas_Brutas!I194)-1,LEN(Respostas_Brutas!I194)))),0)+IFERROR(VALUE(LEFT(Respostas_Brutas!O194,IFERROR(FIND(" ",Respostas_Brutas!O194)-1,LEN(Respostas_Brutas!O194)))),0))/20))</f>
        <v/>
      </c>
      <c r="D194" s="4" t="str">
        <f>IF(Respostas_Brutas!B194="","",IF(Respostas_Brutas!D194="","",MIN(1,MAX(0,(YEAR(TODAY())-N(Respostas_Brutas!D194))/15))))</f>
        <v/>
      </c>
      <c r="E194" s="4" t="str">
        <f>IF(Respostas_Brutas!B194="","",IF(ISNUMBER(SEARCH("Sim",Respostas_Brutas!S194)),1,0))</f>
        <v/>
      </c>
      <c r="F194" s="4" t="str">
        <f>IF(Respostas_Brutas!B194="","",IFERROR(N(Respostas_Brutas!Y194)/N(Respostas_Brutas!Z194),""))</f>
        <v/>
      </c>
      <c r="G194" s="4" t="str">
        <f>IF(Respostas_Brutas!B194="","",IF(Respostas_Brutas!K194&lt;&gt;"",1,0))</f>
        <v/>
      </c>
      <c r="H194" s="4" t="str">
        <f>IF(Respostas_Brutas!B194="","",IF(ISNUMBER(SEARCH("Não",Respostas_Brutas!AH194)),1,0))</f>
        <v/>
      </c>
      <c r="I194" s="4" t="str">
        <f>IF(Respostas_Brutas!B194="","",IF(ISNUMBER(SEARCH("Sim",Respostas_Brutas!AL194)),1,0))</f>
        <v/>
      </c>
      <c r="J194" s="4" t="str">
        <f>IF(Respostas_Brutas!B194="","",IF(Respostas_Brutas!AN194="","",MIN(1,MAX(0,(N(Respostas_Brutas!AN194)-1)/4))))</f>
        <v/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tr">
        <f>IF(Respostas_Brutas!B195="","",Respostas_Brutas!B195)</f>
        <v/>
      </c>
      <c r="B195" s="4" t="str">
        <f>IF(Respostas_Brutas!B195="","",IFERROR(IF(IFERROR(VALUE(TRIM(SUBSTITUTE(SUBSTITUTE(SUBSTITUTE(TRIM(Respostas_Brutas!AS195),"R$",""),".",""),",","."))),0)=0,"",(IFERROR(VALUE(TRIM(SUBSTITUTE(SUBSTITUTE(SUBSTITUTE(TRIM(Respostas_Brutas!AS195),"R$",""),".",""),",","."))),0)-IFERROR(VALUE(TRIM(SUBSTITUTE(SUBSTITUTE(SUBSTITUTE(TRIM(Respostas_Brutas!T195),"R$",""),".",""),",","."))),0))/IFERROR(VALUE(TRIM(SUBSTITUTE(SUBSTITUTE(SUBSTITUTE(TRIM(Respostas_Brutas!AS195),"R$",""),".",""),",","."))),0)),""))</f>
        <v/>
      </c>
      <c r="C195" s="4" t="str">
        <f>IF(Respostas_Brutas!B195="","",MIN(1,(IFERROR(VALUE(LEFT(Respostas_Brutas!I195,IFERROR(FIND(" ",Respostas_Brutas!I195)-1,LEN(Respostas_Brutas!I195)))),0)+IFERROR(VALUE(LEFT(Respostas_Brutas!O195,IFERROR(FIND(" ",Respostas_Brutas!O195)-1,LEN(Respostas_Brutas!O195)))),0))/20))</f>
        <v/>
      </c>
      <c r="D195" s="4" t="str">
        <f>IF(Respostas_Brutas!B195="","",IF(Respostas_Brutas!D195="","",MIN(1,MAX(0,(YEAR(TODAY())-N(Respostas_Brutas!D195))/15))))</f>
        <v/>
      </c>
      <c r="E195" s="4" t="str">
        <f>IF(Respostas_Brutas!B195="","",IF(ISNUMBER(SEARCH("Sim",Respostas_Brutas!S195)),1,0))</f>
        <v/>
      </c>
      <c r="F195" s="4" t="str">
        <f>IF(Respostas_Brutas!B195="","",IFERROR(N(Respostas_Brutas!Y195)/N(Respostas_Brutas!Z195),""))</f>
        <v/>
      </c>
      <c r="G195" s="4" t="str">
        <f>IF(Respostas_Brutas!B195="","",IF(Respostas_Brutas!K195&lt;&gt;"",1,0))</f>
        <v/>
      </c>
      <c r="H195" s="4" t="str">
        <f>IF(Respostas_Brutas!B195="","",IF(ISNUMBER(SEARCH("Não",Respostas_Brutas!AH195)),1,0))</f>
        <v/>
      </c>
      <c r="I195" s="4" t="str">
        <f>IF(Respostas_Brutas!B195="","",IF(ISNUMBER(SEARCH("Sim",Respostas_Brutas!AL195)),1,0))</f>
        <v/>
      </c>
      <c r="J195" s="4" t="str">
        <f>IF(Respostas_Brutas!B195="","",IF(Respostas_Brutas!AN195="","",MIN(1,MAX(0,(N(Respostas_Brutas!AN195)-1)/4))))</f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tr">
        <f>IF(Respostas_Brutas!B196="","",Respostas_Brutas!B196)</f>
        <v/>
      </c>
      <c r="B196" s="4" t="str">
        <f>IF(Respostas_Brutas!B196="","",IFERROR(IF(IFERROR(VALUE(TRIM(SUBSTITUTE(SUBSTITUTE(SUBSTITUTE(TRIM(Respostas_Brutas!AS196),"R$",""),".",""),",","."))),0)=0,"",(IFERROR(VALUE(TRIM(SUBSTITUTE(SUBSTITUTE(SUBSTITUTE(TRIM(Respostas_Brutas!AS196),"R$",""),".",""),",","."))),0)-IFERROR(VALUE(TRIM(SUBSTITUTE(SUBSTITUTE(SUBSTITUTE(TRIM(Respostas_Brutas!T196),"R$",""),".",""),",","."))),0))/IFERROR(VALUE(TRIM(SUBSTITUTE(SUBSTITUTE(SUBSTITUTE(TRIM(Respostas_Brutas!AS196),"R$",""),".",""),",","."))),0)),""))</f>
        <v/>
      </c>
      <c r="C196" s="4" t="str">
        <f>IF(Respostas_Brutas!B196="","",MIN(1,(IFERROR(VALUE(LEFT(Respostas_Brutas!I196,IFERROR(FIND(" ",Respostas_Brutas!I196)-1,LEN(Respostas_Brutas!I196)))),0)+IFERROR(VALUE(LEFT(Respostas_Brutas!O196,IFERROR(FIND(" ",Respostas_Brutas!O196)-1,LEN(Respostas_Brutas!O196)))),0))/20))</f>
        <v/>
      </c>
      <c r="D196" s="4" t="str">
        <f>IF(Respostas_Brutas!B196="","",IF(Respostas_Brutas!D196="","",MIN(1,MAX(0,(YEAR(TODAY())-N(Respostas_Brutas!D196))/15))))</f>
        <v/>
      </c>
      <c r="E196" s="4" t="str">
        <f>IF(Respostas_Brutas!B196="","",IF(ISNUMBER(SEARCH("Sim",Respostas_Brutas!S196)),1,0))</f>
        <v/>
      </c>
      <c r="F196" s="4" t="str">
        <f>IF(Respostas_Brutas!B196="","",IFERROR(N(Respostas_Brutas!Y196)/N(Respostas_Brutas!Z196),""))</f>
        <v/>
      </c>
      <c r="G196" s="4" t="str">
        <f>IF(Respostas_Brutas!B196="","",IF(Respostas_Brutas!K196&lt;&gt;"",1,0))</f>
        <v/>
      </c>
      <c r="H196" s="4" t="str">
        <f>IF(Respostas_Brutas!B196="","",IF(ISNUMBER(SEARCH("Não",Respostas_Brutas!AH196)),1,0))</f>
        <v/>
      </c>
      <c r="I196" s="4" t="str">
        <f>IF(Respostas_Brutas!B196="","",IF(ISNUMBER(SEARCH("Sim",Respostas_Brutas!AL196)),1,0))</f>
        <v/>
      </c>
      <c r="J196" s="4" t="str">
        <f>IF(Respostas_Brutas!B196="","",IF(Respostas_Brutas!AN196="","",MIN(1,MAX(0,(N(Respostas_Brutas!AN196)-1)/4))))</f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tr">
        <f>IF(Respostas_Brutas!B197="","",Respostas_Brutas!B197)</f>
        <v/>
      </c>
      <c r="B197" s="4" t="str">
        <f>IF(Respostas_Brutas!B197="","",IFERROR(IF(IFERROR(VALUE(TRIM(SUBSTITUTE(SUBSTITUTE(SUBSTITUTE(TRIM(Respostas_Brutas!AS197),"R$",""),".",""),",","."))),0)=0,"",(IFERROR(VALUE(TRIM(SUBSTITUTE(SUBSTITUTE(SUBSTITUTE(TRIM(Respostas_Brutas!AS197),"R$",""),".",""),",","."))),0)-IFERROR(VALUE(TRIM(SUBSTITUTE(SUBSTITUTE(SUBSTITUTE(TRIM(Respostas_Brutas!T197),"R$",""),".",""),",","."))),0))/IFERROR(VALUE(TRIM(SUBSTITUTE(SUBSTITUTE(SUBSTITUTE(TRIM(Respostas_Brutas!AS197),"R$",""),".",""),",","."))),0)),""))</f>
        <v/>
      </c>
      <c r="C197" s="4" t="str">
        <f>IF(Respostas_Brutas!B197="","",MIN(1,(IFERROR(VALUE(LEFT(Respostas_Brutas!I197,IFERROR(FIND(" ",Respostas_Brutas!I197)-1,LEN(Respostas_Brutas!I197)))),0)+IFERROR(VALUE(LEFT(Respostas_Brutas!O197,IFERROR(FIND(" ",Respostas_Brutas!O197)-1,LEN(Respostas_Brutas!O197)))),0))/20))</f>
        <v/>
      </c>
      <c r="D197" s="4" t="str">
        <f>IF(Respostas_Brutas!B197="","",IF(Respostas_Brutas!D197="","",MIN(1,MAX(0,(YEAR(TODAY())-N(Respostas_Brutas!D197))/15))))</f>
        <v/>
      </c>
      <c r="E197" s="4" t="str">
        <f>IF(Respostas_Brutas!B197="","",IF(ISNUMBER(SEARCH("Sim",Respostas_Brutas!S197)),1,0))</f>
        <v/>
      </c>
      <c r="F197" s="4" t="str">
        <f>IF(Respostas_Brutas!B197="","",IFERROR(N(Respostas_Brutas!Y197)/N(Respostas_Brutas!Z197),""))</f>
        <v/>
      </c>
      <c r="G197" s="4" t="str">
        <f>IF(Respostas_Brutas!B197="","",IF(Respostas_Brutas!K197&lt;&gt;"",1,0))</f>
        <v/>
      </c>
      <c r="H197" s="4" t="str">
        <f>IF(Respostas_Brutas!B197="","",IF(ISNUMBER(SEARCH("Não",Respostas_Brutas!AH197)),1,0))</f>
        <v/>
      </c>
      <c r="I197" s="4" t="str">
        <f>IF(Respostas_Brutas!B197="","",IF(ISNUMBER(SEARCH("Sim",Respostas_Brutas!AL197)),1,0))</f>
        <v/>
      </c>
      <c r="J197" s="4" t="str">
        <f>IF(Respostas_Brutas!B197="","",IF(Respostas_Brutas!AN197="","",MIN(1,MAX(0,(N(Respostas_Brutas!AN197)-1)/4))))</f>
        <v/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tr">
        <f>IF(Respostas_Brutas!B198="","",Respostas_Brutas!B198)</f>
        <v/>
      </c>
      <c r="B198" s="4" t="str">
        <f>IF(Respostas_Brutas!B198="","",IFERROR(IF(IFERROR(VALUE(TRIM(SUBSTITUTE(SUBSTITUTE(SUBSTITUTE(TRIM(Respostas_Brutas!AS198),"R$",""),".",""),",","."))),0)=0,"",(IFERROR(VALUE(TRIM(SUBSTITUTE(SUBSTITUTE(SUBSTITUTE(TRIM(Respostas_Brutas!AS198),"R$",""),".",""),",","."))),0)-IFERROR(VALUE(TRIM(SUBSTITUTE(SUBSTITUTE(SUBSTITUTE(TRIM(Respostas_Brutas!T198),"R$",""),".",""),",","."))),0))/IFERROR(VALUE(TRIM(SUBSTITUTE(SUBSTITUTE(SUBSTITUTE(TRIM(Respostas_Brutas!AS198),"R$",""),".",""),",","."))),0)),""))</f>
        <v/>
      </c>
      <c r="C198" s="4" t="str">
        <f>IF(Respostas_Brutas!B198="","",MIN(1,(IFERROR(VALUE(LEFT(Respostas_Brutas!I198,IFERROR(FIND(" ",Respostas_Brutas!I198)-1,LEN(Respostas_Brutas!I198)))),0)+IFERROR(VALUE(LEFT(Respostas_Brutas!O198,IFERROR(FIND(" ",Respostas_Brutas!O198)-1,LEN(Respostas_Brutas!O198)))),0))/20))</f>
        <v/>
      </c>
      <c r="D198" s="4" t="str">
        <f>IF(Respostas_Brutas!B198="","",IF(Respostas_Brutas!D198="","",MIN(1,MAX(0,(YEAR(TODAY())-N(Respostas_Brutas!D198))/15))))</f>
        <v/>
      </c>
      <c r="E198" s="4" t="str">
        <f>IF(Respostas_Brutas!B198="","",IF(ISNUMBER(SEARCH("Sim",Respostas_Brutas!S198)),1,0))</f>
        <v/>
      </c>
      <c r="F198" s="4" t="str">
        <f>IF(Respostas_Brutas!B198="","",IFERROR(N(Respostas_Brutas!Y198)/N(Respostas_Brutas!Z198),""))</f>
        <v/>
      </c>
      <c r="G198" s="4" t="str">
        <f>IF(Respostas_Brutas!B198="","",IF(Respostas_Brutas!K198&lt;&gt;"",1,0))</f>
        <v/>
      </c>
      <c r="H198" s="4" t="str">
        <f>IF(Respostas_Brutas!B198="","",IF(ISNUMBER(SEARCH("Não",Respostas_Brutas!AH198)),1,0))</f>
        <v/>
      </c>
      <c r="I198" s="4" t="str">
        <f>IF(Respostas_Brutas!B198="","",IF(ISNUMBER(SEARCH("Sim",Respostas_Brutas!AL198)),1,0))</f>
        <v/>
      </c>
      <c r="J198" s="4" t="str">
        <f>IF(Respostas_Brutas!B198="","",IF(Respostas_Brutas!AN198="","",MIN(1,MAX(0,(N(Respostas_Brutas!AN198)-1)/4))))</f>
        <v/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tr">
        <f>IF(Respostas_Brutas!B199="","",Respostas_Brutas!B199)</f>
        <v/>
      </c>
      <c r="B199" s="4" t="str">
        <f>IF(Respostas_Brutas!B199="","",IFERROR(IF(IFERROR(VALUE(TRIM(SUBSTITUTE(SUBSTITUTE(SUBSTITUTE(TRIM(Respostas_Brutas!AS199),"R$",""),".",""),",","."))),0)=0,"",(IFERROR(VALUE(TRIM(SUBSTITUTE(SUBSTITUTE(SUBSTITUTE(TRIM(Respostas_Brutas!AS199),"R$",""),".",""),",","."))),0)-IFERROR(VALUE(TRIM(SUBSTITUTE(SUBSTITUTE(SUBSTITUTE(TRIM(Respostas_Brutas!T199),"R$",""),".",""),",","."))),0))/IFERROR(VALUE(TRIM(SUBSTITUTE(SUBSTITUTE(SUBSTITUTE(TRIM(Respostas_Brutas!AS199),"R$",""),".",""),",","."))),0)),""))</f>
        <v/>
      </c>
      <c r="C199" s="4" t="str">
        <f>IF(Respostas_Brutas!B199="","",MIN(1,(IFERROR(VALUE(LEFT(Respostas_Brutas!I199,IFERROR(FIND(" ",Respostas_Brutas!I199)-1,LEN(Respostas_Brutas!I199)))),0)+IFERROR(VALUE(LEFT(Respostas_Brutas!O199,IFERROR(FIND(" ",Respostas_Brutas!O199)-1,LEN(Respostas_Brutas!O199)))),0))/20))</f>
        <v/>
      </c>
      <c r="D199" s="4" t="str">
        <f>IF(Respostas_Brutas!B199="","",IF(Respostas_Brutas!D199="","",MIN(1,MAX(0,(YEAR(TODAY())-N(Respostas_Brutas!D199))/15))))</f>
        <v/>
      </c>
      <c r="E199" s="4" t="str">
        <f>IF(Respostas_Brutas!B199="","",IF(ISNUMBER(SEARCH("Sim",Respostas_Brutas!S199)),1,0))</f>
        <v/>
      </c>
      <c r="F199" s="4" t="str">
        <f>IF(Respostas_Brutas!B199="","",IFERROR(N(Respostas_Brutas!Y199)/N(Respostas_Brutas!Z199),""))</f>
        <v/>
      </c>
      <c r="G199" s="4" t="str">
        <f>IF(Respostas_Brutas!B199="","",IF(Respostas_Brutas!K199&lt;&gt;"",1,0))</f>
        <v/>
      </c>
      <c r="H199" s="4" t="str">
        <f>IF(Respostas_Brutas!B199="","",IF(ISNUMBER(SEARCH("Não",Respostas_Brutas!AH199)),1,0))</f>
        <v/>
      </c>
      <c r="I199" s="4" t="str">
        <f>IF(Respostas_Brutas!B199="","",IF(ISNUMBER(SEARCH("Sim",Respostas_Brutas!AL199)),1,0))</f>
        <v/>
      </c>
      <c r="J199" s="4" t="str">
        <f>IF(Respostas_Brutas!B199="","",IF(Respostas_Brutas!AN199="","",MIN(1,MAX(0,(N(Respostas_Brutas!AN199)-1)/4))))</f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tr">
        <f>IF(Respostas_Brutas!B200="","",Respostas_Brutas!B200)</f>
        <v/>
      </c>
      <c r="B200" s="4" t="str">
        <f>IF(Respostas_Brutas!B200="","",IFERROR(IF(IFERROR(VALUE(TRIM(SUBSTITUTE(SUBSTITUTE(SUBSTITUTE(TRIM(Respostas_Brutas!AS200),"R$",""),".",""),",","."))),0)=0,"",(IFERROR(VALUE(TRIM(SUBSTITUTE(SUBSTITUTE(SUBSTITUTE(TRIM(Respostas_Brutas!AS200),"R$",""),".",""),",","."))),0)-IFERROR(VALUE(TRIM(SUBSTITUTE(SUBSTITUTE(SUBSTITUTE(TRIM(Respostas_Brutas!T200),"R$",""),".",""),",","."))),0))/IFERROR(VALUE(TRIM(SUBSTITUTE(SUBSTITUTE(SUBSTITUTE(TRIM(Respostas_Brutas!AS200),"R$",""),".",""),",","."))),0)),""))</f>
        <v/>
      </c>
      <c r="C200" s="4" t="str">
        <f>IF(Respostas_Brutas!B200="","",MIN(1,(IFERROR(VALUE(LEFT(Respostas_Brutas!I200,IFERROR(FIND(" ",Respostas_Brutas!I200)-1,LEN(Respostas_Brutas!I200)))),0)+IFERROR(VALUE(LEFT(Respostas_Brutas!O200,IFERROR(FIND(" ",Respostas_Brutas!O200)-1,LEN(Respostas_Brutas!O200)))),0))/20))</f>
        <v/>
      </c>
      <c r="D200" s="4" t="str">
        <f>IF(Respostas_Brutas!B200="","",IF(Respostas_Brutas!D200="","",MIN(1,MAX(0,(YEAR(TODAY())-N(Respostas_Brutas!D200))/15))))</f>
        <v/>
      </c>
      <c r="E200" s="4" t="str">
        <f>IF(Respostas_Brutas!B200="","",IF(ISNUMBER(SEARCH("Sim",Respostas_Brutas!S200)),1,0))</f>
        <v/>
      </c>
      <c r="F200" s="4" t="str">
        <f>IF(Respostas_Brutas!B200="","",IFERROR(N(Respostas_Brutas!Y200)/N(Respostas_Brutas!Z200),""))</f>
        <v/>
      </c>
      <c r="G200" s="4" t="str">
        <f>IF(Respostas_Brutas!B200="","",IF(Respostas_Brutas!K200&lt;&gt;"",1,0))</f>
        <v/>
      </c>
      <c r="H200" s="4" t="str">
        <f>IF(Respostas_Brutas!B200="","",IF(ISNUMBER(SEARCH("Não",Respostas_Brutas!AH200)),1,0))</f>
        <v/>
      </c>
      <c r="I200" s="4" t="str">
        <f>IF(Respostas_Brutas!B200="","",IF(ISNUMBER(SEARCH("Sim",Respostas_Brutas!AL200)),1,0))</f>
        <v/>
      </c>
      <c r="J200" s="4" t="str">
        <f>IF(Respostas_Brutas!B200="","",IF(Respostas_Brutas!AN200="","",MIN(1,MAX(0,(N(Respostas_Brutas!AN200)-1)/4))))</f>
        <v/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tr">
        <f>IF(Respostas_Brutas!B201="","",Respostas_Brutas!B201)</f>
        <v/>
      </c>
      <c r="B201" s="4" t="str">
        <f>IF(Respostas_Brutas!B201="","",IFERROR(IF(IFERROR(VALUE(TRIM(SUBSTITUTE(SUBSTITUTE(SUBSTITUTE(TRIM(Respostas_Brutas!AS201),"R$",""),".",""),",","."))),0)=0,"",(IFERROR(VALUE(TRIM(SUBSTITUTE(SUBSTITUTE(SUBSTITUTE(TRIM(Respostas_Brutas!AS201),"R$",""),".",""),",","."))),0)-IFERROR(VALUE(TRIM(SUBSTITUTE(SUBSTITUTE(SUBSTITUTE(TRIM(Respostas_Brutas!T201),"R$",""),".",""),",","."))),0))/IFERROR(VALUE(TRIM(SUBSTITUTE(SUBSTITUTE(SUBSTITUTE(TRIM(Respostas_Brutas!AS201),"R$",""),".",""),",","."))),0)),""))</f>
        <v/>
      </c>
      <c r="C201" s="4" t="str">
        <f>IF(Respostas_Brutas!B201="","",MIN(1,(IFERROR(VALUE(LEFT(Respostas_Brutas!I201,IFERROR(FIND(" ",Respostas_Brutas!I201)-1,LEN(Respostas_Brutas!I201)))),0)+IFERROR(VALUE(LEFT(Respostas_Brutas!O201,IFERROR(FIND(" ",Respostas_Brutas!O201)-1,LEN(Respostas_Brutas!O201)))),0))/20))</f>
        <v/>
      </c>
      <c r="D201" s="4" t="str">
        <f>IF(Respostas_Brutas!B201="","",IF(Respostas_Brutas!D201="","",MIN(1,MAX(0,(YEAR(TODAY())-N(Respostas_Brutas!D201))/15))))</f>
        <v/>
      </c>
      <c r="E201" s="4" t="str">
        <f>IF(Respostas_Brutas!B201="","",IF(ISNUMBER(SEARCH("Sim",Respostas_Brutas!S201)),1,0))</f>
        <v/>
      </c>
      <c r="F201" s="4" t="str">
        <f>IF(Respostas_Brutas!B201="","",IFERROR(N(Respostas_Brutas!Y201)/N(Respostas_Brutas!Z201),""))</f>
        <v/>
      </c>
      <c r="G201" s="4" t="str">
        <f>IF(Respostas_Brutas!B201="","",IF(Respostas_Brutas!K201&lt;&gt;"",1,0))</f>
        <v/>
      </c>
      <c r="H201" s="4" t="str">
        <f>IF(Respostas_Brutas!B201="","",IF(ISNUMBER(SEARCH("Não",Respostas_Brutas!AH201)),1,0))</f>
        <v/>
      </c>
      <c r="I201" s="4" t="str">
        <f>IF(Respostas_Brutas!B201="","",IF(ISNUMBER(SEARCH("Sim",Respostas_Brutas!AL201)),1,0))</f>
        <v/>
      </c>
      <c r="J201" s="4" t="str">
        <f>IF(Respostas_Brutas!B201="","",IF(Respostas_Brutas!AN201="","",MIN(1,MAX(0,(N(Respostas_Brutas!AN201)-1)/4))))</f>
        <v/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tr">
        <f>IF(Respostas_Brutas!B202="","",Respostas_Brutas!B202)</f>
        <v/>
      </c>
      <c r="B202" s="4" t="str">
        <f>IF(Respostas_Brutas!B202="","",IFERROR(IF(IFERROR(VALUE(TRIM(SUBSTITUTE(SUBSTITUTE(SUBSTITUTE(TRIM(Respostas_Brutas!AS202),"R$",""),".",""),",","."))),0)=0,"",(IFERROR(VALUE(TRIM(SUBSTITUTE(SUBSTITUTE(SUBSTITUTE(TRIM(Respostas_Brutas!AS202),"R$",""),".",""),",","."))),0)-IFERROR(VALUE(TRIM(SUBSTITUTE(SUBSTITUTE(SUBSTITUTE(TRIM(Respostas_Brutas!T202),"R$",""),".",""),",","."))),0))/IFERROR(VALUE(TRIM(SUBSTITUTE(SUBSTITUTE(SUBSTITUTE(TRIM(Respostas_Brutas!AS202),"R$",""),".",""),",","."))),0)),""))</f>
        <v/>
      </c>
      <c r="C202" s="4" t="str">
        <f>IF(Respostas_Brutas!B202="","",MIN(1,(IFERROR(VALUE(LEFT(Respostas_Brutas!I202,IFERROR(FIND(" ",Respostas_Brutas!I202)-1,LEN(Respostas_Brutas!I202)))),0)+IFERROR(VALUE(LEFT(Respostas_Brutas!O202,IFERROR(FIND(" ",Respostas_Brutas!O202)-1,LEN(Respostas_Brutas!O202)))),0))/20))</f>
        <v/>
      </c>
      <c r="D202" s="4" t="str">
        <f>IF(Respostas_Brutas!B202="","",IF(Respostas_Brutas!D202="","",MIN(1,MAX(0,(YEAR(TODAY())-N(Respostas_Brutas!D202))/15))))</f>
        <v/>
      </c>
      <c r="E202" s="4" t="str">
        <f>IF(Respostas_Brutas!B202="","",IF(ISNUMBER(SEARCH("Sim",Respostas_Brutas!S202)),1,0))</f>
        <v/>
      </c>
      <c r="F202" s="4" t="str">
        <f>IF(Respostas_Brutas!B202="","",IFERROR(N(Respostas_Brutas!Y202)/N(Respostas_Brutas!Z202),""))</f>
        <v/>
      </c>
      <c r="G202" s="4" t="str">
        <f>IF(Respostas_Brutas!B202="","",IF(Respostas_Brutas!K202&lt;&gt;"",1,0))</f>
        <v/>
      </c>
      <c r="H202" s="4" t="str">
        <f>IF(Respostas_Brutas!B202="","",IF(ISNUMBER(SEARCH("Não",Respostas_Brutas!AH202)),1,0))</f>
        <v/>
      </c>
      <c r="I202" s="4" t="str">
        <f>IF(Respostas_Brutas!B202="","",IF(ISNUMBER(SEARCH("Sim",Respostas_Brutas!AL202)),1,0))</f>
        <v/>
      </c>
      <c r="J202" s="4" t="str">
        <f>IF(Respostas_Brutas!B202="","",IF(Respostas_Brutas!AN202="","",MIN(1,MAX(0,(N(Respostas_Brutas!AN202)-1)/4))))</f>
        <v/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tr">
        <f>IF(Respostas_Brutas!B203="","",Respostas_Brutas!B203)</f>
        <v/>
      </c>
      <c r="B203" s="4" t="str">
        <f>IF(Respostas_Brutas!B203="","",IFERROR(IF(IFERROR(VALUE(TRIM(SUBSTITUTE(SUBSTITUTE(SUBSTITUTE(TRIM(Respostas_Brutas!AS203),"R$",""),".",""),",","."))),0)=0,"",(IFERROR(VALUE(TRIM(SUBSTITUTE(SUBSTITUTE(SUBSTITUTE(TRIM(Respostas_Brutas!AS203),"R$",""),".",""),",","."))),0)-IFERROR(VALUE(TRIM(SUBSTITUTE(SUBSTITUTE(SUBSTITUTE(TRIM(Respostas_Brutas!T203),"R$",""),".",""),",","."))),0))/IFERROR(VALUE(TRIM(SUBSTITUTE(SUBSTITUTE(SUBSTITUTE(TRIM(Respostas_Brutas!AS203),"R$",""),".",""),",","."))),0)),""))</f>
        <v/>
      </c>
      <c r="C203" s="4" t="str">
        <f>IF(Respostas_Brutas!B203="","",MIN(1,(IFERROR(VALUE(LEFT(Respostas_Brutas!I203,IFERROR(FIND(" ",Respostas_Brutas!I203)-1,LEN(Respostas_Brutas!I203)))),0)+IFERROR(VALUE(LEFT(Respostas_Brutas!O203,IFERROR(FIND(" ",Respostas_Brutas!O203)-1,LEN(Respostas_Brutas!O203)))),0))/20))</f>
        <v/>
      </c>
      <c r="D203" s="4" t="str">
        <f>IF(Respostas_Brutas!B203="","",IF(Respostas_Brutas!D203="","",MIN(1,MAX(0,(YEAR(TODAY())-N(Respostas_Brutas!D203))/15))))</f>
        <v/>
      </c>
      <c r="E203" s="4" t="str">
        <f>IF(Respostas_Brutas!B203="","",IF(ISNUMBER(SEARCH("Sim",Respostas_Brutas!S203)),1,0))</f>
        <v/>
      </c>
      <c r="F203" s="4" t="str">
        <f>IF(Respostas_Brutas!B203="","",IFERROR(N(Respostas_Brutas!Y203)/N(Respostas_Brutas!Z203),""))</f>
        <v/>
      </c>
      <c r="G203" s="4" t="str">
        <f>IF(Respostas_Brutas!B203="","",IF(Respostas_Brutas!K203&lt;&gt;"",1,0))</f>
        <v/>
      </c>
      <c r="H203" s="4" t="str">
        <f>IF(Respostas_Brutas!B203="","",IF(ISNUMBER(SEARCH("Não",Respostas_Brutas!AH203)),1,0))</f>
        <v/>
      </c>
      <c r="I203" s="4" t="str">
        <f>IF(Respostas_Brutas!B203="","",IF(ISNUMBER(SEARCH("Sim",Respostas_Brutas!AL203)),1,0))</f>
        <v/>
      </c>
      <c r="J203" s="4" t="str">
        <f>IF(Respostas_Brutas!B203="","",IF(Respostas_Brutas!AN203="","",MIN(1,MAX(0,(N(Respostas_Brutas!AN203)-1)/4))))</f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tr">
        <f>IF(Respostas_Brutas!B204="","",Respostas_Brutas!B204)</f>
        <v/>
      </c>
      <c r="B204" s="4" t="str">
        <f>IF(Respostas_Brutas!B204="","",IFERROR(IF(IFERROR(VALUE(TRIM(SUBSTITUTE(SUBSTITUTE(SUBSTITUTE(TRIM(Respostas_Brutas!AS204),"R$",""),".",""),",","."))),0)=0,"",(IFERROR(VALUE(TRIM(SUBSTITUTE(SUBSTITUTE(SUBSTITUTE(TRIM(Respostas_Brutas!AS204),"R$",""),".",""),",","."))),0)-IFERROR(VALUE(TRIM(SUBSTITUTE(SUBSTITUTE(SUBSTITUTE(TRIM(Respostas_Brutas!T204),"R$",""),".",""),",","."))),0))/IFERROR(VALUE(TRIM(SUBSTITUTE(SUBSTITUTE(SUBSTITUTE(TRIM(Respostas_Brutas!AS204),"R$",""),".",""),",","."))),0)),""))</f>
        <v/>
      </c>
      <c r="C204" s="4" t="str">
        <f>IF(Respostas_Brutas!B204="","",MIN(1,(IFERROR(VALUE(LEFT(Respostas_Brutas!I204,IFERROR(FIND(" ",Respostas_Brutas!I204)-1,LEN(Respostas_Brutas!I204)))),0)+IFERROR(VALUE(LEFT(Respostas_Brutas!O204,IFERROR(FIND(" ",Respostas_Brutas!O204)-1,LEN(Respostas_Brutas!O204)))),0))/20))</f>
        <v/>
      </c>
      <c r="D204" s="4" t="str">
        <f>IF(Respostas_Brutas!B204="","",IF(Respostas_Brutas!D204="","",MIN(1,MAX(0,(YEAR(TODAY())-N(Respostas_Brutas!D204))/15))))</f>
        <v/>
      </c>
      <c r="E204" s="4" t="str">
        <f>IF(Respostas_Brutas!B204="","",IF(ISNUMBER(SEARCH("Sim",Respostas_Brutas!S204)),1,0))</f>
        <v/>
      </c>
      <c r="F204" s="4" t="str">
        <f>IF(Respostas_Brutas!B204="","",IFERROR(N(Respostas_Brutas!Y204)/N(Respostas_Brutas!Z204),""))</f>
        <v/>
      </c>
      <c r="G204" s="4" t="str">
        <f>IF(Respostas_Brutas!B204="","",IF(Respostas_Brutas!K204&lt;&gt;"",1,0))</f>
        <v/>
      </c>
      <c r="H204" s="4" t="str">
        <f>IF(Respostas_Brutas!B204="","",IF(ISNUMBER(SEARCH("Não",Respostas_Brutas!AH204)),1,0))</f>
        <v/>
      </c>
      <c r="I204" s="4" t="str">
        <f>IF(Respostas_Brutas!B204="","",IF(ISNUMBER(SEARCH("Sim",Respostas_Brutas!AL204)),1,0))</f>
        <v/>
      </c>
      <c r="J204" s="4" t="str">
        <f>IF(Respostas_Brutas!B204="","",IF(Respostas_Brutas!AN204="","",MIN(1,MAX(0,(N(Respostas_Brutas!AN204)-1)/4))))</f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tr">
        <f>IF(Respostas_Brutas!B205="","",Respostas_Brutas!B205)</f>
        <v/>
      </c>
      <c r="B205" s="4" t="str">
        <f>IF(Respostas_Brutas!B205="","",IFERROR(IF(IFERROR(VALUE(TRIM(SUBSTITUTE(SUBSTITUTE(SUBSTITUTE(TRIM(Respostas_Brutas!AS205),"R$",""),".",""),",","."))),0)=0,"",(IFERROR(VALUE(TRIM(SUBSTITUTE(SUBSTITUTE(SUBSTITUTE(TRIM(Respostas_Brutas!AS205),"R$",""),".",""),",","."))),0)-IFERROR(VALUE(TRIM(SUBSTITUTE(SUBSTITUTE(SUBSTITUTE(TRIM(Respostas_Brutas!T205),"R$",""),".",""),",","."))),0))/IFERROR(VALUE(TRIM(SUBSTITUTE(SUBSTITUTE(SUBSTITUTE(TRIM(Respostas_Brutas!AS205),"R$",""),".",""),",","."))),0)),""))</f>
        <v/>
      </c>
      <c r="C205" s="4" t="str">
        <f>IF(Respostas_Brutas!B205="","",MIN(1,(IFERROR(VALUE(LEFT(Respostas_Brutas!I205,IFERROR(FIND(" ",Respostas_Brutas!I205)-1,LEN(Respostas_Brutas!I205)))),0)+IFERROR(VALUE(LEFT(Respostas_Brutas!O205,IFERROR(FIND(" ",Respostas_Brutas!O205)-1,LEN(Respostas_Brutas!O205)))),0))/20))</f>
        <v/>
      </c>
      <c r="D205" s="4" t="str">
        <f>IF(Respostas_Brutas!B205="","",IF(Respostas_Brutas!D205="","",MIN(1,MAX(0,(YEAR(TODAY())-N(Respostas_Brutas!D205))/15))))</f>
        <v/>
      </c>
      <c r="E205" s="4" t="str">
        <f>IF(Respostas_Brutas!B205="","",IF(ISNUMBER(SEARCH("Sim",Respostas_Brutas!S205)),1,0))</f>
        <v/>
      </c>
      <c r="F205" s="4" t="str">
        <f>IF(Respostas_Brutas!B205="","",IFERROR(N(Respostas_Brutas!Y205)/N(Respostas_Brutas!Z205),""))</f>
        <v/>
      </c>
      <c r="G205" s="4" t="str">
        <f>IF(Respostas_Brutas!B205="","",IF(Respostas_Brutas!K205&lt;&gt;"",1,0))</f>
        <v/>
      </c>
      <c r="H205" s="4" t="str">
        <f>IF(Respostas_Brutas!B205="","",IF(ISNUMBER(SEARCH("Não",Respostas_Brutas!AH205)),1,0))</f>
        <v/>
      </c>
      <c r="I205" s="4" t="str">
        <f>IF(Respostas_Brutas!B205="","",IF(ISNUMBER(SEARCH("Sim",Respostas_Brutas!AL205)),1,0))</f>
        <v/>
      </c>
      <c r="J205" s="4" t="str">
        <f>IF(Respostas_Brutas!B205="","",IF(Respostas_Brutas!AN205="","",MIN(1,MAX(0,(N(Respostas_Brutas!AN205)-1)/4))))</f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tr">
        <f>IF(Respostas_Brutas!B206="","",Respostas_Brutas!B206)</f>
        <v/>
      </c>
      <c r="B206" s="4" t="str">
        <f>IF(Respostas_Brutas!B206="","",IFERROR(IF(IFERROR(VALUE(TRIM(SUBSTITUTE(SUBSTITUTE(SUBSTITUTE(TRIM(Respostas_Brutas!AS206),"R$",""),".",""),",","."))),0)=0,"",(IFERROR(VALUE(TRIM(SUBSTITUTE(SUBSTITUTE(SUBSTITUTE(TRIM(Respostas_Brutas!AS206),"R$",""),".",""),",","."))),0)-IFERROR(VALUE(TRIM(SUBSTITUTE(SUBSTITUTE(SUBSTITUTE(TRIM(Respostas_Brutas!T206),"R$",""),".",""),",","."))),0))/IFERROR(VALUE(TRIM(SUBSTITUTE(SUBSTITUTE(SUBSTITUTE(TRIM(Respostas_Brutas!AS206),"R$",""),".",""),",","."))),0)),""))</f>
        <v/>
      </c>
      <c r="C206" s="4" t="str">
        <f>IF(Respostas_Brutas!B206="","",MIN(1,(IFERROR(VALUE(LEFT(Respostas_Brutas!I206,IFERROR(FIND(" ",Respostas_Brutas!I206)-1,LEN(Respostas_Brutas!I206)))),0)+IFERROR(VALUE(LEFT(Respostas_Brutas!O206,IFERROR(FIND(" ",Respostas_Brutas!O206)-1,LEN(Respostas_Brutas!O206)))),0))/20))</f>
        <v/>
      </c>
      <c r="D206" s="4" t="str">
        <f>IF(Respostas_Brutas!B206="","",IF(Respostas_Brutas!D206="","",MIN(1,MAX(0,(YEAR(TODAY())-N(Respostas_Brutas!D206))/15))))</f>
        <v/>
      </c>
      <c r="E206" s="4" t="str">
        <f>IF(Respostas_Brutas!B206="","",IF(ISNUMBER(SEARCH("Sim",Respostas_Brutas!S206)),1,0))</f>
        <v/>
      </c>
      <c r="F206" s="4" t="str">
        <f>IF(Respostas_Brutas!B206="","",IFERROR(N(Respostas_Brutas!Y206)/N(Respostas_Brutas!Z206),""))</f>
        <v/>
      </c>
      <c r="G206" s="4" t="str">
        <f>IF(Respostas_Brutas!B206="","",IF(Respostas_Brutas!K206&lt;&gt;"",1,0))</f>
        <v/>
      </c>
      <c r="H206" s="4" t="str">
        <f>IF(Respostas_Brutas!B206="","",IF(ISNUMBER(SEARCH("Não",Respostas_Brutas!AH206)),1,0))</f>
        <v/>
      </c>
      <c r="I206" s="4" t="str">
        <f>IF(Respostas_Brutas!B206="","",IF(ISNUMBER(SEARCH("Sim",Respostas_Brutas!AL206)),1,0))</f>
        <v/>
      </c>
      <c r="J206" s="4" t="str">
        <f>IF(Respostas_Brutas!B206="","",IF(Respostas_Brutas!AN206="","",MIN(1,MAX(0,(N(Respostas_Brutas!AN206)-1)/4))))</f>
        <v/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tr">
        <f>IF(Respostas_Brutas!B207="","",Respostas_Brutas!B207)</f>
        <v/>
      </c>
      <c r="B207" s="4" t="str">
        <f>IF(Respostas_Brutas!B207="","",IFERROR(IF(IFERROR(VALUE(TRIM(SUBSTITUTE(SUBSTITUTE(SUBSTITUTE(TRIM(Respostas_Brutas!AS207),"R$",""),".",""),",","."))),0)=0,"",(IFERROR(VALUE(TRIM(SUBSTITUTE(SUBSTITUTE(SUBSTITUTE(TRIM(Respostas_Brutas!AS207),"R$",""),".",""),",","."))),0)-IFERROR(VALUE(TRIM(SUBSTITUTE(SUBSTITUTE(SUBSTITUTE(TRIM(Respostas_Brutas!T207),"R$",""),".",""),",","."))),0))/IFERROR(VALUE(TRIM(SUBSTITUTE(SUBSTITUTE(SUBSTITUTE(TRIM(Respostas_Brutas!AS207),"R$",""),".",""),",","."))),0)),""))</f>
        <v/>
      </c>
      <c r="C207" s="4" t="str">
        <f>IF(Respostas_Brutas!B207="","",MIN(1,(IFERROR(VALUE(LEFT(Respostas_Brutas!I207,IFERROR(FIND(" ",Respostas_Brutas!I207)-1,LEN(Respostas_Brutas!I207)))),0)+IFERROR(VALUE(LEFT(Respostas_Brutas!O207,IFERROR(FIND(" ",Respostas_Brutas!O207)-1,LEN(Respostas_Brutas!O207)))),0))/20))</f>
        <v/>
      </c>
      <c r="D207" s="4" t="str">
        <f>IF(Respostas_Brutas!B207="","",IF(Respostas_Brutas!D207="","",MIN(1,MAX(0,(YEAR(TODAY())-N(Respostas_Brutas!D207))/15))))</f>
        <v/>
      </c>
      <c r="E207" s="4" t="str">
        <f>IF(Respostas_Brutas!B207="","",IF(ISNUMBER(SEARCH("Sim",Respostas_Brutas!S207)),1,0))</f>
        <v/>
      </c>
      <c r="F207" s="4" t="str">
        <f>IF(Respostas_Brutas!B207="","",IFERROR(N(Respostas_Brutas!Y207)/N(Respostas_Brutas!Z207),""))</f>
        <v/>
      </c>
      <c r="G207" s="4" t="str">
        <f>IF(Respostas_Brutas!B207="","",IF(Respostas_Brutas!K207&lt;&gt;"",1,0))</f>
        <v/>
      </c>
      <c r="H207" s="4" t="str">
        <f>IF(Respostas_Brutas!B207="","",IF(ISNUMBER(SEARCH("Não",Respostas_Brutas!AH207)),1,0))</f>
        <v/>
      </c>
      <c r="I207" s="4" t="str">
        <f>IF(Respostas_Brutas!B207="","",IF(ISNUMBER(SEARCH("Sim",Respostas_Brutas!AL207)),1,0))</f>
        <v/>
      </c>
      <c r="J207" s="4" t="str">
        <f>IF(Respostas_Brutas!B207="","",IF(Respostas_Brutas!AN207="","",MIN(1,MAX(0,(N(Respostas_Brutas!AN207)-1)/4))))</f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tr">
        <f>IF(Respostas_Brutas!B208="","",Respostas_Brutas!B208)</f>
        <v/>
      </c>
      <c r="B208" s="4" t="str">
        <f>IF(Respostas_Brutas!B208="","",IFERROR(IF(IFERROR(VALUE(TRIM(SUBSTITUTE(SUBSTITUTE(SUBSTITUTE(TRIM(Respostas_Brutas!AS208),"R$",""),".",""),",","."))),0)=0,"",(IFERROR(VALUE(TRIM(SUBSTITUTE(SUBSTITUTE(SUBSTITUTE(TRIM(Respostas_Brutas!AS208),"R$",""),".",""),",","."))),0)-IFERROR(VALUE(TRIM(SUBSTITUTE(SUBSTITUTE(SUBSTITUTE(TRIM(Respostas_Brutas!T208),"R$",""),".",""),",","."))),0))/IFERROR(VALUE(TRIM(SUBSTITUTE(SUBSTITUTE(SUBSTITUTE(TRIM(Respostas_Brutas!AS208),"R$",""),".",""),",","."))),0)),""))</f>
        <v/>
      </c>
      <c r="C208" s="4" t="str">
        <f>IF(Respostas_Brutas!B208="","",MIN(1,(IFERROR(VALUE(LEFT(Respostas_Brutas!I208,IFERROR(FIND(" ",Respostas_Brutas!I208)-1,LEN(Respostas_Brutas!I208)))),0)+IFERROR(VALUE(LEFT(Respostas_Brutas!O208,IFERROR(FIND(" ",Respostas_Brutas!O208)-1,LEN(Respostas_Brutas!O208)))),0))/20))</f>
        <v/>
      </c>
      <c r="D208" s="4" t="str">
        <f>IF(Respostas_Brutas!B208="","",IF(Respostas_Brutas!D208="","",MIN(1,MAX(0,(YEAR(TODAY())-N(Respostas_Brutas!D208))/15))))</f>
        <v/>
      </c>
      <c r="E208" s="4" t="str">
        <f>IF(Respostas_Brutas!B208="","",IF(ISNUMBER(SEARCH("Sim",Respostas_Brutas!S208)),1,0))</f>
        <v/>
      </c>
      <c r="F208" s="4" t="str">
        <f>IF(Respostas_Brutas!B208="","",IFERROR(N(Respostas_Brutas!Y208)/N(Respostas_Brutas!Z208),""))</f>
        <v/>
      </c>
      <c r="G208" s="4" t="str">
        <f>IF(Respostas_Brutas!B208="","",IF(Respostas_Brutas!K208&lt;&gt;"",1,0))</f>
        <v/>
      </c>
      <c r="H208" s="4" t="str">
        <f>IF(Respostas_Brutas!B208="","",IF(ISNUMBER(SEARCH("Não",Respostas_Brutas!AH208)),1,0))</f>
        <v/>
      </c>
      <c r="I208" s="4" t="str">
        <f>IF(Respostas_Brutas!B208="","",IF(ISNUMBER(SEARCH("Sim",Respostas_Brutas!AL208)),1,0))</f>
        <v/>
      </c>
      <c r="J208" s="4" t="str">
        <f>IF(Respostas_Brutas!B208="","",IF(Respostas_Brutas!AN208="","",MIN(1,MAX(0,(N(Respostas_Brutas!AN208)-1)/4))))</f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tr">
        <f>IF(Respostas_Brutas!B209="","",Respostas_Brutas!B209)</f>
        <v/>
      </c>
      <c r="B209" s="4" t="str">
        <f>IF(Respostas_Brutas!B209="","",IFERROR(IF(IFERROR(VALUE(TRIM(SUBSTITUTE(SUBSTITUTE(SUBSTITUTE(TRIM(Respostas_Brutas!AS209),"R$",""),".",""),",","."))),0)=0,"",(IFERROR(VALUE(TRIM(SUBSTITUTE(SUBSTITUTE(SUBSTITUTE(TRIM(Respostas_Brutas!AS209),"R$",""),".",""),",","."))),0)-IFERROR(VALUE(TRIM(SUBSTITUTE(SUBSTITUTE(SUBSTITUTE(TRIM(Respostas_Brutas!T209),"R$",""),".",""),",","."))),0))/IFERROR(VALUE(TRIM(SUBSTITUTE(SUBSTITUTE(SUBSTITUTE(TRIM(Respostas_Brutas!AS209),"R$",""),".",""),",","."))),0)),""))</f>
        <v/>
      </c>
      <c r="C209" s="4" t="str">
        <f>IF(Respostas_Brutas!B209="","",MIN(1,(IFERROR(VALUE(LEFT(Respostas_Brutas!I209,IFERROR(FIND(" ",Respostas_Brutas!I209)-1,LEN(Respostas_Brutas!I209)))),0)+IFERROR(VALUE(LEFT(Respostas_Brutas!O209,IFERROR(FIND(" ",Respostas_Brutas!O209)-1,LEN(Respostas_Brutas!O209)))),0))/20))</f>
        <v/>
      </c>
      <c r="D209" s="4" t="str">
        <f>IF(Respostas_Brutas!B209="","",IF(Respostas_Brutas!D209="","",MIN(1,MAX(0,(YEAR(TODAY())-N(Respostas_Brutas!D209))/15))))</f>
        <v/>
      </c>
      <c r="E209" s="4" t="str">
        <f>IF(Respostas_Brutas!B209="","",IF(ISNUMBER(SEARCH("Sim",Respostas_Brutas!S209)),1,0))</f>
        <v/>
      </c>
      <c r="F209" s="4" t="str">
        <f>IF(Respostas_Brutas!B209="","",IFERROR(N(Respostas_Brutas!Y209)/N(Respostas_Brutas!Z209),""))</f>
        <v/>
      </c>
      <c r="G209" s="4" t="str">
        <f>IF(Respostas_Brutas!B209="","",IF(Respostas_Brutas!K209&lt;&gt;"",1,0))</f>
        <v/>
      </c>
      <c r="H209" s="4" t="str">
        <f>IF(Respostas_Brutas!B209="","",IF(ISNUMBER(SEARCH("Não",Respostas_Brutas!AH209)),1,0))</f>
        <v/>
      </c>
      <c r="I209" s="4" t="str">
        <f>IF(Respostas_Brutas!B209="","",IF(ISNUMBER(SEARCH("Sim",Respostas_Brutas!AL209)),1,0))</f>
        <v/>
      </c>
      <c r="J209" s="4" t="str">
        <f>IF(Respostas_Brutas!B209="","",IF(Respostas_Brutas!AN209="","",MIN(1,MAX(0,(N(Respostas_Brutas!AN209)-1)/4))))</f>
        <v/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tr">
        <f>IF(Respostas_Brutas!B210="","",Respostas_Brutas!B210)</f>
        <v/>
      </c>
      <c r="B210" s="4" t="str">
        <f>IF(Respostas_Brutas!B210="","",IFERROR(IF(IFERROR(VALUE(TRIM(SUBSTITUTE(SUBSTITUTE(SUBSTITUTE(TRIM(Respostas_Brutas!AS210),"R$",""),".",""),",","."))),0)=0,"",(IFERROR(VALUE(TRIM(SUBSTITUTE(SUBSTITUTE(SUBSTITUTE(TRIM(Respostas_Brutas!AS210),"R$",""),".",""),",","."))),0)-IFERROR(VALUE(TRIM(SUBSTITUTE(SUBSTITUTE(SUBSTITUTE(TRIM(Respostas_Brutas!T210),"R$",""),".",""),",","."))),0))/IFERROR(VALUE(TRIM(SUBSTITUTE(SUBSTITUTE(SUBSTITUTE(TRIM(Respostas_Brutas!AS210),"R$",""),".",""),",","."))),0)),""))</f>
        <v/>
      </c>
      <c r="C210" s="4" t="str">
        <f>IF(Respostas_Brutas!B210="","",MIN(1,(IFERROR(VALUE(LEFT(Respostas_Brutas!I210,IFERROR(FIND(" ",Respostas_Brutas!I210)-1,LEN(Respostas_Brutas!I210)))),0)+IFERROR(VALUE(LEFT(Respostas_Brutas!O210,IFERROR(FIND(" ",Respostas_Brutas!O210)-1,LEN(Respostas_Brutas!O210)))),0))/20))</f>
        <v/>
      </c>
      <c r="D210" s="4" t="str">
        <f>IF(Respostas_Brutas!B210="","",IF(Respostas_Brutas!D210="","",MIN(1,MAX(0,(YEAR(TODAY())-N(Respostas_Brutas!D210))/15))))</f>
        <v/>
      </c>
      <c r="E210" s="4" t="str">
        <f>IF(Respostas_Brutas!B210="","",IF(ISNUMBER(SEARCH("Sim",Respostas_Brutas!S210)),1,0))</f>
        <v/>
      </c>
      <c r="F210" s="4" t="str">
        <f>IF(Respostas_Brutas!B210="","",IFERROR(N(Respostas_Brutas!Y210)/N(Respostas_Brutas!Z210),""))</f>
        <v/>
      </c>
      <c r="G210" s="4" t="str">
        <f>IF(Respostas_Brutas!B210="","",IF(Respostas_Brutas!K210&lt;&gt;"",1,0))</f>
        <v/>
      </c>
      <c r="H210" s="4" t="str">
        <f>IF(Respostas_Brutas!B210="","",IF(ISNUMBER(SEARCH("Não",Respostas_Brutas!AH210)),1,0))</f>
        <v/>
      </c>
      <c r="I210" s="4" t="str">
        <f>IF(Respostas_Brutas!B210="","",IF(ISNUMBER(SEARCH("Sim",Respostas_Brutas!AL210)),1,0))</f>
        <v/>
      </c>
      <c r="J210" s="4" t="str">
        <f>IF(Respostas_Brutas!B210="","",IF(Respostas_Brutas!AN210="","",MIN(1,MAX(0,(N(Respostas_Brutas!AN210)-1)/4))))</f>
        <v/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tr">
        <f>IF(Respostas_Brutas!B211="","",Respostas_Brutas!B211)</f>
        <v/>
      </c>
      <c r="B211" s="4" t="str">
        <f>IF(Respostas_Brutas!B211="","",IFERROR(IF(IFERROR(VALUE(TRIM(SUBSTITUTE(SUBSTITUTE(SUBSTITUTE(TRIM(Respostas_Brutas!AS211),"R$",""),".",""),",","."))),0)=0,"",(IFERROR(VALUE(TRIM(SUBSTITUTE(SUBSTITUTE(SUBSTITUTE(TRIM(Respostas_Brutas!AS211),"R$",""),".",""),",","."))),0)-IFERROR(VALUE(TRIM(SUBSTITUTE(SUBSTITUTE(SUBSTITUTE(TRIM(Respostas_Brutas!T211),"R$",""),".",""),",","."))),0))/IFERROR(VALUE(TRIM(SUBSTITUTE(SUBSTITUTE(SUBSTITUTE(TRIM(Respostas_Brutas!AS211),"R$",""),".",""),",","."))),0)),""))</f>
        <v/>
      </c>
      <c r="C211" s="4" t="str">
        <f>IF(Respostas_Brutas!B211="","",MIN(1,(IFERROR(VALUE(LEFT(Respostas_Brutas!I211,IFERROR(FIND(" ",Respostas_Brutas!I211)-1,LEN(Respostas_Brutas!I211)))),0)+IFERROR(VALUE(LEFT(Respostas_Brutas!O211,IFERROR(FIND(" ",Respostas_Brutas!O211)-1,LEN(Respostas_Brutas!O211)))),0))/20))</f>
        <v/>
      </c>
      <c r="D211" s="4" t="str">
        <f>IF(Respostas_Brutas!B211="","",IF(Respostas_Brutas!D211="","",MIN(1,MAX(0,(YEAR(TODAY())-N(Respostas_Brutas!D211))/15))))</f>
        <v/>
      </c>
      <c r="E211" s="4" t="str">
        <f>IF(Respostas_Brutas!B211="","",IF(ISNUMBER(SEARCH("Sim",Respostas_Brutas!S211)),1,0))</f>
        <v/>
      </c>
      <c r="F211" s="4" t="str">
        <f>IF(Respostas_Brutas!B211="","",IFERROR(N(Respostas_Brutas!Y211)/N(Respostas_Brutas!Z211),""))</f>
        <v/>
      </c>
      <c r="G211" s="4" t="str">
        <f>IF(Respostas_Brutas!B211="","",IF(Respostas_Brutas!K211&lt;&gt;"",1,0))</f>
        <v/>
      </c>
      <c r="H211" s="4" t="str">
        <f>IF(Respostas_Brutas!B211="","",IF(ISNUMBER(SEARCH("Não",Respostas_Brutas!AH211)),1,0))</f>
        <v/>
      </c>
      <c r="I211" s="4" t="str">
        <f>IF(Respostas_Brutas!B211="","",IF(ISNUMBER(SEARCH("Sim",Respostas_Brutas!AL211)),1,0))</f>
        <v/>
      </c>
      <c r="J211" s="4" t="str">
        <f>IF(Respostas_Brutas!B211="","",IF(Respostas_Brutas!AN211="","",MIN(1,MAX(0,(N(Respostas_Brutas!AN211)-1)/4))))</f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tr">
        <f>IF(Respostas_Brutas!B212="","",Respostas_Brutas!B212)</f>
        <v/>
      </c>
      <c r="B212" s="4" t="str">
        <f>IF(Respostas_Brutas!B212="","",IFERROR(IF(IFERROR(VALUE(TRIM(SUBSTITUTE(SUBSTITUTE(SUBSTITUTE(TRIM(Respostas_Brutas!AS212),"R$",""),".",""),",","."))),0)=0,"",(IFERROR(VALUE(TRIM(SUBSTITUTE(SUBSTITUTE(SUBSTITUTE(TRIM(Respostas_Brutas!AS212),"R$",""),".",""),",","."))),0)-IFERROR(VALUE(TRIM(SUBSTITUTE(SUBSTITUTE(SUBSTITUTE(TRIM(Respostas_Brutas!T212),"R$",""),".",""),",","."))),0))/IFERROR(VALUE(TRIM(SUBSTITUTE(SUBSTITUTE(SUBSTITUTE(TRIM(Respostas_Brutas!AS212),"R$",""),".",""),",","."))),0)),""))</f>
        <v/>
      </c>
      <c r="C212" s="4" t="str">
        <f>IF(Respostas_Brutas!B212="","",MIN(1,(IFERROR(VALUE(LEFT(Respostas_Brutas!I212,IFERROR(FIND(" ",Respostas_Brutas!I212)-1,LEN(Respostas_Brutas!I212)))),0)+IFERROR(VALUE(LEFT(Respostas_Brutas!O212,IFERROR(FIND(" ",Respostas_Brutas!O212)-1,LEN(Respostas_Brutas!O212)))),0))/20))</f>
        <v/>
      </c>
      <c r="D212" s="4" t="str">
        <f>IF(Respostas_Brutas!B212="","",IF(Respostas_Brutas!D212="","",MIN(1,MAX(0,(YEAR(TODAY())-N(Respostas_Brutas!D212))/15))))</f>
        <v/>
      </c>
      <c r="E212" s="4" t="str">
        <f>IF(Respostas_Brutas!B212="","",IF(ISNUMBER(SEARCH("Sim",Respostas_Brutas!S212)),1,0))</f>
        <v/>
      </c>
      <c r="F212" s="4" t="str">
        <f>IF(Respostas_Brutas!B212="","",IFERROR(N(Respostas_Brutas!Y212)/N(Respostas_Brutas!Z212),""))</f>
        <v/>
      </c>
      <c r="G212" s="4" t="str">
        <f>IF(Respostas_Brutas!B212="","",IF(Respostas_Brutas!K212&lt;&gt;"",1,0))</f>
        <v/>
      </c>
      <c r="H212" s="4" t="str">
        <f>IF(Respostas_Brutas!B212="","",IF(ISNUMBER(SEARCH("Não",Respostas_Brutas!AH212)),1,0))</f>
        <v/>
      </c>
      <c r="I212" s="4" t="str">
        <f>IF(Respostas_Brutas!B212="","",IF(ISNUMBER(SEARCH("Sim",Respostas_Brutas!AL212)),1,0))</f>
        <v/>
      </c>
      <c r="J212" s="4" t="str">
        <f>IF(Respostas_Brutas!B212="","",IF(Respostas_Brutas!AN212="","",MIN(1,MAX(0,(N(Respostas_Brutas!AN212)-1)/4))))</f>
        <v/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tr">
        <f>IF(Respostas_Brutas!B213="","",Respostas_Brutas!B213)</f>
        <v/>
      </c>
      <c r="B213" s="4" t="str">
        <f>IF(Respostas_Brutas!B213="","",IFERROR(IF(IFERROR(VALUE(TRIM(SUBSTITUTE(SUBSTITUTE(SUBSTITUTE(TRIM(Respostas_Brutas!AS213),"R$",""),".",""),",","."))),0)=0,"",(IFERROR(VALUE(TRIM(SUBSTITUTE(SUBSTITUTE(SUBSTITUTE(TRIM(Respostas_Brutas!AS213),"R$",""),".",""),",","."))),0)-IFERROR(VALUE(TRIM(SUBSTITUTE(SUBSTITUTE(SUBSTITUTE(TRIM(Respostas_Brutas!T213),"R$",""),".",""),",","."))),0))/IFERROR(VALUE(TRIM(SUBSTITUTE(SUBSTITUTE(SUBSTITUTE(TRIM(Respostas_Brutas!AS213),"R$",""),".",""),",","."))),0)),""))</f>
        <v/>
      </c>
      <c r="C213" s="4" t="str">
        <f>IF(Respostas_Brutas!B213="","",MIN(1,(IFERROR(VALUE(LEFT(Respostas_Brutas!I213,IFERROR(FIND(" ",Respostas_Brutas!I213)-1,LEN(Respostas_Brutas!I213)))),0)+IFERROR(VALUE(LEFT(Respostas_Brutas!O213,IFERROR(FIND(" ",Respostas_Brutas!O213)-1,LEN(Respostas_Brutas!O213)))),0))/20))</f>
        <v/>
      </c>
      <c r="D213" s="4" t="str">
        <f>IF(Respostas_Brutas!B213="","",IF(Respostas_Brutas!D213="","",MIN(1,MAX(0,(YEAR(TODAY())-N(Respostas_Brutas!D213))/15))))</f>
        <v/>
      </c>
      <c r="E213" s="4" t="str">
        <f>IF(Respostas_Brutas!B213="","",IF(ISNUMBER(SEARCH("Sim",Respostas_Brutas!S213)),1,0))</f>
        <v/>
      </c>
      <c r="F213" s="4" t="str">
        <f>IF(Respostas_Brutas!B213="","",IFERROR(N(Respostas_Brutas!Y213)/N(Respostas_Brutas!Z213),""))</f>
        <v/>
      </c>
      <c r="G213" s="4" t="str">
        <f>IF(Respostas_Brutas!B213="","",IF(Respostas_Brutas!K213&lt;&gt;"",1,0))</f>
        <v/>
      </c>
      <c r="H213" s="4" t="str">
        <f>IF(Respostas_Brutas!B213="","",IF(ISNUMBER(SEARCH("Não",Respostas_Brutas!AH213)),1,0))</f>
        <v/>
      </c>
      <c r="I213" s="4" t="str">
        <f>IF(Respostas_Brutas!B213="","",IF(ISNUMBER(SEARCH("Sim",Respostas_Brutas!AL213)),1,0))</f>
        <v/>
      </c>
      <c r="J213" s="4" t="str">
        <f>IF(Respostas_Brutas!B213="","",IF(Respostas_Brutas!AN213="","",MIN(1,MAX(0,(N(Respostas_Brutas!AN213)-1)/4))))</f>
        <v/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tr">
        <f>IF(Respostas_Brutas!B214="","",Respostas_Brutas!B214)</f>
        <v/>
      </c>
      <c r="B214" s="4" t="str">
        <f>IF(Respostas_Brutas!B214="","",IFERROR(IF(IFERROR(VALUE(TRIM(SUBSTITUTE(SUBSTITUTE(SUBSTITUTE(TRIM(Respostas_Brutas!AS214),"R$",""),".",""),",","."))),0)=0,"",(IFERROR(VALUE(TRIM(SUBSTITUTE(SUBSTITUTE(SUBSTITUTE(TRIM(Respostas_Brutas!AS214),"R$",""),".",""),",","."))),0)-IFERROR(VALUE(TRIM(SUBSTITUTE(SUBSTITUTE(SUBSTITUTE(TRIM(Respostas_Brutas!T214),"R$",""),".",""),",","."))),0))/IFERROR(VALUE(TRIM(SUBSTITUTE(SUBSTITUTE(SUBSTITUTE(TRIM(Respostas_Brutas!AS214),"R$",""),".",""),",","."))),0)),""))</f>
        <v/>
      </c>
      <c r="C214" s="4" t="str">
        <f>IF(Respostas_Brutas!B214="","",MIN(1,(IFERROR(VALUE(LEFT(Respostas_Brutas!I214,IFERROR(FIND(" ",Respostas_Brutas!I214)-1,LEN(Respostas_Brutas!I214)))),0)+IFERROR(VALUE(LEFT(Respostas_Brutas!O214,IFERROR(FIND(" ",Respostas_Brutas!O214)-1,LEN(Respostas_Brutas!O214)))),0))/20))</f>
        <v/>
      </c>
      <c r="D214" s="4" t="str">
        <f>IF(Respostas_Brutas!B214="","",IF(Respostas_Brutas!D214="","",MIN(1,MAX(0,(YEAR(TODAY())-N(Respostas_Brutas!D214))/15))))</f>
        <v/>
      </c>
      <c r="E214" s="4" t="str">
        <f>IF(Respostas_Brutas!B214="","",IF(ISNUMBER(SEARCH("Sim",Respostas_Brutas!S214)),1,0))</f>
        <v/>
      </c>
      <c r="F214" s="4" t="str">
        <f>IF(Respostas_Brutas!B214="","",IFERROR(N(Respostas_Brutas!Y214)/N(Respostas_Brutas!Z214),""))</f>
        <v/>
      </c>
      <c r="G214" s="4" t="str">
        <f>IF(Respostas_Brutas!B214="","",IF(Respostas_Brutas!K214&lt;&gt;"",1,0))</f>
        <v/>
      </c>
      <c r="H214" s="4" t="str">
        <f>IF(Respostas_Brutas!B214="","",IF(ISNUMBER(SEARCH("Não",Respostas_Brutas!AH214)),1,0))</f>
        <v/>
      </c>
      <c r="I214" s="4" t="str">
        <f>IF(Respostas_Brutas!B214="","",IF(ISNUMBER(SEARCH("Sim",Respostas_Brutas!AL214)),1,0))</f>
        <v/>
      </c>
      <c r="J214" s="4" t="str">
        <f>IF(Respostas_Brutas!B214="","",IF(Respostas_Brutas!AN214="","",MIN(1,MAX(0,(N(Respostas_Brutas!AN214)-1)/4))))</f>
        <v/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tr">
        <f>IF(Respostas_Brutas!B215="","",Respostas_Brutas!B215)</f>
        <v/>
      </c>
      <c r="B215" s="4" t="str">
        <f>IF(Respostas_Brutas!B215="","",IFERROR(IF(IFERROR(VALUE(TRIM(SUBSTITUTE(SUBSTITUTE(SUBSTITUTE(TRIM(Respostas_Brutas!AS215),"R$",""),".",""),",","."))),0)=0,"",(IFERROR(VALUE(TRIM(SUBSTITUTE(SUBSTITUTE(SUBSTITUTE(TRIM(Respostas_Brutas!AS215),"R$",""),".",""),",","."))),0)-IFERROR(VALUE(TRIM(SUBSTITUTE(SUBSTITUTE(SUBSTITUTE(TRIM(Respostas_Brutas!T215),"R$",""),".",""),",","."))),0))/IFERROR(VALUE(TRIM(SUBSTITUTE(SUBSTITUTE(SUBSTITUTE(TRIM(Respostas_Brutas!AS215),"R$",""),".",""),",","."))),0)),""))</f>
        <v/>
      </c>
      <c r="C215" s="4" t="str">
        <f>IF(Respostas_Brutas!B215="","",MIN(1,(IFERROR(VALUE(LEFT(Respostas_Brutas!I215,IFERROR(FIND(" ",Respostas_Brutas!I215)-1,LEN(Respostas_Brutas!I215)))),0)+IFERROR(VALUE(LEFT(Respostas_Brutas!O215,IFERROR(FIND(" ",Respostas_Brutas!O215)-1,LEN(Respostas_Brutas!O215)))),0))/20))</f>
        <v/>
      </c>
      <c r="D215" s="4" t="str">
        <f>IF(Respostas_Brutas!B215="","",IF(Respostas_Brutas!D215="","",MIN(1,MAX(0,(YEAR(TODAY())-N(Respostas_Brutas!D215))/15))))</f>
        <v/>
      </c>
      <c r="E215" s="4" t="str">
        <f>IF(Respostas_Brutas!B215="","",IF(ISNUMBER(SEARCH("Sim",Respostas_Brutas!S215)),1,0))</f>
        <v/>
      </c>
      <c r="F215" s="4" t="str">
        <f>IF(Respostas_Brutas!B215="","",IFERROR(N(Respostas_Brutas!Y215)/N(Respostas_Brutas!Z215),""))</f>
        <v/>
      </c>
      <c r="G215" s="4" t="str">
        <f>IF(Respostas_Brutas!B215="","",IF(Respostas_Brutas!K215&lt;&gt;"",1,0))</f>
        <v/>
      </c>
      <c r="H215" s="4" t="str">
        <f>IF(Respostas_Brutas!B215="","",IF(ISNUMBER(SEARCH("Não",Respostas_Brutas!AH215)),1,0))</f>
        <v/>
      </c>
      <c r="I215" s="4" t="str">
        <f>IF(Respostas_Brutas!B215="","",IF(ISNUMBER(SEARCH("Sim",Respostas_Brutas!AL215)),1,0))</f>
        <v/>
      </c>
      <c r="J215" s="4" t="str">
        <f>IF(Respostas_Brutas!B215="","",IF(Respostas_Brutas!AN215="","",MIN(1,MAX(0,(N(Respostas_Brutas!AN215)-1)/4))))</f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tr">
        <f>IF(Respostas_Brutas!B216="","",Respostas_Brutas!B216)</f>
        <v/>
      </c>
      <c r="B216" s="4" t="str">
        <f>IF(Respostas_Brutas!B216="","",IFERROR(IF(IFERROR(VALUE(TRIM(SUBSTITUTE(SUBSTITUTE(SUBSTITUTE(TRIM(Respostas_Brutas!AS216),"R$",""),".",""),",","."))),0)=0,"",(IFERROR(VALUE(TRIM(SUBSTITUTE(SUBSTITUTE(SUBSTITUTE(TRIM(Respostas_Brutas!AS216),"R$",""),".",""),",","."))),0)-IFERROR(VALUE(TRIM(SUBSTITUTE(SUBSTITUTE(SUBSTITUTE(TRIM(Respostas_Brutas!T216),"R$",""),".",""),",","."))),0))/IFERROR(VALUE(TRIM(SUBSTITUTE(SUBSTITUTE(SUBSTITUTE(TRIM(Respostas_Brutas!AS216),"R$",""),".",""),",","."))),0)),""))</f>
        <v/>
      </c>
      <c r="C216" s="4" t="str">
        <f>IF(Respostas_Brutas!B216="","",MIN(1,(IFERROR(VALUE(LEFT(Respostas_Brutas!I216,IFERROR(FIND(" ",Respostas_Brutas!I216)-1,LEN(Respostas_Brutas!I216)))),0)+IFERROR(VALUE(LEFT(Respostas_Brutas!O216,IFERROR(FIND(" ",Respostas_Brutas!O216)-1,LEN(Respostas_Brutas!O216)))),0))/20))</f>
        <v/>
      </c>
      <c r="D216" s="4" t="str">
        <f>IF(Respostas_Brutas!B216="","",IF(Respostas_Brutas!D216="","",MIN(1,MAX(0,(YEAR(TODAY())-N(Respostas_Brutas!D216))/15))))</f>
        <v/>
      </c>
      <c r="E216" s="4" t="str">
        <f>IF(Respostas_Brutas!B216="","",IF(ISNUMBER(SEARCH("Sim",Respostas_Brutas!S216)),1,0))</f>
        <v/>
      </c>
      <c r="F216" s="4" t="str">
        <f>IF(Respostas_Brutas!B216="","",IFERROR(N(Respostas_Brutas!Y216)/N(Respostas_Brutas!Z216),""))</f>
        <v/>
      </c>
      <c r="G216" s="4" t="str">
        <f>IF(Respostas_Brutas!B216="","",IF(Respostas_Brutas!K216&lt;&gt;"",1,0))</f>
        <v/>
      </c>
      <c r="H216" s="4" t="str">
        <f>IF(Respostas_Brutas!B216="","",IF(ISNUMBER(SEARCH("Não",Respostas_Brutas!AH216)),1,0))</f>
        <v/>
      </c>
      <c r="I216" s="4" t="str">
        <f>IF(Respostas_Brutas!B216="","",IF(ISNUMBER(SEARCH("Sim",Respostas_Brutas!AL216)),1,0))</f>
        <v/>
      </c>
      <c r="J216" s="4" t="str">
        <f>IF(Respostas_Brutas!B216="","",IF(Respostas_Brutas!AN216="","",MIN(1,MAX(0,(N(Respostas_Brutas!AN216)-1)/4))))</f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tr">
        <f>IF(Respostas_Brutas!B217="","",Respostas_Brutas!B217)</f>
        <v/>
      </c>
      <c r="B217" s="4" t="str">
        <f>IF(Respostas_Brutas!B217="","",IFERROR(IF(IFERROR(VALUE(TRIM(SUBSTITUTE(SUBSTITUTE(SUBSTITUTE(TRIM(Respostas_Brutas!AS217),"R$",""),".",""),",","."))),0)=0,"",(IFERROR(VALUE(TRIM(SUBSTITUTE(SUBSTITUTE(SUBSTITUTE(TRIM(Respostas_Brutas!AS217),"R$",""),".",""),",","."))),0)-IFERROR(VALUE(TRIM(SUBSTITUTE(SUBSTITUTE(SUBSTITUTE(TRIM(Respostas_Brutas!T217),"R$",""),".",""),",","."))),0))/IFERROR(VALUE(TRIM(SUBSTITUTE(SUBSTITUTE(SUBSTITUTE(TRIM(Respostas_Brutas!AS217),"R$",""),".",""),",","."))),0)),""))</f>
        <v/>
      </c>
      <c r="C217" s="4" t="str">
        <f>IF(Respostas_Brutas!B217="","",MIN(1,(IFERROR(VALUE(LEFT(Respostas_Brutas!I217,IFERROR(FIND(" ",Respostas_Brutas!I217)-1,LEN(Respostas_Brutas!I217)))),0)+IFERROR(VALUE(LEFT(Respostas_Brutas!O217,IFERROR(FIND(" ",Respostas_Brutas!O217)-1,LEN(Respostas_Brutas!O217)))),0))/20))</f>
        <v/>
      </c>
      <c r="D217" s="4" t="str">
        <f>IF(Respostas_Brutas!B217="","",IF(Respostas_Brutas!D217="","",MIN(1,MAX(0,(YEAR(TODAY())-N(Respostas_Brutas!D217))/15))))</f>
        <v/>
      </c>
      <c r="E217" s="4" t="str">
        <f>IF(Respostas_Brutas!B217="","",IF(ISNUMBER(SEARCH("Sim",Respostas_Brutas!S217)),1,0))</f>
        <v/>
      </c>
      <c r="F217" s="4" t="str">
        <f>IF(Respostas_Brutas!B217="","",IFERROR(N(Respostas_Brutas!Y217)/N(Respostas_Brutas!Z217),""))</f>
        <v/>
      </c>
      <c r="G217" s="4" t="str">
        <f>IF(Respostas_Brutas!B217="","",IF(Respostas_Brutas!K217&lt;&gt;"",1,0))</f>
        <v/>
      </c>
      <c r="H217" s="4" t="str">
        <f>IF(Respostas_Brutas!B217="","",IF(ISNUMBER(SEARCH("Não",Respostas_Brutas!AH217)),1,0))</f>
        <v/>
      </c>
      <c r="I217" s="4" t="str">
        <f>IF(Respostas_Brutas!B217="","",IF(ISNUMBER(SEARCH("Sim",Respostas_Brutas!AL217)),1,0))</f>
        <v/>
      </c>
      <c r="J217" s="4" t="str">
        <f>IF(Respostas_Brutas!B217="","",IF(Respostas_Brutas!AN217="","",MIN(1,MAX(0,(N(Respostas_Brutas!AN217)-1)/4))))</f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tr">
        <f>IF(Respostas_Brutas!B218="","",Respostas_Brutas!B218)</f>
        <v/>
      </c>
      <c r="B218" s="4" t="str">
        <f>IF(Respostas_Brutas!B218="","",IFERROR(IF(IFERROR(VALUE(TRIM(SUBSTITUTE(SUBSTITUTE(SUBSTITUTE(TRIM(Respostas_Brutas!AS218),"R$",""),".",""),",","."))),0)=0,"",(IFERROR(VALUE(TRIM(SUBSTITUTE(SUBSTITUTE(SUBSTITUTE(TRIM(Respostas_Brutas!AS218),"R$",""),".",""),",","."))),0)-IFERROR(VALUE(TRIM(SUBSTITUTE(SUBSTITUTE(SUBSTITUTE(TRIM(Respostas_Brutas!T218),"R$",""),".",""),",","."))),0))/IFERROR(VALUE(TRIM(SUBSTITUTE(SUBSTITUTE(SUBSTITUTE(TRIM(Respostas_Brutas!AS218),"R$",""),".",""),",","."))),0)),""))</f>
        <v/>
      </c>
      <c r="C218" s="4" t="str">
        <f>IF(Respostas_Brutas!B218="","",MIN(1,(IFERROR(VALUE(LEFT(Respostas_Brutas!I218,IFERROR(FIND(" ",Respostas_Brutas!I218)-1,LEN(Respostas_Brutas!I218)))),0)+IFERROR(VALUE(LEFT(Respostas_Brutas!O218,IFERROR(FIND(" ",Respostas_Brutas!O218)-1,LEN(Respostas_Brutas!O218)))),0))/20))</f>
        <v/>
      </c>
      <c r="D218" s="4" t="str">
        <f>IF(Respostas_Brutas!B218="","",IF(Respostas_Brutas!D218="","",MIN(1,MAX(0,(YEAR(TODAY())-N(Respostas_Brutas!D218))/15))))</f>
        <v/>
      </c>
      <c r="E218" s="4" t="str">
        <f>IF(Respostas_Brutas!B218="","",IF(ISNUMBER(SEARCH("Sim",Respostas_Brutas!S218)),1,0))</f>
        <v/>
      </c>
      <c r="F218" s="4" t="str">
        <f>IF(Respostas_Brutas!B218="","",IFERROR(N(Respostas_Brutas!Y218)/N(Respostas_Brutas!Z218),""))</f>
        <v/>
      </c>
      <c r="G218" s="4" t="str">
        <f>IF(Respostas_Brutas!B218="","",IF(Respostas_Brutas!K218&lt;&gt;"",1,0))</f>
        <v/>
      </c>
      <c r="H218" s="4" t="str">
        <f>IF(Respostas_Brutas!B218="","",IF(ISNUMBER(SEARCH("Não",Respostas_Brutas!AH218)),1,0))</f>
        <v/>
      </c>
      <c r="I218" s="4" t="str">
        <f>IF(Respostas_Brutas!B218="","",IF(ISNUMBER(SEARCH("Sim",Respostas_Brutas!AL218)),1,0))</f>
        <v/>
      </c>
      <c r="J218" s="4" t="str">
        <f>IF(Respostas_Brutas!B218="","",IF(Respostas_Brutas!AN218="","",MIN(1,MAX(0,(N(Respostas_Brutas!AN218)-1)/4))))</f>
        <v/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tr">
        <f>IF(Respostas_Brutas!B219="","",Respostas_Brutas!B219)</f>
        <v/>
      </c>
      <c r="B219" s="4" t="str">
        <f>IF(Respostas_Brutas!B219="","",IFERROR(IF(IFERROR(VALUE(TRIM(SUBSTITUTE(SUBSTITUTE(SUBSTITUTE(TRIM(Respostas_Brutas!AS219),"R$",""),".",""),",","."))),0)=0,"",(IFERROR(VALUE(TRIM(SUBSTITUTE(SUBSTITUTE(SUBSTITUTE(TRIM(Respostas_Brutas!AS219),"R$",""),".",""),",","."))),0)-IFERROR(VALUE(TRIM(SUBSTITUTE(SUBSTITUTE(SUBSTITUTE(TRIM(Respostas_Brutas!T219),"R$",""),".",""),",","."))),0))/IFERROR(VALUE(TRIM(SUBSTITUTE(SUBSTITUTE(SUBSTITUTE(TRIM(Respostas_Brutas!AS219),"R$",""),".",""),",","."))),0)),""))</f>
        <v/>
      </c>
      <c r="C219" s="4" t="str">
        <f>IF(Respostas_Brutas!B219="","",MIN(1,(IFERROR(VALUE(LEFT(Respostas_Brutas!I219,IFERROR(FIND(" ",Respostas_Brutas!I219)-1,LEN(Respostas_Brutas!I219)))),0)+IFERROR(VALUE(LEFT(Respostas_Brutas!O219,IFERROR(FIND(" ",Respostas_Brutas!O219)-1,LEN(Respostas_Brutas!O219)))),0))/20))</f>
        <v/>
      </c>
      <c r="D219" s="4" t="str">
        <f>IF(Respostas_Brutas!B219="","",IF(Respostas_Brutas!D219="","",MIN(1,MAX(0,(YEAR(TODAY())-N(Respostas_Brutas!D219))/15))))</f>
        <v/>
      </c>
      <c r="E219" s="4" t="str">
        <f>IF(Respostas_Brutas!B219="","",IF(ISNUMBER(SEARCH("Sim",Respostas_Brutas!S219)),1,0))</f>
        <v/>
      </c>
      <c r="F219" s="4" t="str">
        <f>IF(Respostas_Brutas!B219="","",IFERROR(N(Respostas_Brutas!Y219)/N(Respostas_Brutas!Z219),""))</f>
        <v/>
      </c>
      <c r="G219" s="4" t="str">
        <f>IF(Respostas_Brutas!B219="","",IF(Respostas_Brutas!K219&lt;&gt;"",1,0))</f>
        <v/>
      </c>
      <c r="H219" s="4" t="str">
        <f>IF(Respostas_Brutas!B219="","",IF(ISNUMBER(SEARCH("Não",Respostas_Brutas!AH219)),1,0))</f>
        <v/>
      </c>
      <c r="I219" s="4" t="str">
        <f>IF(Respostas_Brutas!B219="","",IF(ISNUMBER(SEARCH("Sim",Respostas_Brutas!AL219)),1,0))</f>
        <v/>
      </c>
      <c r="J219" s="4" t="str">
        <f>IF(Respostas_Brutas!B219="","",IF(Respostas_Brutas!AN219="","",MIN(1,MAX(0,(N(Respostas_Brutas!AN219)-1)/4))))</f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tr">
        <f>IF(Respostas_Brutas!B220="","",Respostas_Brutas!B220)</f>
        <v/>
      </c>
      <c r="B220" s="4" t="str">
        <f>IF(Respostas_Brutas!B220="","",IFERROR(IF(IFERROR(VALUE(TRIM(SUBSTITUTE(SUBSTITUTE(SUBSTITUTE(TRIM(Respostas_Brutas!AS220),"R$",""),".",""),",","."))),0)=0,"",(IFERROR(VALUE(TRIM(SUBSTITUTE(SUBSTITUTE(SUBSTITUTE(TRIM(Respostas_Brutas!AS220),"R$",""),".",""),",","."))),0)-IFERROR(VALUE(TRIM(SUBSTITUTE(SUBSTITUTE(SUBSTITUTE(TRIM(Respostas_Brutas!T220),"R$",""),".",""),",","."))),0))/IFERROR(VALUE(TRIM(SUBSTITUTE(SUBSTITUTE(SUBSTITUTE(TRIM(Respostas_Brutas!AS220),"R$",""),".",""),",","."))),0)),""))</f>
        <v/>
      </c>
      <c r="C220" s="4" t="str">
        <f>IF(Respostas_Brutas!B220="","",MIN(1,(IFERROR(VALUE(LEFT(Respostas_Brutas!I220,IFERROR(FIND(" ",Respostas_Brutas!I220)-1,LEN(Respostas_Brutas!I220)))),0)+IFERROR(VALUE(LEFT(Respostas_Brutas!O220,IFERROR(FIND(" ",Respostas_Brutas!O220)-1,LEN(Respostas_Brutas!O220)))),0))/20))</f>
        <v/>
      </c>
      <c r="D220" s="4" t="str">
        <f>IF(Respostas_Brutas!B220="","",IF(Respostas_Brutas!D220="","",MIN(1,MAX(0,(YEAR(TODAY())-N(Respostas_Brutas!D220))/15))))</f>
        <v/>
      </c>
      <c r="E220" s="4" t="str">
        <f>IF(Respostas_Brutas!B220="","",IF(ISNUMBER(SEARCH("Sim",Respostas_Brutas!S220)),1,0))</f>
        <v/>
      </c>
      <c r="F220" s="4" t="str">
        <f>IF(Respostas_Brutas!B220="","",IFERROR(N(Respostas_Brutas!Y220)/N(Respostas_Brutas!Z220),""))</f>
        <v/>
      </c>
      <c r="G220" s="4" t="str">
        <f>IF(Respostas_Brutas!B220="","",IF(Respostas_Brutas!K220&lt;&gt;"",1,0))</f>
        <v/>
      </c>
      <c r="H220" s="4" t="str">
        <f>IF(Respostas_Brutas!B220="","",IF(ISNUMBER(SEARCH("Não",Respostas_Brutas!AH220)),1,0))</f>
        <v/>
      </c>
      <c r="I220" s="4" t="str">
        <f>IF(Respostas_Brutas!B220="","",IF(ISNUMBER(SEARCH("Sim",Respostas_Brutas!AL220)),1,0))</f>
        <v/>
      </c>
      <c r="J220" s="4" t="str">
        <f>IF(Respostas_Brutas!B220="","",IF(Respostas_Brutas!AN220="","",MIN(1,MAX(0,(N(Respostas_Brutas!AN220)-1)/4))))</f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tr">
        <f>IF(Respostas_Brutas!B221="","",Respostas_Brutas!B221)</f>
        <v/>
      </c>
      <c r="B221" s="4" t="str">
        <f>IF(Respostas_Brutas!B221="","",IFERROR(IF(IFERROR(VALUE(TRIM(SUBSTITUTE(SUBSTITUTE(SUBSTITUTE(TRIM(Respostas_Brutas!AS221),"R$",""),".",""),",","."))),0)=0,"",(IFERROR(VALUE(TRIM(SUBSTITUTE(SUBSTITUTE(SUBSTITUTE(TRIM(Respostas_Brutas!AS221),"R$",""),".",""),",","."))),0)-IFERROR(VALUE(TRIM(SUBSTITUTE(SUBSTITUTE(SUBSTITUTE(TRIM(Respostas_Brutas!T221),"R$",""),".",""),",","."))),0))/IFERROR(VALUE(TRIM(SUBSTITUTE(SUBSTITUTE(SUBSTITUTE(TRIM(Respostas_Brutas!AS221),"R$",""),".",""),",","."))),0)),""))</f>
        <v/>
      </c>
      <c r="C221" s="4" t="str">
        <f>IF(Respostas_Brutas!B221="","",MIN(1,(IFERROR(VALUE(LEFT(Respostas_Brutas!I221,IFERROR(FIND(" ",Respostas_Brutas!I221)-1,LEN(Respostas_Brutas!I221)))),0)+IFERROR(VALUE(LEFT(Respostas_Brutas!O221,IFERROR(FIND(" ",Respostas_Brutas!O221)-1,LEN(Respostas_Brutas!O221)))),0))/20))</f>
        <v/>
      </c>
      <c r="D221" s="4" t="str">
        <f>IF(Respostas_Brutas!B221="","",IF(Respostas_Brutas!D221="","",MIN(1,MAX(0,(YEAR(TODAY())-N(Respostas_Brutas!D221))/15))))</f>
        <v/>
      </c>
      <c r="E221" s="4" t="str">
        <f>IF(Respostas_Brutas!B221="","",IF(ISNUMBER(SEARCH("Sim",Respostas_Brutas!S221)),1,0))</f>
        <v/>
      </c>
      <c r="F221" s="4" t="str">
        <f>IF(Respostas_Brutas!B221="","",IFERROR(N(Respostas_Brutas!Y221)/N(Respostas_Brutas!Z221),""))</f>
        <v/>
      </c>
      <c r="G221" s="4" t="str">
        <f>IF(Respostas_Brutas!B221="","",IF(Respostas_Brutas!K221&lt;&gt;"",1,0))</f>
        <v/>
      </c>
      <c r="H221" s="4" t="str">
        <f>IF(Respostas_Brutas!B221="","",IF(ISNUMBER(SEARCH("Não",Respostas_Brutas!AH221)),1,0))</f>
        <v/>
      </c>
      <c r="I221" s="4" t="str">
        <f>IF(Respostas_Brutas!B221="","",IF(ISNUMBER(SEARCH("Sim",Respostas_Brutas!AL221)),1,0))</f>
        <v/>
      </c>
      <c r="J221" s="4" t="str">
        <f>IF(Respostas_Brutas!B221="","",IF(Respostas_Brutas!AN221="","",MIN(1,MAX(0,(N(Respostas_Brutas!AN221)-1)/4))))</f>
        <v/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tr">
        <f>IF(Respostas_Brutas!B222="","",Respostas_Brutas!B222)</f>
        <v/>
      </c>
      <c r="B222" s="4" t="str">
        <f>IF(Respostas_Brutas!B222="","",IFERROR(IF(IFERROR(VALUE(TRIM(SUBSTITUTE(SUBSTITUTE(SUBSTITUTE(TRIM(Respostas_Brutas!AS222),"R$",""),".",""),",","."))),0)=0,"",(IFERROR(VALUE(TRIM(SUBSTITUTE(SUBSTITUTE(SUBSTITUTE(TRIM(Respostas_Brutas!AS222),"R$",""),".",""),",","."))),0)-IFERROR(VALUE(TRIM(SUBSTITUTE(SUBSTITUTE(SUBSTITUTE(TRIM(Respostas_Brutas!T222),"R$",""),".",""),",","."))),0))/IFERROR(VALUE(TRIM(SUBSTITUTE(SUBSTITUTE(SUBSTITUTE(TRIM(Respostas_Brutas!AS222),"R$",""),".",""),",","."))),0)),""))</f>
        <v/>
      </c>
      <c r="C222" s="4" t="str">
        <f>IF(Respostas_Brutas!B222="","",MIN(1,(IFERROR(VALUE(LEFT(Respostas_Brutas!I222,IFERROR(FIND(" ",Respostas_Brutas!I222)-1,LEN(Respostas_Brutas!I222)))),0)+IFERROR(VALUE(LEFT(Respostas_Brutas!O222,IFERROR(FIND(" ",Respostas_Brutas!O222)-1,LEN(Respostas_Brutas!O222)))),0))/20))</f>
        <v/>
      </c>
      <c r="D222" s="4" t="str">
        <f>IF(Respostas_Brutas!B222="","",IF(Respostas_Brutas!D222="","",MIN(1,MAX(0,(YEAR(TODAY())-N(Respostas_Brutas!D222))/15))))</f>
        <v/>
      </c>
      <c r="E222" s="4" t="str">
        <f>IF(Respostas_Brutas!B222="","",IF(ISNUMBER(SEARCH("Sim",Respostas_Brutas!S222)),1,0))</f>
        <v/>
      </c>
      <c r="F222" s="4" t="str">
        <f>IF(Respostas_Brutas!B222="","",IFERROR(N(Respostas_Brutas!Y222)/N(Respostas_Brutas!Z222),""))</f>
        <v/>
      </c>
      <c r="G222" s="4" t="str">
        <f>IF(Respostas_Brutas!B222="","",IF(Respostas_Brutas!K222&lt;&gt;"",1,0))</f>
        <v/>
      </c>
      <c r="H222" s="4" t="str">
        <f>IF(Respostas_Brutas!B222="","",IF(ISNUMBER(SEARCH("Não",Respostas_Brutas!AH222)),1,0))</f>
        <v/>
      </c>
      <c r="I222" s="4" t="str">
        <f>IF(Respostas_Brutas!B222="","",IF(ISNUMBER(SEARCH("Sim",Respostas_Brutas!AL222)),1,0))</f>
        <v/>
      </c>
      <c r="J222" s="4" t="str">
        <f>IF(Respostas_Brutas!B222="","",IF(Respostas_Brutas!AN222="","",MIN(1,MAX(0,(N(Respostas_Brutas!AN222)-1)/4))))</f>
        <v/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tr">
        <f>IF(Respostas_Brutas!B223="","",Respostas_Brutas!B223)</f>
        <v/>
      </c>
      <c r="B223" s="4" t="str">
        <f>IF(Respostas_Brutas!B223="","",IFERROR(IF(IFERROR(VALUE(TRIM(SUBSTITUTE(SUBSTITUTE(SUBSTITUTE(TRIM(Respostas_Brutas!AS223),"R$",""),".",""),",","."))),0)=0,"",(IFERROR(VALUE(TRIM(SUBSTITUTE(SUBSTITUTE(SUBSTITUTE(TRIM(Respostas_Brutas!AS223),"R$",""),".",""),",","."))),0)-IFERROR(VALUE(TRIM(SUBSTITUTE(SUBSTITUTE(SUBSTITUTE(TRIM(Respostas_Brutas!T223),"R$",""),".",""),",","."))),0))/IFERROR(VALUE(TRIM(SUBSTITUTE(SUBSTITUTE(SUBSTITUTE(TRIM(Respostas_Brutas!AS223),"R$",""),".",""),",","."))),0)),""))</f>
        <v/>
      </c>
      <c r="C223" s="4" t="str">
        <f>IF(Respostas_Brutas!B223="","",MIN(1,(IFERROR(VALUE(LEFT(Respostas_Brutas!I223,IFERROR(FIND(" ",Respostas_Brutas!I223)-1,LEN(Respostas_Brutas!I223)))),0)+IFERROR(VALUE(LEFT(Respostas_Brutas!O223,IFERROR(FIND(" ",Respostas_Brutas!O223)-1,LEN(Respostas_Brutas!O223)))),0))/20))</f>
        <v/>
      </c>
      <c r="D223" s="4" t="str">
        <f>IF(Respostas_Brutas!B223="","",IF(Respostas_Brutas!D223="","",MIN(1,MAX(0,(YEAR(TODAY())-N(Respostas_Brutas!D223))/15))))</f>
        <v/>
      </c>
      <c r="E223" s="4" t="str">
        <f>IF(Respostas_Brutas!B223="","",IF(ISNUMBER(SEARCH("Sim",Respostas_Brutas!S223)),1,0))</f>
        <v/>
      </c>
      <c r="F223" s="4" t="str">
        <f>IF(Respostas_Brutas!B223="","",IFERROR(N(Respostas_Brutas!Y223)/N(Respostas_Brutas!Z223),""))</f>
        <v/>
      </c>
      <c r="G223" s="4" t="str">
        <f>IF(Respostas_Brutas!B223="","",IF(Respostas_Brutas!K223&lt;&gt;"",1,0))</f>
        <v/>
      </c>
      <c r="H223" s="4" t="str">
        <f>IF(Respostas_Brutas!B223="","",IF(ISNUMBER(SEARCH("Não",Respostas_Brutas!AH223)),1,0))</f>
        <v/>
      </c>
      <c r="I223" s="4" t="str">
        <f>IF(Respostas_Brutas!B223="","",IF(ISNUMBER(SEARCH("Sim",Respostas_Brutas!AL223)),1,0))</f>
        <v/>
      </c>
      <c r="J223" s="4" t="str">
        <f>IF(Respostas_Brutas!B223="","",IF(Respostas_Brutas!AN223="","",MIN(1,MAX(0,(N(Respostas_Brutas!AN223)-1)/4))))</f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tr">
        <f>IF(Respostas_Brutas!B224="","",Respostas_Brutas!B224)</f>
        <v/>
      </c>
      <c r="B224" s="4" t="str">
        <f>IF(Respostas_Brutas!B224="","",IFERROR(IF(IFERROR(VALUE(TRIM(SUBSTITUTE(SUBSTITUTE(SUBSTITUTE(TRIM(Respostas_Brutas!AS224),"R$",""),".",""),",","."))),0)=0,"",(IFERROR(VALUE(TRIM(SUBSTITUTE(SUBSTITUTE(SUBSTITUTE(TRIM(Respostas_Brutas!AS224),"R$",""),".",""),",","."))),0)-IFERROR(VALUE(TRIM(SUBSTITUTE(SUBSTITUTE(SUBSTITUTE(TRIM(Respostas_Brutas!T224),"R$",""),".",""),",","."))),0))/IFERROR(VALUE(TRIM(SUBSTITUTE(SUBSTITUTE(SUBSTITUTE(TRIM(Respostas_Brutas!AS224),"R$",""),".",""),",","."))),0)),""))</f>
        <v/>
      </c>
      <c r="C224" s="4" t="str">
        <f>IF(Respostas_Brutas!B224="","",MIN(1,(IFERROR(VALUE(LEFT(Respostas_Brutas!I224,IFERROR(FIND(" ",Respostas_Brutas!I224)-1,LEN(Respostas_Brutas!I224)))),0)+IFERROR(VALUE(LEFT(Respostas_Brutas!O224,IFERROR(FIND(" ",Respostas_Brutas!O224)-1,LEN(Respostas_Brutas!O224)))),0))/20))</f>
        <v/>
      </c>
      <c r="D224" s="4" t="str">
        <f>IF(Respostas_Brutas!B224="","",IF(Respostas_Brutas!D224="","",MIN(1,MAX(0,(YEAR(TODAY())-N(Respostas_Brutas!D224))/15))))</f>
        <v/>
      </c>
      <c r="E224" s="4" t="str">
        <f>IF(Respostas_Brutas!B224="","",IF(ISNUMBER(SEARCH("Sim",Respostas_Brutas!S224)),1,0))</f>
        <v/>
      </c>
      <c r="F224" s="4" t="str">
        <f>IF(Respostas_Brutas!B224="","",IFERROR(N(Respostas_Brutas!Y224)/N(Respostas_Brutas!Z224),""))</f>
        <v/>
      </c>
      <c r="G224" s="4" t="str">
        <f>IF(Respostas_Brutas!B224="","",IF(Respostas_Brutas!K224&lt;&gt;"",1,0))</f>
        <v/>
      </c>
      <c r="H224" s="4" t="str">
        <f>IF(Respostas_Brutas!B224="","",IF(ISNUMBER(SEARCH("Não",Respostas_Brutas!AH224)),1,0))</f>
        <v/>
      </c>
      <c r="I224" s="4" t="str">
        <f>IF(Respostas_Brutas!B224="","",IF(ISNUMBER(SEARCH("Sim",Respostas_Brutas!AL224)),1,0))</f>
        <v/>
      </c>
      <c r="J224" s="4" t="str">
        <f>IF(Respostas_Brutas!B224="","",IF(Respostas_Brutas!AN224="","",MIN(1,MAX(0,(N(Respostas_Brutas!AN224)-1)/4))))</f>
        <v/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tr">
        <f>IF(Respostas_Brutas!B225="","",Respostas_Brutas!B225)</f>
        <v/>
      </c>
      <c r="B225" s="4" t="str">
        <f>IF(Respostas_Brutas!B225="","",IFERROR(IF(IFERROR(VALUE(TRIM(SUBSTITUTE(SUBSTITUTE(SUBSTITUTE(TRIM(Respostas_Brutas!AS225),"R$",""),".",""),",","."))),0)=0,"",(IFERROR(VALUE(TRIM(SUBSTITUTE(SUBSTITUTE(SUBSTITUTE(TRIM(Respostas_Brutas!AS225),"R$",""),".",""),",","."))),0)-IFERROR(VALUE(TRIM(SUBSTITUTE(SUBSTITUTE(SUBSTITUTE(TRIM(Respostas_Brutas!T225),"R$",""),".",""),",","."))),0))/IFERROR(VALUE(TRIM(SUBSTITUTE(SUBSTITUTE(SUBSTITUTE(TRIM(Respostas_Brutas!AS225),"R$",""),".",""),",","."))),0)),""))</f>
        <v/>
      </c>
      <c r="C225" s="4" t="str">
        <f>IF(Respostas_Brutas!B225="","",MIN(1,(IFERROR(VALUE(LEFT(Respostas_Brutas!I225,IFERROR(FIND(" ",Respostas_Brutas!I225)-1,LEN(Respostas_Brutas!I225)))),0)+IFERROR(VALUE(LEFT(Respostas_Brutas!O225,IFERROR(FIND(" ",Respostas_Brutas!O225)-1,LEN(Respostas_Brutas!O225)))),0))/20))</f>
        <v/>
      </c>
      <c r="D225" s="4" t="str">
        <f>IF(Respostas_Brutas!B225="","",IF(Respostas_Brutas!D225="","",MIN(1,MAX(0,(YEAR(TODAY())-N(Respostas_Brutas!D225))/15))))</f>
        <v/>
      </c>
      <c r="E225" s="4" t="str">
        <f>IF(Respostas_Brutas!B225="","",IF(ISNUMBER(SEARCH("Sim",Respostas_Brutas!S225)),1,0))</f>
        <v/>
      </c>
      <c r="F225" s="4" t="str">
        <f>IF(Respostas_Brutas!B225="","",IFERROR(N(Respostas_Brutas!Y225)/N(Respostas_Brutas!Z225),""))</f>
        <v/>
      </c>
      <c r="G225" s="4" t="str">
        <f>IF(Respostas_Brutas!B225="","",IF(Respostas_Brutas!K225&lt;&gt;"",1,0))</f>
        <v/>
      </c>
      <c r="H225" s="4" t="str">
        <f>IF(Respostas_Brutas!B225="","",IF(ISNUMBER(SEARCH("Não",Respostas_Brutas!AH225)),1,0))</f>
        <v/>
      </c>
      <c r="I225" s="4" t="str">
        <f>IF(Respostas_Brutas!B225="","",IF(ISNUMBER(SEARCH("Sim",Respostas_Brutas!AL225)),1,0))</f>
        <v/>
      </c>
      <c r="J225" s="4" t="str">
        <f>IF(Respostas_Brutas!B225="","",IF(Respostas_Brutas!AN225="","",MIN(1,MAX(0,(N(Respostas_Brutas!AN225)-1)/4))))</f>
        <v/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tr">
        <f>IF(Respostas_Brutas!B226="","",Respostas_Brutas!B226)</f>
        <v/>
      </c>
      <c r="B226" s="4" t="str">
        <f>IF(Respostas_Brutas!B226="","",IFERROR(IF(IFERROR(VALUE(TRIM(SUBSTITUTE(SUBSTITUTE(SUBSTITUTE(TRIM(Respostas_Brutas!AS226),"R$",""),".",""),",","."))),0)=0,"",(IFERROR(VALUE(TRIM(SUBSTITUTE(SUBSTITUTE(SUBSTITUTE(TRIM(Respostas_Brutas!AS226),"R$",""),".",""),",","."))),0)-IFERROR(VALUE(TRIM(SUBSTITUTE(SUBSTITUTE(SUBSTITUTE(TRIM(Respostas_Brutas!T226),"R$",""),".",""),",","."))),0))/IFERROR(VALUE(TRIM(SUBSTITUTE(SUBSTITUTE(SUBSTITUTE(TRIM(Respostas_Brutas!AS226),"R$",""),".",""),",","."))),0)),""))</f>
        <v/>
      </c>
      <c r="C226" s="4" t="str">
        <f>IF(Respostas_Brutas!B226="","",MIN(1,(IFERROR(VALUE(LEFT(Respostas_Brutas!I226,IFERROR(FIND(" ",Respostas_Brutas!I226)-1,LEN(Respostas_Brutas!I226)))),0)+IFERROR(VALUE(LEFT(Respostas_Brutas!O226,IFERROR(FIND(" ",Respostas_Brutas!O226)-1,LEN(Respostas_Brutas!O226)))),0))/20))</f>
        <v/>
      </c>
      <c r="D226" s="4" t="str">
        <f>IF(Respostas_Brutas!B226="","",IF(Respostas_Brutas!D226="","",MIN(1,MAX(0,(YEAR(TODAY())-N(Respostas_Brutas!D226))/15))))</f>
        <v/>
      </c>
      <c r="E226" s="4" t="str">
        <f>IF(Respostas_Brutas!B226="","",IF(ISNUMBER(SEARCH("Sim",Respostas_Brutas!S226)),1,0))</f>
        <v/>
      </c>
      <c r="F226" s="4" t="str">
        <f>IF(Respostas_Brutas!B226="","",IFERROR(N(Respostas_Brutas!Y226)/N(Respostas_Brutas!Z226),""))</f>
        <v/>
      </c>
      <c r="G226" s="4" t="str">
        <f>IF(Respostas_Brutas!B226="","",IF(Respostas_Brutas!K226&lt;&gt;"",1,0))</f>
        <v/>
      </c>
      <c r="H226" s="4" t="str">
        <f>IF(Respostas_Brutas!B226="","",IF(ISNUMBER(SEARCH("Não",Respostas_Brutas!AH226)),1,0))</f>
        <v/>
      </c>
      <c r="I226" s="4" t="str">
        <f>IF(Respostas_Brutas!B226="","",IF(ISNUMBER(SEARCH("Sim",Respostas_Brutas!AL226)),1,0))</f>
        <v/>
      </c>
      <c r="J226" s="4" t="str">
        <f>IF(Respostas_Brutas!B226="","",IF(Respostas_Brutas!AN226="","",MIN(1,MAX(0,(N(Respostas_Brutas!AN226)-1)/4))))</f>
        <v/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tr">
        <f>IF(Respostas_Brutas!B227="","",Respostas_Brutas!B227)</f>
        <v/>
      </c>
      <c r="B227" s="4" t="str">
        <f>IF(Respostas_Brutas!B227="","",IFERROR(IF(IFERROR(VALUE(TRIM(SUBSTITUTE(SUBSTITUTE(SUBSTITUTE(TRIM(Respostas_Brutas!AS227),"R$",""),".",""),",","."))),0)=0,"",(IFERROR(VALUE(TRIM(SUBSTITUTE(SUBSTITUTE(SUBSTITUTE(TRIM(Respostas_Brutas!AS227),"R$",""),".",""),",","."))),0)-IFERROR(VALUE(TRIM(SUBSTITUTE(SUBSTITUTE(SUBSTITUTE(TRIM(Respostas_Brutas!T227),"R$",""),".",""),",","."))),0))/IFERROR(VALUE(TRIM(SUBSTITUTE(SUBSTITUTE(SUBSTITUTE(TRIM(Respostas_Brutas!AS227),"R$",""),".",""),",","."))),0)),""))</f>
        <v/>
      </c>
      <c r="C227" s="4" t="str">
        <f>IF(Respostas_Brutas!B227="","",MIN(1,(IFERROR(VALUE(LEFT(Respostas_Brutas!I227,IFERROR(FIND(" ",Respostas_Brutas!I227)-1,LEN(Respostas_Brutas!I227)))),0)+IFERROR(VALUE(LEFT(Respostas_Brutas!O227,IFERROR(FIND(" ",Respostas_Brutas!O227)-1,LEN(Respostas_Brutas!O227)))),0))/20))</f>
        <v/>
      </c>
      <c r="D227" s="4" t="str">
        <f>IF(Respostas_Brutas!B227="","",IF(Respostas_Brutas!D227="","",MIN(1,MAX(0,(YEAR(TODAY())-N(Respostas_Brutas!D227))/15))))</f>
        <v/>
      </c>
      <c r="E227" s="4" t="str">
        <f>IF(Respostas_Brutas!B227="","",IF(ISNUMBER(SEARCH("Sim",Respostas_Brutas!S227)),1,0))</f>
        <v/>
      </c>
      <c r="F227" s="4" t="str">
        <f>IF(Respostas_Brutas!B227="","",IFERROR(N(Respostas_Brutas!Y227)/N(Respostas_Brutas!Z227),""))</f>
        <v/>
      </c>
      <c r="G227" s="4" t="str">
        <f>IF(Respostas_Brutas!B227="","",IF(Respostas_Brutas!K227&lt;&gt;"",1,0))</f>
        <v/>
      </c>
      <c r="H227" s="4" t="str">
        <f>IF(Respostas_Brutas!B227="","",IF(ISNUMBER(SEARCH("Não",Respostas_Brutas!AH227)),1,0))</f>
        <v/>
      </c>
      <c r="I227" s="4" t="str">
        <f>IF(Respostas_Brutas!B227="","",IF(ISNUMBER(SEARCH("Sim",Respostas_Brutas!AL227)),1,0))</f>
        <v/>
      </c>
      <c r="J227" s="4" t="str">
        <f>IF(Respostas_Brutas!B227="","",IF(Respostas_Brutas!AN227="","",MIN(1,MAX(0,(N(Respostas_Brutas!AN227)-1)/4))))</f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tr">
        <f>IF(Respostas_Brutas!B228="","",Respostas_Brutas!B228)</f>
        <v/>
      </c>
      <c r="B228" s="4" t="str">
        <f>IF(Respostas_Brutas!B228="","",IFERROR(IF(IFERROR(VALUE(TRIM(SUBSTITUTE(SUBSTITUTE(SUBSTITUTE(TRIM(Respostas_Brutas!AS228),"R$",""),".",""),",","."))),0)=0,"",(IFERROR(VALUE(TRIM(SUBSTITUTE(SUBSTITUTE(SUBSTITUTE(TRIM(Respostas_Brutas!AS228),"R$",""),".",""),",","."))),0)-IFERROR(VALUE(TRIM(SUBSTITUTE(SUBSTITUTE(SUBSTITUTE(TRIM(Respostas_Brutas!T228),"R$",""),".",""),",","."))),0))/IFERROR(VALUE(TRIM(SUBSTITUTE(SUBSTITUTE(SUBSTITUTE(TRIM(Respostas_Brutas!AS228),"R$",""),".",""),",","."))),0)),""))</f>
        <v/>
      </c>
      <c r="C228" s="4" t="str">
        <f>IF(Respostas_Brutas!B228="","",MIN(1,(IFERROR(VALUE(LEFT(Respostas_Brutas!I228,IFERROR(FIND(" ",Respostas_Brutas!I228)-1,LEN(Respostas_Brutas!I228)))),0)+IFERROR(VALUE(LEFT(Respostas_Brutas!O228,IFERROR(FIND(" ",Respostas_Brutas!O228)-1,LEN(Respostas_Brutas!O228)))),0))/20))</f>
        <v/>
      </c>
      <c r="D228" s="4" t="str">
        <f>IF(Respostas_Brutas!B228="","",IF(Respostas_Brutas!D228="","",MIN(1,MAX(0,(YEAR(TODAY())-N(Respostas_Brutas!D228))/15))))</f>
        <v/>
      </c>
      <c r="E228" s="4" t="str">
        <f>IF(Respostas_Brutas!B228="","",IF(ISNUMBER(SEARCH("Sim",Respostas_Brutas!S228)),1,0))</f>
        <v/>
      </c>
      <c r="F228" s="4" t="str">
        <f>IF(Respostas_Brutas!B228="","",IFERROR(N(Respostas_Brutas!Y228)/N(Respostas_Brutas!Z228),""))</f>
        <v/>
      </c>
      <c r="G228" s="4" t="str">
        <f>IF(Respostas_Brutas!B228="","",IF(Respostas_Brutas!K228&lt;&gt;"",1,0))</f>
        <v/>
      </c>
      <c r="H228" s="4" t="str">
        <f>IF(Respostas_Brutas!B228="","",IF(ISNUMBER(SEARCH("Não",Respostas_Brutas!AH228)),1,0))</f>
        <v/>
      </c>
      <c r="I228" s="4" t="str">
        <f>IF(Respostas_Brutas!B228="","",IF(ISNUMBER(SEARCH("Sim",Respostas_Brutas!AL228)),1,0))</f>
        <v/>
      </c>
      <c r="J228" s="4" t="str">
        <f>IF(Respostas_Brutas!B228="","",IF(Respostas_Brutas!AN228="","",MIN(1,MAX(0,(N(Respostas_Brutas!AN228)-1)/4))))</f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tr">
        <f>IF(Respostas_Brutas!B229="","",Respostas_Brutas!B229)</f>
        <v/>
      </c>
      <c r="B229" s="4" t="str">
        <f>IF(Respostas_Brutas!B229="","",IFERROR(IF(IFERROR(VALUE(TRIM(SUBSTITUTE(SUBSTITUTE(SUBSTITUTE(TRIM(Respostas_Brutas!AS229),"R$",""),".",""),",","."))),0)=0,"",(IFERROR(VALUE(TRIM(SUBSTITUTE(SUBSTITUTE(SUBSTITUTE(TRIM(Respostas_Brutas!AS229),"R$",""),".",""),",","."))),0)-IFERROR(VALUE(TRIM(SUBSTITUTE(SUBSTITUTE(SUBSTITUTE(TRIM(Respostas_Brutas!T229),"R$",""),".",""),",","."))),0))/IFERROR(VALUE(TRIM(SUBSTITUTE(SUBSTITUTE(SUBSTITUTE(TRIM(Respostas_Brutas!AS229),"R$",""),".",""),",","."))),0)),""))</f>
        <v/>
      </c>
      <c r="C229" s="4" t="str">
        <f>IF(Respostas_Brutas!B229="","",MIN(1,(IFERROR(VALUE(LEFT(Respostas_Brutas!I229,IFERROR(FIND(" ",Respostas_Brutas!I229)-1,LEN(Respostas_Brutas!I229)))),0)+IFERROR(VALUE(LEFT(Respostas_Brutas!O229,IFERROR(FIND(" ",Respostas_Brutas!O229)-1,LEN(Respostas_Brutas!O229)))),0))/20))</f>
        <v/>
      </c>
      <c r="D229" s="4" t="str">
        <f>IF(Respostas_Brutas!B229="","",IF(Respostas_Brutas!D229="","",MIN(1,MAX(0,(YEAR(TODAY())-N(Respostas_Brutas!D229))/15))))</f>
        <v/>
      </c>
      <c r="E229" s="4" t="str">
        <f>IF(Respostas_Brutas!B229="","",IF(ISNUMBER(SEARCH("Sim",Respostas_Brutas!S229)),1,0))</f>
        <v/>
      </c>
      <c r="F229" s="4" t="str">
        <f>IF(Respostas_Brutas!B229="","",IFERROR(N(Respostas_Brutas!Y229)/N(Respostas_Brutas!Z229),""))</f>
        <v/>
      </c>
      <c r="G229" s="4" t="str">
        <f>IF(Respostas_Brutas!B229="","",IF(Respostas_Brutas!K229&lt;&gt;"",1,0))</f>
        <v/>
      </c>
      <c r="H229" s="4" t="str">
        <f>IF(Respostas_Brutas!B229="","",IF(ISNUMBER(SEARCH("Não",Respostas_Brutas!AH229)),1,0))</f>
        <v/>
      </c>
      <c r="I229" s="4" t="str">
        <f>IF(Respostas_Brutas!B229="","",IF(ISNUMBER(SEARCH("Sim",Respostas_Brutas!AL229)),1,0))</f>
        <v/>
      </c>
      <c r="J229" s="4" t="str">
        <f>IF(Respostas_Brutas!B229="","",IF(Respostas_Brutas!AN229="","",MIN(1,MAX(0,(N(Respostas_Brutas!AN229)-1)/4))))</f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tr">
        <f>IF(Respostas_Brutas!B230="","",Respostas_Brutas!B230)</f>
        <v/>
      </c>
      <c r="B230" s="4" t="str">
        <f>IF(Respostas_Brutas!B230="","",IFERROR(IF(IFERROR(VALUE(TRIM(SUBSTITUTE(SUBSTITUTE(SUBSTITUTE(TRIM(Respostas_Brutas!AS230),"R$",""),".",""),",","."))),0)=0,"",(IFERROR(VALUE(TRIM(SUBSTITUTE(SUBSTITUTE(SUBSTITUTE(TRIM(Respostas_Brutas!AS230),"R$",""),".",""),",","."))),0)-IFERROR(VALUE(TRIM(SUBSTITUTE(SUBSTITUTE(SUBSTITUTE(TRIM(Respostas_Brutas!T230),"R$",""),".",""),",","."))),0))/IFERROR(VALUE(TRIM(SUBSTITUTE(SUBSTITUTE(SUBSTITUTE(TRIM(Respostas_Brutas!AS230),"R$",""),".",""),",","."))),0)),""))</f>
        <v/>
      </c>
      <c r="C230" s="4" t="str">
        <f>IF(Respostas_Brutas!B230="","",MIN(1,(IFERROR(VALUE(LEFT(Respostas_Brutas!I230,IFERROR(FIND(" ",Respostas_Brutas!I230)-1,LEN(Respostas_Brutas!I230)))),0)+IFERROR(VALUE(LEFT(Respostas_Brutas!O230,IFERROR(FIND(" ",Respostas_Brutas!O230)-1,LEN(Respostas_Brutas!O230)))),0))/20))</f>
        <v/>
      </c>
      <c r="D230" s="4" t="str">
        <f>IF(Respostas_Brutas!B230="","",IF(Respostas_Brutas!D230="","",MIN(1,MAX(0,(YEAR(TODAY())-N(Respostas_Brutas!D230))/15))))</f>
        <v/>
      </c>
      <c r="E230" s="4" t="str">
        <f>IF(Respostas_Brutas!B230="","",IF(ISNUMBER(SEARCH("Sim",Respostas_Brutas!S230)),1,0))</f>
        <v/>
      </c>
      <c r="F230" s="4" t="str">
        <f>IF(Respostas_Brutas!B230="","",IFERROR(N(Respostas_Brutas!Y230)/N(Respostas_Brutas!Z230),""))</f>
        <v/>
      </c>
      <c r="G230" s="4" t="str">
        <f>IF(Respostas_Brutas!B230="","",IF(Respostas_Brutas!K230&lt;&gt;"",1,0))</f>
        <v/>
      </c>
      <c r="H230" s="4" t="str">
        <f>IF(Respostas_Brutas!B230="","",IF(ISNUMBER(SEARCH("Não",Respostas_Brutas!AH230)),1,0))</f>
        <v/>
      </c>
      <c r="I230" s="4" t="str">
        <f>IF(Respostas_Brutas!B230="","",IF(ISNUMBER(SEARCH("Sim",Respostas_Brutas!AL230)),1,0))</f>
        <v/>
      </c>
      <c r="J230" s="4" t="str">
        <f>IF(Respostas_Brutas!B230="","",IF(Respostas_Brutas!AN230="","",MIN(1,MAX(0,(N(Respostas_Brutas!AN230)-1)/4))))</f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tr">
        <f>IF(Respostas_Brutas!B231="","",Respostas_Brutas!B231)</f>
        <v/>
      </c>
      <c r="B231" s="4" t="str">
        <f>IF(Respostas_Brutas!B231="","",IFERROR(IF(IFERROR(VALUE(TRIM(SUBSTITUTE(SUBSTITUTE(SUBSTITUTE(TRIM(Respostas_Brutas!AS231),"R$",""),".",""),",","."))),0)=0,"",(IFERROR(VALUE(TRIM(SUBSTITUTE(SUBSTITUTE(SUBSTITUTE(TRIM(Respostas_Brutas!AS231),"R$",""),".",""),",","."))),0)-IFERROR(VALUE(TRIM(SUBSTITUTE(SUBSTITUTE(SUBSTITUTE(TRIM(Respostas_Brutas!T231),"R$",""),".",""),",","."))),0))/IFERROR(VALUE(TRIM(SUBSTITUTE(SUBSTITUTE(SUBSTITUTE(TRIM(Respostas_Brutas!AS231),"R$",""),".",""),",","."))),0)),""))</f>
        <v/>
      </c>
      <c r="C231" s="4" t="str">
        <f>IF(Respostas_Brutas!B231="","",MIN(1,(IFERROR(VALUE(LEFT(Respostas_Brutas!I231,IFERROR(FIND(" ",Respostas_Brutas!I231)-1,LEN(Respostas_Brutas!I231)))),0)+IFERROR(VALUE(LEFT(Respostas_Brutas!O231,IFERROR(FIND(" ",Respostas_Brutas!O231)-1,LEN(Respostas_Brutas!O231)))),0))/20))</f>
        <v/>
      </c>
      <c r="D231" s="4" t="str">
        <f>IF(Respostas_Brutas!B231="","",IF(Respostas_Brutas!D231="","",MIN(1,MAX(0,(YEAR(TODAY())-N(Respostas_Brutas!D231))/15))))</f>
        <v/>
      </c>
      <c r="E231" s="4" t="str">
        <f>IF(Respostas_Brutas!B231="","",IF(ISNUMBER(SEARCH("Sim",Respostas_Brutas!S231)),1,0))</f>
        <v/>
      </c>
      <c r="F231" s="4" t="str">
        <f>IF(Respostas_Brutas!B231="","",IFERROR(N(Respostas_Brutas!Y231)/N(Respostas_Brutas!Z231),""))</f>
        <v/>
      </c>
      <c r="G231" s="4" t="str">
        <f>IF(Respostas_Brutas!B231="","",IF(Respostas_Brutas!K231&lt;&gt;"",1,0))</f>
        <v/>
      </c>
      <c r="H231" s="4" t="str">
        <f>IF(Respostas_Brutas!B231="","",IF(ISNUMBER(SEARCH("Não",Respostas_Brutas!AH231)),1,0))</f>
        <v/>
      </c>
      <c r="I231" s="4" t="str">
        <f>IF(Respostas_Brutas!B231="","",IF(ISNUMBER(SEARCH("Sim",Respostas_Brutas!AL231)),1,0))</f>
        <v/>
      </c>
      <c r="J231" s="4" t="str">
        <f>IF(Respostas_Brutas!B231="","",IF(Respostas_Brutas!AN231="","",MIN(1,MAX(0,(N(Respostas_Brutas!AN231)-1)/4))))</f>
        <v/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tr">
        <f>IF(Respostas_Brutas!B232="","",Respostas_Brutas!B232)</f>
        <v/>
      </c>
      <c r="B232" s="4" t="str">
        <f>IF(Respostas_Brutas!B232="","",IFERROR(IF(IFERROR(VALUE(TRIM(SUBSTITUTE(SUBSTITUTE(SUBSTITUTE(TRIM(Respostas_Brutas!AS232),"R$",""),".",""),",","."))),0)=0,"",(IFERROR(VALUE(TRIM(SUBSTITUTE(SUBSTITUTE(SUBSTITUTE(TRIM(Respostas_Brutas!AS232),"R$",""),".",""),",","."))),0)-IFERROR(VALUE(TRIM(SUBSTITUTE(SUBSTITUTE(SUBSTITUTE(TRIM(Respostas_Brutas!T232),"R$",""),".",""),",","."))),0))/IFERROR(VALUE(TRIM(SUBSTITUTE(SUBSTITUTE(SUBSTITUTE(TRIM(Respostas_Brutas!AS232),"R$",""),".",""),",","."))),0)),""))</f>
        <v/>
      </c>
      <c r="C232" s="4" t="str">
        <f>IF(Respostas_Brutas!B232="","",MIN(1,(IFERROR(VALUE(LEFT(Respostas_Brutas!I232,IFERROR(FIND(" ",Respostas_Brutas!I232)-1,LEN(Respostas_Brutas!I232)))),0)+IFERROR(VALUE(LEFT(Respostas_Brutas!O232,IFERROR(FIND(" ",Respostas_Brutas!O232)-1,LEN(Respostas_Brutas!O232)))),0))/20))</f>
        <v/>
      </c>
      <c r="D232" s="4" t="str">
        <f>IF(Respostas_Brutas!B232="","",IF(Respostas_Brutas!D232="","",MIN(1,MAX(0,(YEAR(TODAY())-N(Respostas_Brutas!D232))/15))))</f>
        <v/>
      </c>
      <c r="E232" s="4" t="str">
        <f>IF(Respostas_Brutas!B232="","",IF(ISNUMBER(SEARCH("Sim",Respostas_Brutas!S232)),1,0))</f>
        <v/>
      </c>
      <c r="F232" s="4" t="str">
        <f>IF(Respostas_Brutas!B232="","",IFERROR(N(Respostas_Brutas!Y232)/N(Respostas_Brutas!Z232),""))</f>
        <v/>
      </c>
      <c r="G232" s="4" t="str">
        <f>IF(Respostas_Brutas!B232="","",IF(Respostas_Brutas!K232&lt;&gt;"",1,0))</f>
        <v/>
      </c>
      <c r="H232" s="4" t="str">
        <f>IF(Respostas_Brutas!B232="","",IF(ISNUMBER(SEARCH("Não",Respostas_Brutas!AH232)),1,0))</f>
        <v/>
      </c>
      <c r="I232" s="4" t="str">
        <f>IF(Respostas_Brutas!B232="","",IF(ISNUMBER(SEARCH("Sim",Respostas_Brutas!AL232)),1,0))</f>
        <v/>
      </c>
      <c r="J232" s="4" t="str">
        <f>IF(Respostas_Brutas!B232="","",IF(Respostas_Brutas!AN232="","",MIN(1,MAX(0,(N(Respostas_Brutas!AN232)-1)/4))))</f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tr">
        <f>IF(Respostas_Brutas!B233="","",Respostas_Brutas!B233)</f>
        <v/>
      </c>
      <c r="B233" s="4" t="str">
        <f>IF(Respostas_Brutas!B233="","",IFERROR(IF(IFERROR(VALUE(TRIM(SUBSTITUTE(SUBSTITUTE(SUBSTITUTE(TRIM(Respostas_Brutas!AS233),"R$",""),".",""),",","."))),0)=0,"",(IFERROR(VALUE(TRIM(SUBSTITUTE(SUBSTITUTE(SUBSTITUTE(TRIM(Respostas_Brutas!AS233),"R$",""),".",""),",","."))),0)-IFERROR(VALUE(TRIM(SUBSTITUTE(SUBSTITUTE(SUBSTITUTE(TRIM(Respostas_Brutas!T233),"R$",""),".",""),",","."))),0))/IFERROR(VALUE(TRIM(SUBSTITUTE(SUBSTITUTE(SUBSTITUTE(TRIM(Respostas_Brutas!AS233),"R$",""),".",""),",","."))),0)),""))</f>
        <v/>
      </c>
      <c r="C233" s="4" t="str">
        <f>IF(Respostas_Brutas!B233="","",MIN(1,(IFERROR(VALUE(LEFT(Respostas_Brutas!I233,IFERROR(FIND(" ",Respostas_Brutas!I233)-1,LEN(Respostas_Brutas!I233)))),0)+IFERROR(VALUE(LEFT(Respostas_Brutas!O233,IFERROR(FIND(" ",Respostas_Brutas!O233)-1,LEN(Respostas_Brutas!O233)))),0))/20))</f>
        <v/>
      </c>
      <c r="D233" s="4" t="str">
        <f>IF(Respostas_Brutas!B233="","",IF(Respostas_Brutas!D233="","",MIN(1,MAX(0,(YEAR(TODAY())-N(Respostas_Brutas!D233))/15))))</f>
        <v/>
      </c>
      <c r="E233" s="4" t="str">
        <f>IF(Respostas_Brutas!B233="","",IF(ISNUMBER(SEARCH("Sim",Respostas_Brutas!S233)),1,0))</f>
        <v/>
      </c>
      <c r="F233" s="4" t="str">
        <f>IF(Respostas_Brutas!B233="","",IFERROR(N(Respostas_Brutas!Y233)/N(Respostas_Brutas!Z233),""))</f>
        <v/>
      </c>
      <c r="G233" s="4" t="str">
        <f>IF(Respostas_Brutas!B233="","",IF(Respostas_Brutas!K233&lt;&gt;"",1,0))</f>
        <v/>
      </c>
      <c r="H233" s="4" t="str">
        <f>IF(Respostas_Brutas!B233="","",IF(ISNUMBER(SEARCH("Não",Respostas_Brutas!AH233)),1,0))</f>
        <v/>
      </c>
      <c r="I233" s="4" t="str">
        <f>IF(Respostas_Brutas!B233="","",IF(ISNUMBER(SEARCH("Sim",Respostas_Brutas!AL233)),1,0))</f>
        <v/>
      </c>
      <c r="J233" s="4" t="str">
        <f>IF(Respostas_Brutas!B233="","",IF(Respostas_Brutas!AN233="","",MIN(1,MAX(0,(N(Respostas_Brutas!AN233)-1)/4))))</f>
        <v/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tr">
        <f>IF(Respostas_Brutas!B234="","",Respostas_Brutas!B234)</f>
        <v/>
      </c>
      <c r="B234" s="4" t="str">
        <f>IF(Respostas_Brutas!B234="","",IFERROR(IF(IFERROR(VALUE(TRIM(SUBSTITUTE(SUBSTITUTE(SUBSTITUTE(TRIM(Respostas_Brutas!AS234),"R$",""),".",""),",","."))),0)=0,"",(IFERROR(VALUE(TRIM(SUBSTITUTE(SUBSTITUTE(SUBSTITUTE(TRIM(Respostas_Brutas!AS234),"R$",""),".",""),",","."))),0)-IFERROR(VALUE(TRIM(SUBSTITUTE(SUBSTITUTE(SUBSTITUTE(TRIM(Respostas_Brutas!T234),"R$",""),".",""),",","."))),0))/IFERROR(VALUE(TRIM(SUBSTITUTE(SUBSTITUTE(SUBSTITUTE(TRIM(Respostas_Brutas!AS234),"R$",""),".",""),",","."))),0)),""))</f>
        <v/>
      </c>
      <c r="C234" s="4" t="str">
        <f>IF(Respostas_Brutas!B234="","",MIN(1,(IFERROR(VALUE(LEFT(Respostas_Brutas!I234,IFERROR(FIND(" ",Respostas_Brutas!I234)-1,LEN(Respostas_Brutas!I234)))),0)+IFERROR(VALUE(LEFT(Respostas_Brutas!O234,IFERROR(FIND(" ",Respostas_Brutas!O234)-1,LEN(Respostas_Brutas!O234)))),0))/20))</f>
        <v/>
      </c>
      <c r="D234" s="4" t="str">
        <f>IF(Respostas_Brutas!B234="","",IF(Respostas_Brutas!D234="","",MIN(1,MAX(0,(YEAR(TODAY())-N(Respostas_Brutas!D234))/15))))</f>
        <v/>
      </c>
      <c r="E234" s="4" t="str">
        <f>IF(Respostas_Brutas!B234="","",IF(ISNUMBER(SEARCH("Sim",Respostas_Brutas!S234)),1,0))</f>
        <v/>
      </c>
      <c r="F234" s="4" t="str">
        <f>IF(Respostas_Brutas!B234="","",IFERROR(N(Respostas_Brutas!Y234)/N(Respostas_Brutas!Z234),""))</f>
        <v/>
      </c>
      <c r="G234" s="4" t="str">
        <f>IF(Respostas_Brutas!B234="","",IF(Respostas_Brutas!K234&lt;&gt;"",1,0))</f>
        <v/>
      </c>
      <c r="H234" s="4" t="str">
        <f>IF(Respostas_Brutas!B234="","",IF(ISNUMBER(SEARCH("Não",Respostas_Brutas!AH234)),1,0))</f>
        <v/>
      </c>
      <c r="I234" s="4" t="str">
        <f>IF(Respostas_Brutas!B234="","",IF(ISNUMBER(SEARCH("Sim",Respostas_Brutas!AL234)),1,0))</f>
        <v/>
      </c>
      <c r="J234" s="4" t="str">
        <f>IF(Respostas_Brutas!B234="","",IF(Respostas_Brutas!AN234="","",MIN(1,MAX(0,(N(Respostas_Brutas!AN234)-1)/4))))</f>
        <v/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tr">
        <f>IF(Respostas_Brutas!B235="","",Respostas_Brutas!B235)</f>
        <v/>
      </c>
      <c r="B235" s="4" t="str">
        <f>IF(Respostas_Brutas!B235="","",IFERROR(IF(IFERROR(VALUE(TRIM(SUBSTITUTE(SUBSTITUTE(SUBSTITUTE(TRIM(Respostas_Brutas!AS235),"R$",""),".",""),",","."))),0)=0,"",(IFERROR(VALUE(TRIM(SUBSTITUTE(SUBSTITUTE(SUBSTITUTE(TRIM(Respostas_Brutas!AS235),"R$",""),".",""),",","."))),0)-IFERROR(VALUE(TRIM(SUBSTITUTE(SUBSTITUTE(SUBSTITUTE(TRIM(Respostas_Brutas!T235),"R$",""),".",""),",","."))),0))/IFERROR(VALUE(TRIM(SUBSTITUTE(SUBSTITUTE(SUBSTITUTE(TRIM(Respostas_Brutas!AS235),"R$",""),".",""),",","."))),0)),""))</f>
        <v/>
      </c>
      <c r="C235" s="4" t="str">
        <f>IF(Respostas_Brutas!B235="","",MIN(1,(IFERROR(VALUE(LEFT(Respostas_Brutas!I235,IFERROR(FIND(" ",Respostas_Brutas!I235)-1,LEN(Respostas_Brutas!I235)))),0)+IFERROR(VALUE(LEFT(Respostas_Brutas!O235,IFERROR(FIND(" ",Respostas_Brutas!O235)-1,LEN(Respostas_Brutas!O235)))),0))/20))</f>
        <v/>
      </c>
      <c r="D235" s="4" t="str">
        <f>IF(Respostas_Brutas!B235="","",IF(Respostas_Brutas!D235="","",MIN(1,MAX(0,(YEAR(TODAY())-N(Respostas_Brutas!D235))/15))))</f>
        <v/>
      </c>
      <c r="E235" s="4" t="str">
        <f>IF(Respostas_Brutas!B235="","",IF(ISNUMBER(SEARCH("Sim",Respostas_Brutas!S235)),1,0))</f>
        <v/>
      </c>
      <c r="F235" s="4" t="str">
        <f>IF(Respostas_Brutas!B235="","",IFERROR(N(Respostas_Brutas!Y235)/N(Respostas_Brutas!Z235),""))</f>
        <v/>
      </c>
      <c r="G235" s="4" t="str">
        <f>IF(Respostas_Brutas!B235="","",IF(Respostas_Brutas!K235&lt;&gt;"",1,0))</f>
        <v/>
      </c>
      <c r="H235" s="4" t="str">
        <f>IF(Respostas_Brutas!B235="","",IF(ISNUMBER(SEARCH("Não",Respostas_Brutas!AH235)),1,0))</f>
        <v/>
      </c>
      <c r="I235" s="4" t="str">
        <f>IF(Respostas_Brutas!B235="","",IF(ISNUMBER(SEARCH("Sim",Respostas_Brutas!AL235)),1,0))</f>
        <v/>
      </c>
      <c r="J235" s="4" t="str">
        <f>IF(Respostas_Brutas!B235="","",IF(Respostas_Brutas!AN235="","",MIN(1,MAX(0,(N(Respostas_Brutas!AN235)-1)/4))))</f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tr">
        <f>IF(Respostas_Brutas!B236="","",Respostas_Brutas!B236)</f>
        <v/>
      </c>
      <c r="B236" s="4" t="str">
        <f>IF(Respostas_Brutas!B236="","",IFERROR(IF(IFERROR(VALUE(TRIM(SUBSTITUTE(SUBSTITUTE(SUBSTITUTE(TRIM(Respostas_Brutas!AS236),"R$",""),".",""),",","."))),0)=0,"",(IFERROR(VALUE(TRIM(SUBSTITUTE(SUBSTITUTE(SUBSTITUTE(TRIM(Respostas_Brutas!AS236),"R$",""),".",""),",","."))),0)-IFERROR(VALUE(TRIM(SUBSTITUTE(SUBSTITUTE(SUBSTITUTE(TRIM(Respostas_Brutas!T236),"R$",""),".",""),",","."))),0))/IFERROR(VALUE(TRIM(SUBSTITUTE(SUBSTITUTE(SUBSTITUTE(TRIM(Respostas_Brutas!AS236),"R$",""),".",""),",","."))),0)),""))</f>
        <v/>
      </c>
      <c r="C236" s="4" t="str">
        <f>IF(Respostas_Brutas!B236="","",MIN(1,(IFERROR(VALUE(LEFT(Respostas_Brutas!I236,IFERROR(FIND(" ",Respostas_Brutas!I236)-1,LEN(Respostas_Brutas!I236)))),0)+IFERROR(VALUE(LEFT(Respostas_Brutas!O236,IFERROR(FIND(" ",Respostas_Brutas!O236)-1,LEN(Respostas_Brutas!O236)))),0))/20))</f>
        <v/>
      </c>
      <c r="D236" s="4" t="str">
        <f>IF(Respostas_Brutas!B236="","",IF(Respostas_Brutas!D236="","",MIN(1,MAX(0,(YEAR(TODAY())-N(Respostas_Brutas!D236))/15))))</f>
        <v/>
      </c>
      <c r="E236" s="4" t="str">
        <f>IF(Respostas_Brutas!B236="","",IF(ISNUMBER(SEARCH("Sim",Respostas_Brutas!S236)),1,0))</f>
        <v/>
      </c>
      <c r="F236" s="4" t="str">
        <f>IF(Respostas_Brutas!B236="","",IFERROR(N(Respostas_Brutas!Y236)/N(Respostas_Brutas!Z236),""))</f>
        <v/>
      </c>
      <c r="G236" s="4" t="str">
        <f>IF(Respostas_Brutas!B236="","",IF(Respostas_Brutas!K236&lt;&gt;"",1,0))</f>
        <v/>
      </c>
      <c r="H236" s="4" t="str">
        <f>IF(Respostas_Brutas!B236="","",IF(ISNUMBER(SEARCH("Não",Respostas_Brutas!AH236)),1,0))</f>
        <v/>
      </c>
      <c r="I236" s="4" t="str">
        <f>IF(Respostas_Brutas!B236="","",IF(ISNUMBER(SEARCH("Sim",Respostas_Brutas!AL236)),1,0))</f>
        <v/>
      </c>
      <c r="J236" s="4" t="str">
        <f>IF(Respostas_Brutas!B236="","",IF(Respostas_Brutas!AN236="","",MIN(1,MAX(0,(N(Respostas_Brutas!AN236)-1)/4))))</f>
        <v/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tr">
        <f>IF(Respostas_Brutas!B237="","",Respostas_Brutas!B237)</f>
        <v/>
      </c>
      <c r="B237" s="4" t="str">
        <f>IF(Respostas_Brutas!B237="","",IFERROR(IF(IFERROR(VALUE(TRIM(SUBSTITUTE(SUBSTITUTE(SUBSTITUTE(TRIM(Respostas_Brutas!AS237),"R$",""),".",""),",","."))),0)=0,"",(IFERROR(VALUE(TRIM(SUBSTITUTE(SUBSTITUTE(SUBSTITUTE(TRIM(Respostas_Brutas!AS237),"R$",""),".",""),",","."))),0)-IFERROR(VALUE(TRIM(SUBSTITUTE(SUBSTITUTE(SUBSTITUTE(TRIM(Respostas_Brutas!T237),"R$",""),".",""),",","."))),0))/IFERROR(VALUE(TRIM(SUBSTITUTE(SUBSTITUTE(SUBSTITUTE(TRIM(Respostas_Brutas!AS237),"R$",""),".",""),",","."))),0)),""))</f>
        <v/>
      </c>
      <c r="C237" s="4" t="str">
        <f>IF(Respostas_Brutas!B237="","",MIN(1,(IFERROR(VALUE(LEFT(Respostas_Brutas!I237,IFERROR(FIND(" ",Respostas_Brutas!I237)-1,LEN(Respostas_Brutas!I237)))),0)+IFERROR(VALUE(LEFT(Respostas_Brutas!O237,IFERROR(FIND(" ",Respostas_Brutas!O237)-1,LEN(Respostas_Brutas!O237)))),0))/20))</f>
        <v/>
      </c>
      <c r="D237" s="4" t="str">
        <f>IF(Respostas_Brutas!B237="","",IF(Respostas_Brutas!D237="","",MIN(1,MAX(0,(YEAR(TODAY())-N(Respostas_Brutas!D237))/15))))</f>
        <v/>
      </c>
      <c r="E237" s="4" t="str">
        <f>IF(Respostas_Brutas!B237="","",IF(ISNUMBER(SEARCH("Sim",Respostas_Brutas!S237)),1,0))</f>
        <v/>
      </c>
      <c r="F237" s="4" t="str">
        <f>IF(Respostas_Brutas!B237="","",IFERROR(N(Respostas_Brutas!Y237)/N(Respostas_Brutas!Z237),""))</f>
        <v/>
      </c>
      <c r="G237" s="4" t="str">
        <f>IF(Respostas_Brutas!B237="","",IF(Respostas_Brutas!K237&lt;&gt;"",1,0))</f>
        <v/>
      </c>
      <c r="H237" s="4" t="str">
        <f>IF(Respostas_Brutas!B237="","",IF(ISNUMBER(SEARCH("Não",Respostas_Brutas!AH237)),1,0))</f>
        <v/>
      </c>
      <c r="I237" s="4" t="str">
        <f>IF(Respostas_Brutas!B237="","",IF(ISNUMBER(SEARCH("Sim",Respostas_Brutas!AL237)),1,0))</f>
        <v/>
      </c>
      <c r="J237" s="4" t="str">
        <f>IF(Respostas_Brutas!B237="","",IF(Respostas_Brutas!AN237="","",MIN(1,MAX(0,(N(Respostas_Brutas!AN237)-1)/4))))</f>
        <v/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tr">
        <f>IF(Respostas_Brutas!B238="","",Respostas_Brutas!B238)</f>
        <v/>
      </c>
      <c r="B238" s="4" t="str">
        <f>IF(Respostas_Brutas!B238="","",IFERROR(IF(IFERROR(VALUE(TRIM(SUBSTITUTE(SUBSTITUTE(SUBSTITUTE(TRIM(Respostas_Brutas!AS238),"R$",""),".",""),",","."))),0)=0,"",(IFERROR(VALUE(TRIM(SUBSTITUTE(SUBSTITUTE(SUBSTITUTE(TRIM(Respostas_Brutas!AS238),"R$",""),".",""),",","."))),0)-IFERROR(VALUE(TRIM(SUBSTITUTE(SUBSTITUTE(SUBSTITUTE(TRIM(Respostas_Brutas!T238),"R$",""),".",""),",","."))),0))/IFERROR(VALUE(TRIM(SUBSTITUTE(SUBSTITUTE(SUBSTITUTE(TRIM(Respostas_Brutas!AS238),"R$",""),".",""),",","."))),0)),""))</f>
        <v/>
      </c>
      <c r="C238" s="4" t="str">
        <f>IF(Respostas_Brutas!B238="","",MIN(1,(IFERROR(VALUE(LEFT(Respostas_Brutas!I238,IFERROR(FIND(" ",Respostas_Brutas!I238)-1,LEN(Respostas_Brutas!I238)))),0)+IFERROR(VALUE(LEFT(Respostas_Brutas!O238,IFERROR(FIND(" ",Respostas_Brutas!O238)-1,LEN(Respostas_Brutas!O238)))),0))/20))</f>
        <v/>
      </c>
      <c r="D238" s="4" t="str">
        <f>IF(Respostas_Brutas!B238="","",IF(Respostas_Brutas!D238="","",MIN(1,MAX(0,(YEAR(TODAY())-N(Respostas_Brutas!D238))/15))))</f>
        <v/>
      </c>
      <c r="E238" s="4" t="str">
        <f>IF(Respostas_Brutas!B238="","",IF(ISNUMBER(SEARCH("Sim",Respostas_Brutas!S238)),1,0))</f>
        <v/>
      </c>
      <c r="F238" s="4" t="str">
        <f>IF(Respostas_Brutas!B238="","",IFERROR(N(Respostas_Brutas!Y238)/N(Respostas_Brutas!Z238),""))</f>
        <v/>
      </c>
      <c r="G238" s="4" t="str">
        <f>IF(Respostas_Brutas!B238="","",IF(Respostas_Brutas!K238&lt;&gt;"",1,0))</f>
        <v/>
      </c>
      <c r="H238" s="4" t="str">
        <f>IF(Respostas_Brutas!B238="","",IF(ISNUMBER(SEARCH("Não",Respostas_Brutas!AH238)),1,0))</f>
        <v/>
      </c>
      <c r="I238" s="4" t="str">
        <f>IF(Respostas_Brutas!B238="","",IF(ISNUMBER(SEARCH("Sim",Respostas_Brutas!AL238)),1,0))</f>
        <v/>
      </c>
      <c r="J238" s="4" t="str">
        <f>IF(Respostas_Brutas!B238="","",IF(Respostas_Brutas!AN238="","",MIN(1,MAX(0,(N(Respostas_Brutas!AN238)-1)/4))))</f>
        <v/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tr">
        <f>IF(Respostas_Brutas!B239="","",Respostas_Brutas!B239)</f>
        <v/>
      </c>
      <c r="B239" s="4" t="str">
        <f>IF(Respostas_Brutas!B239="","",IFERROR(IF(IFERROR(VALUE(TRIM(SUBSTITUTE(SUBSTITUTE(SUBSTITUTE(TRIM(Respostas_Brutas!AS239),"R$",""),".",""),",","."))),0)=0,"",(IFERROR(VALUE(TRIM(SUBSTITUTE(SUBSTITUTE(SUBSTITUTE(TRIM(Respostas_Brutas!AS239),"R$",""),".",""),",","."))),0)-IFERROR(VALUE(TRIM(SUBSTITUTE(SUBSTITUTE(SUBSTITUTE(TRIM(Respostas_Brutas!T239),"R$",""),".",""),",","."))),0))/IFERROR(VALUE(TRIM(SUBSTITUTE(SUBSTITUTE(SUBSTITUTE(TRIM(Respostas_Brutas!AS239),"R$",""),".",""),",","."))),0)),""))</f>
        <v/>
      </c>
      <c r="C239" s="4" t="str">
        <f>IF(Respostas_Brutas!B239="","",MIN(1,(IFERROR(VALUE(LEFT(Respostas_Brutas!I239,IFERROR(FIND(" ",Respostas_Brutas!I239)-1,LEN(Respostas_Brutas!I239)))),0)+IFERROR(VALUE(LEFT(Respostas_Brutas!O239,IFERROR(FIND(" ",Respostas_Brutas!O239)-1,LEN(Respostas_Brutas!O239)))),0))/20))</f>
        <v/>
      </c>
      <c r="D239" s="4" t="str">
        <f>IF(Respostas_Brutas!B239="","",IF(Respostas_Brutas!D239="","",MIN(1,MAX(0,(YEAR(TODAY())-N(Respostas_Brutas!D239))/15))))</f>
        <v/>
      </c>
      <c r="E239" s="4" t="str">
        <f>IF(Respostas_Brutas!B239="","",IF(ISNUMBER(SEARCH("Sim",Respostas_Brutas!S239)),1,0))</f>
        <v/>
      </c>
      <c r="F239" s="4" t="str">
        <f>IF(Respostas_Brutas!B239="","",IFERROR(N(Respostas_Brutas!Y239)/N(Respostas_Brutas!Z239),""))</f>
        <v/>
      </c>
      <c r="G239" s="4" t="str">
        <f>IF(Respostas_Brutas!B239="","",IF(Respostas_Brutas!K239&lt;&gt;"",1,0))</f>
        <v/>
      </c>
      <c r="H239" s="4" t="str">
        <f>IF(Respostas_Brutas!B239="","",IF(ISNUMBER(SEARCH("Não",Respostas_Brutas!AH239)),1,0))</f>
        <v/>
      </c>
      <c r="I239" s="4" t="str">
        <f>IF(Respostas_Brutas!B239="","",IF(ISNUMBER(SEARCH("Sim",Respostas_Brutas!AL239)),1,0))</f>
        <v/>
      </c>
      <c r="J239" s="4" t="str">
        <f>IF(Respostas_Brutas!B239="","",IF(Respostas_Brutas!AN239="","",MIN(1,MAX(0,(N(Respostas_Brutas!AN239)-1)/4))))</f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tr">
        <f>IF(Respostas_Brutas!B240="","",Respostas_Brutas!B240)</f>
        <v/>
      </c>
      <c r="B240" s="4" t="str">
        <f>IF(Respostas_Brutas!B240="","",IFERROR(IF(IFERROR(VALUE(TRIM(SUBSTITUTE(SUBSTITUTE(SUBSTITUTE(TRIM(Respostas_Brutas!AS240),"R$",""),".",""),",","."))),0)=0,"",(IFERROR(VALUE(TRIM(SUBSTITUTE(SUBSTITUTE(SUBSTITUTE(TRIM(Respostas_Brutas!AS240),"R$",""),".",""),",","."))),0)-IFERROR(VALUE(TRIM(SUBSTITUTE(SUBSTITUTE(SUBSTITUTE(TRIM(Respostas_Brutas!T240),"R$",""),".",""),",","."))),0))/IFERROR(VALUE(TRIM(SUBSTITUTE(SUBSTITUTE(SUBSTITUTE(TRIM(Respostas_Brutas!AS240),"R$",""),".",""),",","."))),0)),""))</f>
        <v/>
      </c>
      <c r="C240" s="4" t="str">
        <f>IF(Respostas_Brutas!B240="","",MIN(1,(IFERROR(VALUE(LEFT(Respostas_Brutas!I240,IFERROR(FIND(" ",Respostas_Brutas!I240)-1,LEN(Respostas_Brutas!I240)))),0)+IFERROR(VALUE(LEFT(Respostas_Brutas!O240,IFERROR(FIND(" ",Respostas_Brutas!O240)-1,LEN(Respostas_Brutas!O240)))),0))/20))</f>
        <v/>
      </c>
      <c r="D240" s="4" t="str">
        <f>IF(Respostas_Brutas!B240="","",IF(Respostas_Brutas!D240="","",MIN(1,MAX(0,(YEAR(TODAY())-N(Respostas_Brutas!D240))/15))))</f>
        <v/>
      </c>
      <c r="E240" s="4" t="str">
        <f>IF(Respostas_Brutas!B240="","",IF(ISNUMBER(SEARCH("Sim",Respostas_Brutas!S240)),1,0))</f>
        <v/>
      </c>
      <c r="F240" s="4" t="str">
        <f>IF(Respostas_Brutas!B240="","",IFERROR(N(Respostas_Brutas!Y240)/N(Respostas_Brutas!Z240),""))</f>
        <v/>
      </c>
      <c r="G240" s="4" t="str">
        <f>IF(Respostas_Brutas!B240="","",IF(Respostas_Brutas!K240&lt;&gt;"",1,0))</f>
        <v/>
      </c>
      <c r="H240" s="4" t="str">
        <f>IF(Respostas_Brutas!B240="","",IF(ISNUMBER(SEARCH("Não",Respostas_Brutas!AH240)),1,0))</f>
        <v/>
      </c>
      <c r="I240" s="4" t="str">
        <f>IF(Respostas_Brutas!B240="","",IF(ISNUMBER(SEARCH("Sim",Respostas_Brutas!AL240)),1,0))</f>
        <v/>
      </c>
      <c r="J240" s="4" t="str">
        <f>IF(Respostas_Brutas!B240="","",IF(Respostas_Brutas!AN240="","",MIN(1,MAX(0,(N(Respostas_Brutas!AN240)-1)/4))))</f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tr">
        <f>IF(Respostas_Brutas!B241="","",Respostas_Brutas!B241)</f>
        <v/>
      </c>
      <c r="B241" s="4" t="str">
        <f>IF(Respostas_Brutas!B241="","",IFERROR(IF(IFERROR(VALUE(TRIM(SUBSTITUTE(SUBSTITUTE(SUBSTITUTE(TRIM(Respostas_Brutas!AS241),"R$",""),".",""),",","."))),0)=0,"",(IFERROR(VALUE(TRIM(SUBSTITUTE(SUBSTITUTE(SUBSTITUTE(TRIM(Respostas_Brutas!AS241),"R$",""),".",""),",","."))),0)-IFERROR(VALUE(TRIM(SUBSTITUTE(SUBSTITUTE(SUBSTITUTE(TRIM(Respostas_Brutas!T241),"R$",""),".",""),",","."))),0))/IFERROR(VALUE(TRIM(SUBSTITUTE(SUBSTITUTE(SUBSTITUTE(TRIM(Respostas_Brutas!AS241),"R$",""),".",""),",","."))),0)),""))</f>
        <v/>
      </c>
      <c r="C241" s="4" t="str">
        <f>IF(Respostas_Brutas!B241="","",MIN(1,(IFERROR(VALUE(LEFT(Respostas_Brutas!I241,IFERROR(FIND(" ",Respostas_Brutas!I241)-1,LEN(Respostas_Brutas!I241)))),0)+IFERROR(VALUE(LEFT(Respostas_Brutas!O241,IFERROR(FIND(" ",Respostas_Brutas!O241)-1,LEN(Respostas_Brutas!O241)))),0))/20))</f>
        <v/>
      </c>
      <c r="D241" s="4" t="str">
        <f>IF(Respostas_Brutas!B241="","",IF(Respostas_Brutas!D241="","",MIN(1,MAX(0,(YEAR(TODAY())-N(Respostas_Brutas!D241))/15))))</f>
        <v/>
      </c>
      <c r="E241" s="4" t="str">
        <f>IF(Respostas_Brutas!B241="","",IF(ISNUMBER(SEARCH("Sim",Respostas_Brutas!S241)),1,0))</f>
        <v/>
      </c>
      <c r="F241" s="4" t="str">
        <f>IF(Respostas_Brutas!B241="","",IFERROR(N(Respostas_Brutas!Y241)/N(Respostas_Brutas!Z241),""))</f>
        <v/>
      </c>
      <c r="G241" s="4" t="str">
        <f>IF(Respostas_Brutas!B241="","",IF(Respostas_Brutas!K241&lt;&gt;"",1,0))</f>
        <v/>
      </c>
      <c r="H241" s="4" t="str">
        <f>IF(Respostas_Brutas!B241="","",IF(ISNUMBER(SEARCH("Não",Respostas_Brutas!AH241)),1,0))</f>
        <v/>
      </c>
      <c r="I241" s="4" t="str">
        <f>IF(Respostas_Brutas!B241="","",IF(ISNUMBER(SEARCH("Sim",Respostas_Brutas!AL241)),1,0))</f>
        <v/>
      </c>
      <c r="J241" s="4" t="str">
        <f>IF(Respostas_Brutas!B241="","",IF(Respostas_Brutas!AN241="","",MIN(1,MAX(0,(N(Respostas_Brutas!AN241)-1)/4))))</f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tr">
        <f>IF(Respostas_Brutas!B242="","",Respostas_Brutas!B242)</f>
        <v/>
      </c>
      <c r="B242" s="4" t="str">
        <f>IF(Respostas_Brutas!B242="","",IFERROR(IF(IFERROR(VALUE(TRIM(SUBSTITUTE(SUBSTITUTE(SUBSTITUTE(TRIM(Respostas_Brutas!AS242),"R$",""),".",""),",","."))),0)=0,"",(IFERROR(VALUE(TRIM(SUBSTITUTE(SUBSTITUTE(SUBSTITUTE(TRIM(Respostas_Brutas!AS242),"R$",""),".",""),",","."))),0)-IFERROR(VALUE(TRIM(SUBSTITUTE(SUBSTITUTE(SUBSTITUTE(TRIM(Respostas_Brutas!T242),"R$",""),".",""),",","."))),0))/IFERROR(VALUE(TRIM(SUBSTITUTE(SUBSTITUTE(SUBSTITUTE(TRIM(Respostas_Brutas!AS242),"R$",""),".",""),",","."))),0)),""))</f>
        <v/>
      </c>
      <c r="C242" s="4" t="str">
        <f>IF(Respostas_Brutas!B242="","",MIN(1,(IFERROR(VALUE(LEFT(Respostas_Brutas!I242,IFERROR(FIND(" ",Respostas_Brutas!I242)-1,LEN(Respostas_Brutas!I242)))),0)+IFERROR(VALUE(LEFT(Respostas_Brutas!O242,IFERROR(FIND(" ",Respostas_Brutas!O242)-1,LEN(Respostas_Brutas!O242)))),0))/20))</f>
        <v/>
      </c>
      <c r="D242" s="4" t="str">
        <f>IF(Respostas_Brutas!B242="","",IF(Respostas_Brutas!D242="","",MIN(1,MAX(0,(YEAR(TODAY())-N(Respostas_Brutas!D242))/15))))</f>
        <v/>
      </c>
      <c r="E242" s="4" t="str">
        <f>IF(Respostas_Brutas!B242="","",IF(ISNUMBER(SEARCH("Sim",Respostas_Brutas!S242)),1,0))</f>
        <v/>
      </c>
      <c r="F242" s="4" t="str">
        <f>IF(Respostas_Brutas!B242="","",IFERROR(N(Respostas_Brutas!Y242)/N(Respostas_Brutas!Z242),""))</f>
        <v/>
      </c>
      <c r="G242" s="4" t="str">
        <f>IF(Respostas_Brutas!B242="","",IF(Respostas_Brutas!K242&lt;&gt;"",1,0))</f>
        <v/>
      </c>
      <c r="H242" s="4" t="str">
        <f>IF(Respostas_Brutas!B242="","",IF(ISNUMBER(SEARCH("Não",Respostas_Brutas!AH242)),1,0))</f>
        <v/>
      </c>
      <c r="I242" s="4" t="str">
        <f>IF(Respostas_Brutas!B242="","",IF(ISNUMBER(SEARCH("Sim",Respostas_Brutas!AL242)),1,0))</f>
        <v/>
      </c>
      <c r="J242" s="4" t="str">
        <f>IF(Respostas_Brutas!B242="","",IF(Respostas_Brutas!AN242="","",MIN(1,MAX(0,(N(Respostas_Brutas!AN242)-1)/4))))</f>
        <v/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tr">
        <f>IF(Respostas_Brutas!B243="","",Respostas_Brutas!B243)</f>
        <v/>
      </c>
      <c r="B243" s="4" t="str">
        <f>IF(Respostas_Brutas!B243="","",IFERROR(IF(IFERROR(VALUE(TRIM(SUBSTITUTE(SUBSTITUTE(SUBSTITUTE(TRIM(Respostas_Brutas!AS243),"R$",""),".",""),",","."))),0)=0,"",(IFERROR(VALUE(TRIM(SUBSTITUTE(SUBSTITUTE(SUBSTITUTE(TRIM(Respostas_Brutas!AS243),"R$",""),".",""),",","."))),0)-IFERROR(VALUE(TRIM(SUBSTITUTE(SUBSTITUTE(SUBSTITUTE(TRIM(Respostas_Brutas!T243),"R$",""),".",""),",","."))),0))/IFERROR(VALUE(TRIM(SUBSTITUTE(SUBSTITUTE(SUBSTITUTE(TRIM(Respostas_Brutas!AS243),"R$",""),".",""),",","."))),0)),""))</f>
        <v/>
      </c>
      <c r="C243" s="4" t="str">
        <f>IF(Respostas_Brutas!B243="","",MIN(1,(IFERROR(VALUE(LEFT(Respostas_Brutas!I243,IFERROR(FIND(" ",Respostas_Brutas!I243)-1,LEN(Respostas_Brutas!I243)))),0)+IFERROR(VALUE(LEFT(Respostas_Brutas!O243,IFERROR(FIND(" ",Respostas_Brutas!O243)-1,LEN(Respostas_Brutas!O243)))),0))/20))</f>
        <v/>
      </c>
      <c r="D243" s="4" t="str">
        <f>IF(Respostas_Brutas!B243="","",IF(Respostas_Brutas!D243="","",MIN(1,MAX(0,(YEAR(TODAY())-N(Respostas_Brutas!D243))/15))))</f>
        <v/>
      </c>
      <c r="E243" s="4" t="str">
        <f>IF(Respostas_Brutas!B243="","",IF(ISNUMBER(SEARCH("Sim",Respostas_Brutas!S243)),1,0))</f>
        <v/>
      </c>
      <c r="F243" s="4" t="str">
        <f>IF(Respostas_Brutas!B243="","",IFERROR(N(Respostas_Brutas!Y243)/N(Respostas_Brutas!Z243),""))</f>
        <v/>
      </c>
      <c r="G243" s="4" t="str">
        <f>IF(Respostas_Brutas!B243="","",IF(Respostas_Brutas!K243&lt;&gt;"",1,0))</f>
        <v/>
      </c>
      <c r="H243" s="4" t="str">
        <f>IF(Respostas_Brutas!B243="","",IF(ISNUMBER(SEARCH("Não",Respostas_Brutas!AH243)),1,0))</f>
        <v/>
      </c>
      <c r="I243" s="4" t="str">
        <f>IF(Respostas_Brutas!B243="","",IF(ISNUMBER(SEARCH("Sim",Respostas_Brutas!AL243)),1,0))</f>
        <v/>
      </c>
      <c r="J243" s="4" t="str">
        <f>IF(Respostas_Brutas!B243="","",IF(Respostas_Brutas!AN243="","",MIN(1,MAX(0,(N(Respostas_Brutas!AN243)-1)/4))))</f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tr">
        <f>IF(Respostas_Brutas!B244="","",Respostas_Brutas!B244)</f>
        <v/>
      </c>
      <c r="B244" s="4" t="str">
        <f>IF(Respostas_Brutas!B244="","",IFERROR(IF(IFERROR(VALUE(TRIM(SUBSTITUTE(SUBSTITUTE(SUBSTITUTE(TRIM(Respostas_Brutas!AS244),"R$",""),".",""),",","."))),0)=0,"",(IFERROR(VALUE(TRIM(SUBSTITUTE(SUBSTITUTE(SUBSTITUTE(TRIM(Respostas_Brutas!AS244),"R$",""),".",""),",","."))),0)-IFERROR(VALUE(TRIM(SUBSTITUTE(SUBSTITUTE(SUBSTITUTE(TRIM(Respostas_Brutas!T244),"R$",""),".",""),",","."))),0))/IFERROR(VALUE(TRIM(SUBSTITUTE(SUBSTITUTE(SUBSTITUTE(TRIM(Respostas_Brutas!AS244),"R$",""),".",""),",","."))),0)),""))</f>
        <v/>
      </c>
      <c r="C244" s="4" t="str">
        <f>IF(Respostas_Brutas!B244="","",MIN(1,(IFERROR(VALUE(LEFT(Respostas_Brutas!I244,IFERROR(FIND(" ",Respostas_Brutas!I244)-1,LEN(Respostas_Brutas!I244)))),0)+IFERROR(VALUE(LEFT(Respostas_Brutas!O244,IFERROR(FIND(" ",Respostas_Brutas!O244)-1,LEN(Respostas_Brutas!O244)))),0))/20))</f>
        <v/>
      </c>
      <c r="D244" s="4" t="str">
        <f>IF(Respostas_Brutas!B244="","",IF(Respostas_Brutas!D244="","",MIN(1,MAX(0,(YEAR(TODAY())-N(Respostas_Brutas!D244))/15))))</f>
        <v/>
      </c>
      <c r="E244" s="4" t="str">
        <f>IF(Respostas_Brutas!B244="","",IF(ISNUMBER(SEARCH("Sim",Respostas_Brutas!S244)),1,0))</f>
        <v/>
      </c>
      <c r="F244" s="4" t="str">
        <f>IF(Respostas_Brutas!B244="","",IFERROR(N(Respostas_Brutas!Y244)/N(Respostas_Brutas!Z244),""))</f>
        <v/>
      </c>
      <c r="G244" s="4" t="str">
        <f>IF(Respostas_Brutas!B244="","",IF(Respostas_Brutas!K244&lt;&gt;"",1,0))</f>
        <v/>
      </c>
      <c r="H244" s="4" t="str">
        <f>IF(Respostas_Brutas!B244="","",IF(ISNUMBER(SEARCH("Não",Respostas_Brutas!AH244)),1,0))</f>
        <v/>
      </c>
      <c r="I244" s="4" t="str">
        <f>IF(Respostas_Brutas!B244="","",IF(ISNUMBER(SEARCH("Sim",Respostas_Brutas!AL244)),1,0))</f>
        <v/>
      </c>
      <c r="J244" s="4" t="str">
        <f>IF(Respostas_Brutas!B244="","",IF(Respostas_Brutas!AN244="","",MIN(1,MAX(0,(N(Respostas_Brutas!AN244)-1)/4))))</f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tr">
        <f>IF(Respostas_Brutas!B245="","",Respostas_Brutas!B245)</f>
        <v/>
      </c>
      <c r="B245" s="4" t="str">
        <f>IF(Respostas_Brutas!B245="","",IFERROR(IF(IFERROR(VALUE(TRIM(SUBSTITUTE(SUBSTITUTE(SUBSTITUTE(TRIM(Respostas_Brutas!AS245),"R$",""),".",""),",","."))),0)=0,"",(IFERROR(VALUE(TRIM(SUBSTITUTE(SUBSTITUTE(SUBSTITUTE(TRIM(Respostas_Brutas!AS245),"R$",""),".",""),",","."))),0)-IFERROR(VALUE(TRIM(SUBSTITUTE(SUBSTITUTE(SUBSTITUTE(TRIM(Respostas_Brutas!T245),"R$",""),".",""),",","."))),0))/IFERROR(VALUE(TRIM(SUBSTITUTE(SUBSTITUTE(SUBSTITUTE(TRIM(Respostas_Brutas!AS245),"R$",""),".",""),",","."))),0)),""))</f>
        <v/>
      </c>
      <c r="C245" s="4" t="str">
        <f>IF(Respostas_Brutas!B245="","",MIN(1,(IFERROR(VALUE(LEFT(Respostas_Brutas!I245,IFERROR(FIND(" ",Respostas_Brutas!I245)-1,LEN(Respostas_Brutas!I245)))),0)+IFERROR(VALUE(LEFT(Respostas_Brutas!O245,IFERROR(FIND(" ",Respostas_Brutas!O245)-1,LEN(Respostas_Brutas!O245)))),0))/20))</f>
        <v/>
      </c>
      <c r="D245" s="4" t="str">
        <f>IF(Respostas_Brutas!B245="","",IF(Respostas_Brutas!D245="","",MIN(1,MAX(0,(YEAR(TODAY())-N(Respostas_Brutas!D245))/15))))</f>
        <v/>
      </c>
      <c r="E245" s="4" t="str">
        <f>IF(Respostas_Brutas!B245="","",IF(ISNUMBER(SEARCH("Sim",Respostas_Brutas!S245)),1,0))</f>
        <v/>
      </c>
      <c r="F245" s="4" t="str">
        <f>IF(Respostas_Brutas!B245="","",IFERROR(N(Respostas_Brutas!Y245)/N(Respostas_Brutas!Z245),""))</f>
        <v/>
      </c>
      <c r="G245" s="4" t="str">
        <f>IF(Respostas_Brutas!B245="","",IF(Respostas_Brutas!K245&lt;&gt;"",1,0))</f>
        <v/>
      </c>
      <c r="H245" s="4" t="str">
        <f>IF(Respostas_Brutas!B245="","",IF(ISNUMBER(SEARCH("Não",Respostas_Brutas!AH245)),1,0))</f>
        <v/>
      </c>
      <c r="I245" s="4" t="str">
        <f>IF(Respostas_Brutas!B245="","",IF(ISNUMBER(SEARCH("Sim",Respostas_Brutas!AL245)),1,0))</f>
        <v/>
      </c>
      <c r="J245" s="4" t="str">
        <f>IF(Respostas_Brutas!B245="","",IF(Respostas_Brutas!AN245="","",MIN(1,MAX(0,(N(Respostas_Brutas!AN245)-1)/4))))</f>
        <v/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tr">
        <f>IF(Respostas_Brutas!B246="","",Respostas_Brutas!B246)</f>
        <v/>
      </c>
      <c r="B246" s="4" t="str">
        <f>IF(Respostas_Brutas!B246="","",IFERROR(IF(IFERROR(VALUE(TRIM(SUBSTITUTE(SUBSTITUTE(SUBSTITUTE(TRIM(Respostas_Brutas!AS246),"R$",""),".",""),",","."))),0)=0,"",(IFERROR(VALUE(TRIM(SUBSTITUTE(SUBSTITUTE(SUBSTITUTE(TRIM(Respostas_Brutas!AS246),"R$",""),".",""),",","."))),0)-IFERROR(VALUE(TRIM(SUBSTITUTE(SUBSTITUTE(SUBSTITUTE(TRIM(Respostas_Brutas!T246),"R$",""),".",""),",","."))),0))/IFERROR(VALUE(TRIM(SUBSTITUTE(SUBSTITUTE(SUBSTITUTE(TRIM(Respostas_Brutas!AS246),"R$",""),".",""),",","."))),0)),""))</f>
        <v/>
      </c>
      <c r="C246" s="4" t="str">
        <f>IF(Respostas_Brutas!B246="","",MIN(1,(IFERROR(VALUE(LEFT(Respostas_Brutas!I246,IFERROR(FIND(" ",Respostas_Brutas!I246)-1,LEN(Respostas_Brutas!I246)))),0)+IFERROR(VALUE(LEFT(Respostas_Brutas!O246,IFERROR(FIND(" ",Respostas_Brutas!O246)-1,LEN(Respostas_Brutas!O246)))),0))/20))</f>
        <v/>
      </c>
      <c r="D246" s="4" t="str">
        <f>IF(Respostas_Brutas!B246="","",IF(Respostas_Brutas!D246="","",MIN(1,MAX(0,(YEAR(TODAY())-N(Respostas_Brutas!D246))/15))))</f>
        <v/>
      </c>
      <c r="E246" s="4" t="str">
        <f>IF(Respostas_Brutas!B246="","",IF(ISNUMBER(SEARCH("Sim",Respostas_Brutas!S246)),1,0))</f>
        <v/>
      </c>
      <c r="F246" s="4" t="str">
        <f>IF(Respostas_Brutas!B246="","",IFERROR(N(Respostas_Brutas!Y246)/N(Respostas_Brutas!Z246),""))</f>
        <v/>
      </c>
      <c r="G246" s="4" t="str">
        <f>IF(Respostas_Brutas!B246="","",IF(Respostas_Brutas!K246&lt;&gt;"",1,0))</f>
        <v/>
      </c>
      <c r="H246" s="4" t="str">
        <f>IF(Respostas_Brutas!B246="","",IF(ISNUMBER(SEARCH("Não",Respostas_Brutas!AH246)),1,0))</f>
        <v/>
      </c>
      <c r="I246" s="4" t="str">
        <f>IF(Respostas_Brutas!B246="","",IF(ISNUMBER(SEARCH("Sim",Respostas_Brutas!AL246)),1,0))</f>
        <v/>
      </c>
      <c r="J246" s="4" t="str">
        <f>IF(Respostas_Brutas!B246="","",IF(Respostas_Brutas!AN246="","",MIN(1,MAX(0,(N(Respostas_Brutas!AN246)-1)/4))))</f>
        <v/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tr">
        <f>IF(Respostas_Brutas!B247="","",Respostas_Brutas!B247)</f>
        <v/>
      </c>
      <c r="B247" s="4" t="str">
        <f>IF(Respostas_Brutas!B247="","",IFERROR(IF(IFERROR(VALUE(TRIM(SUBSTITUTE(SUBSTITUTE(SUBSTITUTE(TRIM(Respostas_Brutas!AS247),"R$",""),".",""),",","."))),0)=0,"",(IFERROR(VALUE(TRIM(SUBSTITUTE(SUBSTITUTE(SUBSTITUTE(TRIM(Respostas_Brutas!AS247),"R$",""),".",""),",","."))),0)-IFERROR(VALUE(TRIM(SUBSTITUTE(SUBSTITUTE(SUBSTITUTE(TRIM(Respostas_Brutas!T247),"R$",""),".",""),",","."))),0))/IFERROR(VALUE(TRIM(SUBSTITUTE(SUBSTITUTE(SUBSTITUTE(TRIM(Respostas_Brutas!AS247),"R$",""),".",""),",","."))),0)),""))</f>
        <v/>
      </c>
      <c r="C247" s="4" t="str">
        <f>IF(Respostas_Brutas!B247="","",MIN(1,(IFERROR(VALUE(LEFT(Respostas_Brutas!I247,IFERROR(FIND(" ",Respostas_Brutas!I247)-1,LEN(Respostas_Brutas!I247)))),0)+IFERROR(VALUE(LEFT(Respostas_Brutas!O247,IFERROR(FIND(" ",Respostas_Brutas!O247)-1,LEN(Respostas_Brutas!O247)))),0))/20))</f>
        <v/>
      </c>
      <c r="D247" s="4" t="str">
        <f>IF(Respostas_Brutas!B247="","",IF(Respostas_Brutas!D247="","",MIN(1,MAX(0,(YEAR(TODAY())-N(Respostas_Brutas!D247))/15))))</f>
        <v/>
      </c>
      <c r="E247" s="4" t="str">
        <f>IF(Respostas_Brutas!B247="","",IF(ISNUMBER(SEARCH("Sim",Respostas_Brutas!S247)),1,0))</f>
        <v/>
      </c>
      <c r="F247" s="4" t="str">
        <f>IF(Respostas_Brutas!B247="","",IFERROR(N(Respostas_Brutas!Y247)/N(Respostas_Brutas!Z247),""))</f>
        <v/>
      </c>
      <c r="G247" s="4" t="str">
        <f>IF(Respostas_Brutas!B247="","",IF(Respostas_Brutas!K247&lt;&gt;"",1,0))</f>
        <v/>
      </c>
      <c r="H247" s="4" t="str">
        <f>IF(Respostas_Brutas!B247="","",IF(ISNUMBER(SEARCH("Não",Respostas_Brutas!AH247)),1,0))</f>
        <v/>
      </c>
      <c r="I247" s="4" t="str">
        <f>IF(Respostas_Brutas!B247="","",IF(ISNUMBER(SEARCH("Sim",Respostas_Brutas!AL247)),1,0))</f>
        <v/>
      </c>
      <c r="J247" s="4" t="str">
        <f>IF(Respostas_Brutas!B247="","",IF(Respostas_Brutas!AN247="","",MIN(1,MAX(0,(N(Respostas_Brutas!AN247)-1)/4))))</f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tr">
        <f>IF(Respostas_Brutas!B248="","",Respostas_Brutas!B248)</f>
        <v/>
      </c>
      <c r="B248" s="4" t="str">
        <f>IF(Respostas_Brutas!B248="","",IFERROR(IF(IFERROR(VALUE(TRIM(SUBSTITUTE(SUBSTITUTE(SUBSTITUTE(TRIM(Respostas_Brutas!AS248),"R$",""),".",""),",","."))),0)=0,"",(IFERROR(VALUE(TRIM(SUBSTITUTE(SUBSTITUTE(SUBSTITUTE(TRIM(Respostas_Brutas!AS248),"R$",""),".",""),",","."))),0)-IFERROR(VALUE(TRIM(SUBSTITUTE(SUBSTITUTE(SUBSTITUTE(TRIM(Respostas_Brutas!T248),"R$",""),".",""),",","."))),0))/IFERROR(VALUE(TRIM(SUBSTITUTE(SUBSTITUTE(SUBSTITUTE(TRIM(Respostas_Brutas!AS248),"R$",""),".",""),",","."))),0)),""))</f>
        <v/>
      </c>
      <c r="C248" s="4" t="str">
        <f>IF(Respostas_Brutas!B248="","",MIN(1,(IFERROR(VALUE(LEFT(Respostas_Brutas!I248,IFERROR(FIND(" ",Respostas_Brutas!I248)-1,LEN(Respostas_Brutas!I248)))),0)+IFERROR(VALUE(LEFT(Respostas_Brutas!O248,IFERROR(FIND(" ",Respostas_Brutas!O248)-1,LEN(Respostas_Brutas!O248)))),0))/20))</f>
        <v/>
      </c>
      <c r="D248" s="4" t="str">
        <f>IF(Respostas_Brutas!B248="","",IF(Respostas_Brutas!D248="","",MIN(1,MAX(0,(YEAR(TODAY())-N(Respostas_Brutas!D248))/15))))</f>
        <v/>
      </c>
      <c r="E248" s="4" t="str">
        <f>IF(Respostas_Brutas!B248="","",IF(ISNUMBER(SEARCH("Sim",Respostas_Brutas!S248)),1,0))</f>
        <v/>
      </c>
      <c r="F248" s="4" t="str">
        <f>IF(Respostas_Brutas!B248="","",IFERROR(N(Respostas_Brutas!Y248)/N(Respostas_Brutas!Z248),""))</f>
        <v/>
      </c>
      <c r="G248" s="4" t="str">
        <f>IF(Respostas_Brutas!B248="","",IF(Respostas_Brutas!K248&lt;&gt;"",1,0))</f>
        <v/>
      </c>
      <c r="H248" s="4" t="str">
        <f>IF(Respostas_Brutas!B248="","",IF(ISNUMBER(SEARCH("Não",Respostas_Brutas!AH248)),1,0))</f>
        <v/>
      </c>
      <c r="I248" s="4" t="str">
        <f>IF(Respostas_Brutas!B248="","",IF(ISNUMBER(SEARCH("Sim",Respostas_Brutas!AL248)),1,0))</f>
        <v/>
      </c>
      <c r="J248" s="4" t="str">
        <f>IF(Respostas_Brutas!B248="","",IF(Respostas_Brutas!AN248="","",MIN(1,MAX(0,(N(Respostas_Brutas!AN248)-1)/4))))</f>
        <v/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tr">
        <f>IF(Respostas_Brutas!B249="","",Respostas_Brutas!B249)</f>
        <v/>
      </c>
      <c r="B249" s="4" t="str">
        <f>IF(Respostas_Brutas!B249="","",IFERROR(IF(IFERROR(VALUE(TRIM(SUBSTITUTE(SUBSTITUTE(SUBSTITUTE(TRIM(Respostas_Brutas!AS249),"R$",""),".",""),",","."))),0)=0,"",(IFERROR(VALUE(TRIM(SUBSTITUTE(SUBSTITUTE(SUBSTITUTE(TRIM(Respostas_Brutas!AS249),"R$",""),".",""),",","."))),0)-IFERROR(VALUE(TRIM(SUBSTITUTE(SUBSTITUTE(SUBSTITUTE(TRIM(Respostas_Brutas!T249),"R$",""),".",""),",","."))),0))/IFERROR(VALUE(TRIM(SUBSTITUTE(SUBSTITUTE(SUBSTITUTE(TRIM(Respostas_Brutas!AS249),"R$",""),".",""),",","."))),0)),""))</f>
        <v/>
      </c>
      <c r="C249" s="4" t="str">
        <f>IF(Respostas_Brutas!B249="","",MIN(1,(IFERROR(VALUE(LEFT(Respostas_Brutas!I249,IFERROR(FIND(" ",Respostas_Brutas!I249)-1,LEN(Respostas_Brutas!I249)))),0)+IFERROR(VALUE(LEFT(Respostas_Brutas!O249,IFERROR(FIND(" ",Respostas_Brutas!O249)-1,LEN(Respostas_Brutas!O249)))),0))/20))</f>
        <v/>
      </c>
      <c r="D249" s="4" t="str">
        <f>IF(Respostas_Brutas!B249="","",IF(Respostas_Brutas!D249="","",MIN(1,MAX(0,(YEAR(TODAY())-N(Respostas_Brutas!D249))/15))))</f>
        <v/>
      </c>
      <c r="E249" s="4" t="str">
        <f>IF(Respostas_Brutas!B249="","",IF(ISNUMBER(SEARCH("Sim",Respostas_Brutas!S249)),1,0))</f>
        <v/>
      </c>
      <c r="F249" s="4" t="str">
        <f>IF(Respostas_Brutas!B249="","",IFERROR(N(Respostas_Brutas!Y249)/N(Respostas_Brutas!Z249),""))</f>
        <v/>
      </c>
      <c r="G249" s="4" t="str">
        <f>IF(Respostas_Brutas!B249="","",IF(Respostas_Brutas!K249&lt;&gt;"",1,0))</f>
        <v/>
      </c>
      <c r="H249" s="4" t="str">
        <f>IF(Respostas_Brutas!B249="","",IF(ISNUMBER(SEARCH("Não",Respostas_Brutas!AH249)),1,0))</f>
        <v/>
      </c>
      <c r="I249" s="4" t="str">
        <f>IF(Respostas_Brutas!B249="","",IF(ISNUMBER(SEARCH("Sim",Respostas_Brutas!AL249)),1,0))</f>
        <v/>
      </c>
      <c r="J249" s="4" t="str">
        <f>IF(Respostas_Brutas!B249="","",IF(Respostas_Brutas!AN249="","",MIN(1,MAX(0,(N(Respostas_Brutas!AN249)-1)/4))))</f>
        <v/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tr">
        <f>IF(Respostas_Brutas!B250="","",Respostas_Brutas!B250)</f>
        <v/>
      </c>
      <c r="B250" s="4" t="str">
        <f>IF(Respostas_Brutas!B250="","",IFERROR(IF(IFERROR(VALUE(TRIM(SUBSTITUTE(SUBSTITUTE(SUBSTITUTE(TRIM(Respostas_Brutas!AS250),"R$",""),".",""),",","."))),0)=0,"",(IFERROR(VALUE(TRIM(SUBSTITUTE(SUBSTITUTE(SUBSTITUTE(TRIM(Respostas_Brutas!AS250),"R$",""),".",""),",","."))),0)-IFERROR(VALUE(TRIM(SUBSTITUTE(SUBSTITUTE(SUBSTITUTE(TRIM(Respostas_Brutas!T250),"R$",""),".",""),",","."))),0))/IFERROR(VALUE(TRIM(SUBSTITUTE(SUBSTITUTE(SUBSTITUTE(TRIM(Respostas_Brutas!AS250),"R$",""),".",""),",","."))),0)),""))</f>
        <v/>
      </c>
      <c r="C250" s="4" t="str">
        <f>IF(Respostas_Brutas!B250="","",MIN(1,(IFERROR(VALUE(LEFT(Respostas_Brutas!I250,IFERROR(FIND(" ",Respostas_Brutas!I250)-1,LEN(Respostas_Brutas!I250)))),0)+IFERROR(VALUE(LEFT(Respostas_Brutas!O250,IFERROR(FIND(" ",Respostas_Brutas!O250)-1,LEN(Respostas_Brutas!O250)))),0))/20))</f>
        <v/>
      </c>
      <c r="D250" s="4" t="str">
        <f>IF(Respostas_Brutas!B250="","",IF(Respostas_Brutas!D250="","",MIN(1,MAX(0,(YEAR(TODAY())-N(Respostas_Brutas!D250))/15))))</f>
        <v/>
      </c>
      <c r="E250" s="4" t="str">
        <f>IF(Respostas_Brutas!B250="","",IF(ISNUMBER(SEARCH("Sim",Respostas_Brutas!S250)),1,0))</f>
        <v/>
      </c>
      <c r="F250" s="4" t="str">
        <f>IF(Respostas_Brutas!B250="","",IFERROR(N(Respostas_Brutas!Y250)/N(Respostas_Brutas!Z250),""))</f>
        <v/>
      </c>
      <c r="G250" s="4" t="str">
        <f>IF(Respostas_Brutas!B250="","",IF(Respostas_Brutas!K250&lt;&gt;"",1,0))</f>
        <v/>
      </c>
      <c r="H250" s="4" t="str">
        <f>IF(Respostas_Brutas!B250="","",IF(ISNUMBER(SEARCH("Não",Respostas_Brutas!AH250)),1,0))</f>
        <v/>
      </c>
      <c r="I250" s="4" t="str">
        <f>IF(Respostas_Brutas!B250="","",IF(ISNUMBER(SEARCH("Sim",Respostas_Brutas!AL250)),1,0))</f>
        <v/>
      </c>
      <c r="J250" s="4" t="str">
        <f>IF(Respostas_Brutas!B250="","",IF(Respostas_Brutas!AN250="","",MIN(1,MAX(0,(N(Respostas_Brutas!AN250)-1)/4))))</f>
        <v/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tr">
        <f>IF(Respostas_Brutas!B251="","",Respostas_Brutas!B251)</f>
        <v/>
      </c>
      <c r="B251" s="4" t="str">
        <f>IF(Respostas_Brutas!B251="","",IFERROR(IF(IFERROR(VALUE(TRIM(SUBSTITUTE(SUBSTITUTE(SUBSTITUTE(TRIM(Respostas_Brutas!AS251),"R$",""),".",""),",","."))),0)=0,"",(IFERROR(VALUE(TRIM(SUBSTITUTE(SUBSTITUTE(SUBSTITUTE(TRIM(Respostas_Brutas!AS251),"R$",""),".",""),",","."))),0)-IFERROR(VALUE(TRIM(SUBSTITUTE(SUBSTITUTE(SUBSTITUTE(TRIM(Respostas_Brutas!T251),"R$",""),".",""),",","."))),0))/IFERROR(VALUE(TRIM(SUBSTITUTE(SUBSTITUTE(SUBSTITUTE(TRIM(Respostas_Brutas!AS251),"R$",""),".",""),",","."))),0)),""))</f>
        <v/>
      </c>
      <c r="C251" s="4" t="str">
        <f>IF(Respostas_Brutas!B251="","",MIN(1,(IFERROR(VALUE(LEFT(Respostas_Brutas!I251,IFERROR(FIND(" ",Respostas_Brutas!I251)-1,LEN(Respostas_Brutas!I251)))),0)+IFERROR(VALUE(LEFT(Respostas_Brutas!O251,IFERROR(FIND(" ",Respostas_Brutas!O251)-1,LEN(Respostas_Brutas!O251)))),0))/20))</f>
        <v/>
      </c>
      <c r="D251" s="4" t="str">
        <f>IF(Respostas_Brutas!B251="","",IF(Respostas_Brutas!D251="","",MIN(1,MAX(0,(YEAR(TODAY())-N(Respostas_Brutas!D251))/15))))</f>
        <v/>
      </c>
      <c r="E251" s="4" t="str">
        <f>IF(Respostas_Brutas!B251="","",IF(ISNUMBER(SEARCH("Sim",Respostas_Brutas!S251)),1,0))</f>
        <v/>
      </c>
      <c r="F251" s="4" t="str">
        <f>IF(Respostas_Brutas!B251="","",IFERROR(N(Respostas_Brutas!Y251)/N(Respostas_Brutas!Z251),""))</f>
        <v/>
      </c>
      <c r="G251" s="4" t="str">
        <f>IF(Respostas_Brutas!B251="","",IF(Respostas_Brutas!K251&lt;&gt;"",1,0))</f>
        <v/>
      </c>
      <c r="H251" s="4" t="str">
        <f>IF(Respostas_Brutas!B251="","",IF(ISNUMBER(SEARCH("Não",Respostas_Brutas!AH251)),1,0))</f>
        <v/>
      </c>
      <c r="I251" s="4" t="str">
        <f>IF(Respostas_Brutas!B251="","",IF(ISNUMBER(SEARCH("Sim",Respostas_Brutas!AL251)),1,0))</f>
        <v/>
      </c>
      <c r="J251" s="4" t="str">
        <f>IF(Respostas_Brutas!B251="","",IF(Respostas_Brutas!AN251="","",MIN(1,MAX(0,(N(Respostas_Brutas!AN251)-1)/4))))</f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tr">
        <f>IF(Respostas_Brutas!B252="","",Respostas_Brutas!B252)</f>
        <v/>
      </c>
      <c r="B252" s="4" t="str">
        <f>IF(Respostas_Brutas!B252="","",IFERROR(IF(IFERROR(VALUE(TRIM(SUBSTITUTE(SUBSTITUTE(SUBSTITUTE(TRIM(Respostas_Brutas!AS252),"R$",""),".",""),",","."))),0)=0,"",(IFERROR(VALUE(TRIM(SUBSTITUTE(SUBSTITUTE(SUBSTITUTE(TRIM(Respostas_Brutas!AS252),"R$",""),".",""),",","."))),0)-IFERROR(VALUE(TRIM(SUBSTITUTE(SUBSTITUTE(SUBSTITUTE(TRIM(Respostas_Brutas!T252),"R$",""),".",""),",","."))),0))/IFERROR(VALUE(TRIM(SUBSTITUTE(SUBSTITUTE(SUBSTITUTE(TRIM(Respostas_Brutas!AS252),"R$",""),".",""),",","."))),0)),""))</f>
        <v/>
      </c>
      <c r="C252" s="4" t="str">
        <f>IF(Respostas_Brutas!B252="","",MIN(1,(IFERROR(VALUE(LEFT(Respostas_Brutas!I252,IFERROR(FIND(" ",Respostas_Brutas!I252)-1,LEN(Respostas_Brutas!I252)))),0)+IFERROR(VALUE(LEFT(Respostas_Brutas!O252,IFERROR(FIND(" ",Respostas_Brutas!O252)-1,LEN(Respostas_Brutas!O252)))),0))/20))</f>
        <v/>
      </c>
      <c r="D252" s="4" t="str">
        <f>IF(Respostas_Brutas!B252="","",IF(Respostas_Brutas!D252="","",MIN(1,MAX(0,(YEAR(TODAY())-N(Respostas_Brutas!D252))/15))))</f>
        <v/>
      </c>
      <c r="E252" s="4" t="str">
        <f>IF(Respostas_Brutas!B252="","",IF(ISNUMBER(SEARCH("Sim",Respostas_Brutas!S252)),1,0))</f>
        <v/>
      </c>
      <c r="F252" s="4" t="str">
        <f>IF(Respostas_Brutas!B252="","",IFERROR(N(Respostas_Brutas!Y252)/N(Respostas_Brutas!Z252),""))</f>
        <v/>
      </c>
      <c r="G252" s="4" t="str">
        <f>IF(Respostas_Brutas!B252="","",IF(Respostas_Brutas!K252&lt;&gt;"",1,0))</f>
        <v/>
      </c>
      <c r="H252" s="4" t="str">
        <f>IF(Respostas_Brutas!B252="","",IF(ISNUMBER(SEARCH("Não",Respostas_Brutas!AH252)),1,0))</f>
        <v/>
      </c>
      <c r="I252" s="4" t="str">
        <f>IF(Respostas_Brutas!B252="","",IF(ISNUMBER(SEARCH("Sim",Respostas_Brutas!AL252)),1,0))</f>
        <v/>
      </c>
      <c r="J252" s="4" t="str">
        <f>IF(Respostas_Brutas!B252="","",IF(Respostas_Brutas!AN252="","",MIN(1,MAX(0,(N(Respostas_Brutas!AN252)-1)/4))))</f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tr">
        <f>IF(Respostas_Brutas!B253="","",Respostas_Brutas!B253)</f>
        <v/>
      </c>
      <c r="B253" s="4" t="str">
        <f>IF(Respostas_Brutas!B253="","",IFERROR(IF(IFERROR(VALUE(TRIM(SUBSTITUTE(SUBSTITUTE(SUBSTITUTE(TRIM(Respostas_Brutas!AS253),"R$",""),".",""),",","."))),0)=0,"",(IFERROR(VALUE(TRIM(SUBSTITUTE(SUBSTITUTE(SUBSTITUTE(TRIM(Respostas_Brutas!AS253),"R$",""),".",""),",","."))),0)-IFERROR(VALUE(TRIM(SUBSTITUTE(SUBSTITUTE(SUBSTITUTE(TRIM(Respostas_Brutas!T253),"R$",""),".",""),",","."))),0))/IFERROR(VALUE(TRIM(SUBSTITUTE(SUBSTITUTE(SUBSTITUTE(TRIM(Respostas_Brutas!AS253),"R$",""),".",""),",","."))),0)),""))</f>
        <v/>
      </c>
      <c r="C253" s="4" t="str">
        <f>IF(Respostas_Brutas!B253="","",MIN(1,(IFERROR(VALUE(LEFT(Respostas_Brutas!I253,IFERROR(FIND(" ",Respostas_Brutas!I253)-1,LEN(Respostas_Brutas!I253)))),0)+IFERROR(VALUE(LEFT(Respostas_Brutas!O253,IFERROR(FIND(" ",Respostas_Brutas!O253)-1,LEN(Respostas_Brutas!O253)))),0))/20))</f>
        <v/>
      </c>
      <c r="D253" s="4" t="str">
        <f>IF(Respostas_Brutas!B253="","",IF(Respostas_Brutas!D253="","",MIN(1,MAX(0,(YEAR(TODAY())-N(Respostas_Brutas!D253))/15))))</f>
        <v/>
      </c>
      <c r="E253" s="4" t="str">
        <f>IF(Respostas_Brutas!B253="","",IF(ISNUMBER(SEARCH("Sim",Respostas_Brutas!S253)),1,0))</f>
        <v/>
      </c>
      <c r="F253" s="4" t="str">
        <f>IF(Respostas_Brutas!B253="","",IFERROR(N(Respostas_Brutas!Y253)/N(Respostas_Brutas!Z253),""))</f>
        <v/>
      </c>
      <c r="G253" s="4" t="str">
        <f>IF(Respostas_Brutas!B253="","",IF(Respostas_Brutas!K253&lt;&gt;"",1,0))</f>
        <v/>
      </c>
      <c r="H253" s="4" t="str">
        <f>IF(Respostas_Brutas!B253="","",IF(ISNUMBER(SEARCH("Não",Respostas_Brutas!AH253)),1,0))</f>
        <v/>
      </c>
      <c r="I253" s="4" t="str">
        <f>IF(Respostas_Brutas!B253="","",IF(ISNUMBER(SEARCH("Sim",Respostas_Brutas!AL253)),1,0))</f>
        <v/>
      </c>
      <c r="J253" s="4" t="str">
        <f>IF(Respostas_Brutas!B253="","",IF(Respostas_Brutas!AN253="","",MIN(1,MAX(0,(N(Respostas_Brutas!AN253)-1)/4))))</f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tr">
        <f>IF(Respostas_Brutas!B254="","",Respostas_Brutas!B254)</f>
        <v/>
      </c>
      <c r="B254" s="4" t="str">
        <f>IF(Respostas_Brutas!B254="","",IFERROR(IF(IFERROR(VALUE(TRIM(SUBSTITUTE(SUBSTITUTE(SUBSTITUTE(TRIM(Respostas_Brutas!AS254),"R$",""),".",""),",","."))),0)=0,"",(IFERROR(VALUE(TRIM(SUBSTITUTE(SUBSTITUTE(SUBSTITUTE(TRIM(Respostas_Brutas!AS254),"R$",""),".",""),",","."))),0)-IFERROR(VALUE(TRIM(SUBSTITUTE(SUBSTITUTE(SUBSTITUTE(TRIM(Respostas_Brutas!T254),"R$",""),".",""),",","."))),0))/IFERROR(VALUE(TRIM(SUBSTITUTE(SUBSTITUTE(SUBSTITUTE(TRIM(Respostas_Brutas!AS254),"R$",""),".",""),",","."))),0)),""))</f>
        <v/>
      </c>
      <c r="C254" s="4" t="str">
        <f>IF(Respostas_Brutas!B254="","",MIN(1,(IFERROR(VALUE(LEFT(Respostas_Brutas!I254,IFERROR(FIND(" ",Respostas_Brutas!I254)-1,LEN(Respostas_Brutas!I254)))),0)+IFERROR(VALUE(LEFT(Respostas_Brutas!O254,IFERROR(FIND(" ",Respostas_Brutas!O254)-1,LEN(Respostas_Brutas!O254)))),0))/20))</f>
        <v/>
      </c>
      <c r="D254" s="4" t="str">
        <f>IF(Respostas_Brutas!B254="","",IF(Respostas_Brutas!D254="","",MIN(1,MAX(0,(YEAR(TODAY())-N(Respostas_Brutas!D254))/15))))</f>
        <v/>
      </c>
      <c r="E254" s="4" t="str">
        <f>IF(Respostas_Brutas!B254="","",IF(ISNUMBER(SEARCH("Sim",Respostas_Brutas!S254)),1,0))</f>
        <v/>
      </c>
      <c r="F254" s="4" t="str">
        <f>IF(Respostas_Brutas!B254="","",IFERROR(N(Respostas_Brutas!Y254)/N(Respostas_Brutas!Z254),""))</f>
        <v/>
      </c>
      <c r="G254" s="4" t="str">
        <f>IF(Respostas_Brutas!B254="","",IF(Respostas_Brutas!K254&lt;&gt;"",1,0))</f>
        <v/>
      </c>
      <c r="H254" s="4" t="str">
        <f>IF(Respostas_Brutas!B254="","",IF(ISNUMBER(SEARCH("Não",Respostas_Brutas!AH254)),1,0))</f>
        <v/>
      </c>
      <c r="I254" s="4" t="str">
        <f>IF(Respostas_Brutas!B254="","",IF(ISNUMBER(SEARCH("Sim",Respostas_Brutas!AL254)),1,0))</f>
        <v/>
      </c>
      <c r="J254" s="4" t="str">
        <f>IF(Respostas_Brutas!B254="","",IF(Respostas_Brutas!AN254="","",MIN(1,MAX(0,(N(Respostas_Brutas!AN254)-1)/4))))</f>
        <v/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tr">
        <f>IF(Respostas_Brutas!B255="","",Respostas_Brutas!B255)</f>
        <v/>
      </c>
      <c r="B255" s="4" t="str">
        <f>IF(Respostas_Brutas!B255="","",IFERROR(IF(IFERROR(VALUE(TRIM(SUBSTITUTE(SUBSTITUTE(SUBSTITUTE(TRIM(Respostas_Brutas!AS255),"R$",""),".",""),",","."))),0)=0,"",(IFERROR(VALUE(TRIM(SUBSTITUTE(SUBSTITUTE(SUBSTITUTE(TRIM(Respostas_Brutas!AS255),"R$",""),".",""),",","."))),0)-IFERROR(VALUE(TRIM(SUBSTITUTE(SUBSTITUTE(SUBSTITUTE(TRIM(Respostas_Brutas!T255),"R$",""),".",""),",","."))),0))/IFERROR(VALUE(TRIM(SUBSTITUTE(SUBSTITUTE(SUBSTITUTE(TRIM(Respostas_Brutas!AS255),"R$",""),".",""),",","."))),0)),""))</f>
        <v/>
      </c>
      <c r="C255" s="4" t="str">
        <f>IF(Respostas_Brutas!B255="","",MIN(1,(IFERROR(VALUE(LEFT(Respostas_Brutas!I255,IFERROR(FIND(" ",Respostas_Brutas!I255)-1,LEN(Respostas_Brutas!I255)))),0)+IFERROR(VALUE(LEFT(Respostas_Brutas!O255,IFERROR(FIND(" ",Respostas_Brutas!O255)-1,LEN(Respostas_Brutas!O255)))),0))/20))</f>
        <v/>
      </c>
      <c r="D255" s="4" t="str">
        <f>IF(Respostas_Brutas!B255="","",IF(Respostas_Brutas!D255="","",MIN(1,MAX(0,(YEAR(TODAY())-N(Respostas_Brutas!D255))/15))))</f>
        <v/>
      </c>
      <c r="E255" s="4" t="str">
        <f>IF(Respostas_Brutas!B255="","",IF(ISNUMBER(SEARCH("Sim",Respostas_Brutas!S255)),1,0))</f>
        <v/>
      </c>
      <c r="F255" s="4" t="str">
        <f>IF(Respostas_Brutas!B255="","",IFERROR(N(Respostas_Brutas!Y255)/N(Respostas_Brutas!Z255),""))</f>
        <v/>
      </c>
      <c r="G255" s="4" t="str">
        <f>IF(Respostas_Brutas!B255="","",IF(Respostas_Brutas!K255&lt;&gt;"",1,0))</f>
        <v/>
      </c>
      <c r="H255" s="4" t="str">
        <f>IF(Respostas_Brutas!B255="","",IF(ISNUMBER(SEARCH("Não",Respostas_Brutas!AH255)),1,0))</f>
        <v/>
      </c>
      <c r="I255" s="4" t="str">
        <f>IF(Respostas_Brutas!B255="","",IF(ISNUMBER(SEARCH("Sim",Respostas_Brutas!AL255)),1,0))</f>
        <v/>
      </c>
      <c r="J255" s="4" t="str">
        <f>IF(Respostas_Brutas!B255="","",IF(Respostas_Brutas!AN255="","",MIN(1,MAX(0,(N(Respostas_Brutas!AN255)-1)/4))))</f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tr">
        <f>IF(Respostas_Brutas!B256="","",Respostas_Brutas!B256)</f>
        <v/>
      </c>
      <c r="B256" s="4" t="str">
        <f>IF(Respostas_Brutas!B256="","",IFERROR(IF(IFERROR(VALUE(TRIM(SUBSTITUTE(SUBSTITUTE(SUBSTITUTE(TRIM(Respostas_Brutas!AS256),"R$",""),".",""),",","."))),0)=0,"",(IFERROR(VALUE(TRIM(SUBSTITUTE(SUBSTITUTE(SUBSTITUTE(TRIM(Respostas_Brutas!AS256),"R$",""),".",""),",","."))),0)-IFERROR(VALUE(TRIM(SUBSTITUTE(SUBSTITUTE(SUBSTITUTE(TRIM(Respostas_Brutas!T256),"R$",""),".",""),",","."))),0))/IFERROR(VALUE(TRIM(SUBSTITUTE(SUBSTITUTE(SUBSTITUTE(TRIM(Respostas_Brutas!AS256),"R$",""),".",""),",","."))),0)),""))</f>
        <v/>
      </c>
      <c r="C256" s="4" t="str">
        <f>IF(Respostas_Brutas!B256="","",MIN(1,(IFERROR(VALUE(LEFT(Respostas_Brutas!I256,IFERROR(FIND(" ",Respostas_Brutas!I256)-1,LEN(Respostas_Brutas!I256)))),0)+IFERROR(VALUE(LEFT(Respostas_Brutas!O256,IFERROR(FIND(" ",Respostas_Brutas!O256)-1,LEN(Respostas_Brutas!O256)))),0))/20))</f>
        <v/>
      </c>
      <c r="D256" s="4" t="str">
        <f>IF(Respostas_Brutas!B256="","",IF(Respostas_Brutas!D256="","",MIN(1,MAX(0,(YEAR(TODAY())-N(Respostas_Brutas!D256))/15))))</f>
        <v/>
      </c>
      <c r="E256" s="4" t="str">
        <f>IF(Respostas_Brutas!B256="","",IF(ISNUMBER(SEARCH("Sim",Respostas_Brutas!S256)),1,0))</f>
        <v/>
      </c>
      <c r="F256" s="4" t="str">
        <f>IF(Respostas_Brutas!B256="","",IFERROR(N(Respostas_Brutas!Y256)/N(Respostas_Brutas!Z256),""))</f>
        <v/>
      </c>
      <c r="G256" s="4" t="str">
        <f>IF(Respostas_Brutas!B256="","",IF(Respostas_Brutas!K256&lt;&gt;"",1,0))</f>
        <v/>
      </c>
      <c r="H256" s="4" t="str">
        <f>IF(Respostas_Brutas!B256="","",IF(ISNUMBER(SEARCH("Não",Respostas_Brutas!AH256)),1,0))</f>
        <v/>
      </c>
      <c r="I256" s="4" t="str">
        <f>IF(Respostas_Brutas!B256="","",IF(ISNUMBER(SEARCH("Sim",Respostas_Brutas!AL256)),1,0))</f>
        <v/>
      </c>
      <c r="J256" s="4" t="str">
        <f>IF(Respostas_Brutas!B256="","",IF(Respostas_Brutas!AN256="","",MIN(1,MAX(0,(N(Respostas_Brutas!AN256)-1)/4))))</f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tr">
        <f>IF(Respostas_Brutas!B257="","",Respostas_Brutas!B257)</f>
        <v/>
      </c>
      <c r="B257" s="4" t="str">
        <f>IF(Respostas_Brutas!B257="","",IFERROR(IF(IFERROR(VALUE(TRIM(SUBSTITUTE(SUBSTITUTE(SUBSTITUTE(TRIM(Respostas_Brutas!AS257),"R$",""),".",""),",","."))),0)=0,"",(IFERROR(VALUE(TRIM(SUBSTITUTE(SUBSTITUTE(SUBSTITUTE(TRIM(Respostas_Brutas!AS257),"R$",""),".",""),",","."))),0)-IFERROR(VALUE(TRIM(SUBSTITUTE(SUBSTITUTE(SUBSTITUTE(TRIM(Respostas_Brutas!T257),"R$",""),".",""),",","."))),0))/IFERROR(VALUE(TRIM(SUBSTITUTE(SUBSTITUTE(SUBSTITUTE(TRIM(Respostas_Brutas!AS257),"R$",""),".",""),",","."))),0)),""))</f>
        <v/>
      </c>
      <c r="C257" s="4" t="str">
        <f>IF(Respostas_Brutas!B257="","",MIN(1,(IFERROR(VALUE(LEFT(Respostas_Brutas!I257,IFERROR(FIND(" ",Respostas_Brutas!I257)-1,LEN(Respostas_Brutas!I257)))),0)+IFERROR(VALUE(LEFT(Respostas_Brutas!O257,IFERROR(FIND(" ",Respostas_Brutas!O257)-1,LEN(Respostas_Brutas!O257)))),0))/20))</f>
        <v/>
      </c>
      <c r="D257" s="4" t="str">
        <f>IF(Respostas_Brutas!B257="","",IF(Respostas_Brutas!D257="","",MIN(1,MAX(0,(YEAR(TODAY())-N(Respostas_Brutas!D257))/15))))</f>
        <v/>
      </c>
      <c r="E257" s="4" t="str">
        <f>IF(Respostas_Brutas!B257="","",IF(ISNUMBER(SEARCH("Sim",Respostas_Brutas!S257)),1,0))</f>
        <v/>
      </c>
      <c r="F257" s="4" t="str">
        <f>IF(Respostas_Brutas!B257="","",IFERROR(N(Respostas_Brutas!Y257)/N(Respostas_Brutas!Z257),""))</f>
        <v/>
      </c>
      <c r="G257" s="4" t="str">
        <f>IF(Respostas_Brutas!B257="","",IF(Respostas_Brutas!K257&lt;&gt;"",1,0))</f>
        <v/>
      </c>
      <c r="H257" s="4" t="str">
        <f>IF(Respostas_Brutas!B257="","",IF(ISNUMBER(SEARCH("Não",Respostas_Brutas!AH257)),1,0))</f>
        <v/>
      </c>
      <c r="I257" s="4" t="str">
        <f>IF(Respostas_Brutas!B257="","",IF(ISNUMBER(SEARCH("Sim",Respostas_Brutas!AL257)),1,0))</f>
        <v/>
      </c>
      <c r="J257" s="4" t="str">
        <f>IF(Respostas_Brutas!B257="","",IF(Respostas_Brutas!AN257="","",MIN(1,MAX(0,(N(Respostas_Brutas!AN257)-1)/4))))</f>
        <v/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tr">
        <f>IF(Respostas_Brutas!B258="","",Respostas_Brutas!B258)</f>
        <v/>
      </c>
      <c r="B258" s="4" t="str">
        <f>IF(Respostas_Brutas!B258="","",IFERROR(IF(IFERROR(VALUE(TRIM(SUBSTITUTE(SUBSTITUTE(SUBSTITUTE(TRIM(Respostas_Brutas!AS258),"R$",""),".",""),",","."))),0)=0,"",(IFERROR(VALUE(TRIM(SUBSTITUTE(SUBSTITUTE(SUBSTITUTE(TRIM(Respostas_Brutas!AS258),"R$",""),".",""),",","."))),0)-IFERROR(VALUE(TRIM(SUBSTITUTE(SUBSTITUTE(SUBSTITUTE(TRIM(Respostas_Brutas!T258),"R$",""),".",""),",","."))),0))/IFERROR(VALUE(TRIM(SUBSTITUTE(SUBSTITUTE(SUBSTITUTE(TRIM(Respostas_Brutas!AS258),"R$",""),".",""),",","."))),0)),""))</f>
        <v/>
      </c>
      <c r="C258" s="4" t="str">
        <f>IF(Respostas_Brutas!B258="","",MIN(1,(IFERROR(VALUE(LEFT(Respostas_Brutas!I258,IFERROR(FIND(" ",Respostas_Brutas!I258)-1,LEN(Respostas_Brutas!I258)))),0)+IFERROR(VALUE(LEFT(Respostas_Brutas!O258,IFERROR(FIND(" ",Respostas_Brutas!O258)-1,LEN(Respostas_Brutas!O258)))),0))/20))</f>
        <v/>
      </c>
      <c r="D258" s="4" t="str">
        <f>IF(Respostas_Brutas!B258="","",IF(Respostas_Brutas!D258="","",MIN(1,MAX(0,(YEAR(TODAY())-N(Respostas_Brutas!D258))/15))))</f>
        <v/>
      </c>
      <c r="E258" s="4" t="str">
        <f>IF(Respostas_Brutas!B258="","",IF(ISNUMBER(SEARCH("Sim",Respostas_Brutas!S258)),1,0))</f>
        <v/>
      </c>
      <c r="F258" s="4" t="str">
        <f>IF(Respostas_Brutas!B258="","",IFERROR(N(Respostas_Brutas!Y258)/N(Respostas_Brutas!Z258),""))</f>
        <v/>
      </c>
      <c r="G258" s="4" t="str">
        <f>IF(Respostas_Brutas!B258="","",IF(Respostas_Brutas!K258&lt;&gt;"",1,0))</f>
        <v/>
      </c>
      <c r="H258" s="4" t="str">
        <f>IF(Respostas_Brutas!B258="","",IF(ISNUMBER(SEARCH("Não",Respostas_Brutas!AH258)),1,0))</f>
        <v/>
      </c>
      <c r="I258" s="4" t="str">
        <f>IF(Respostas_Brutas!B258="","",IF(ISNUMBER(SEARCH("Sim",Respostas_Brutas!AL258)),1,0))</f>
        <v/>
      </c>
      <c r="J258" s="4" t="str">
        <f>IF(Respostas_Brutas!B258="","",IF(Respostas_Brutas!AN258="","",MIN(1,MAX(0,(N(Respostas_Brutas!AN258)-1)/4))))</f>
        <v/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tr">
        <f>IF(Respostas_Brutas!B259="","",Respostas_Brutas!B259)</f>
        <v/>
      </c>
      <c r="B259" s="4" t="str">
        <f>IF(Respostas_Brutas!B259="","",IFERROR(IF(IFERROR(VALUE(TRIM(SUBSTITUTE(SUBSTITUTE(SUBSTITUTE(TRIM(Respostas_Brutas!AS259),"R$",""),".",""),",","."))),0)=0,"",(IFERROR(VALUE(TRIM(SUBSTITUTE(SUBSTITUTE(SUBSTITUTE(TRIM(Respostas_Brutas!AS259),"R$",""),".",""),",","."))),0)-IFERROR(VALUE(TRIM(SUBSTITUTE(SUBSTITUTE(SUBSTITUTE(TRIM(Respostas_Brutas!T259),"R$",""),".",""),",","."))),0))/IFERROR(VALUE(TRIM(SUBSTITUTE(SUBSTITUTE(SUBSTITUTE(TRIM(Respostas_Brutas!AS259),"R$",""),".",""),",","."))),0)),""))</f>
        <v/>
      </c>
      <c r="C259" s="4" t="str">
        <f>IF(Respostas_Brutas!B259="","",MIN(1,(IFERROR(VALUE(LEFT(Respostas_Brutas!I259,IFERROR(FIND(" ",Respostas_Brutas!I259)-1,LEN(Respostas_Brutas!I259)))),0)+IFERROR(VALUE(LEFT(Respostas_Brutas!O259,IFERROR(FIND(" ",Respostas_Brutas!O259)-1,LEN(Respostas_Brutas!O259)))),0))/20))</f>
        <v/>
      </c>
      <c r="D259" s="4" t="str">
        <f>IF(Respostas_Brutas!B259="","",IF(Respostas_Brutas!D259="","",MIN(1,MAX(0,(YEAR(TODAY())-N(Respostas_Brutas!D259))/15))))</f>
        <v/>
      </c>
      <c r="E259" s="4" t="str">
        <f>IF(Respostas_Brutas!B259="","",IF(ISNUMBER(SEARCH("Sim",Respostas_Brutas!S259)),1,0))</f>
        <v/>
      </c>
      <c r="F259" s="4" t="str">
        <f>IF(Respostas_Brutas!B259="","",IFERROR(N(Respostas_Brutas!Y259)/N(Respostas_Brutas!Z259),""))</f>
        <v/>
      </c>
      <c r="G259" s="4" t="str">
        <f>IF(Respostas_Brutas!B259="","",IF(Respostas_Brutas!K259&lt;&gt;"",1,0))</f>
        <v/>
      </c>
      <c r="H259" s="4" t="str">
        <f>IF(Respostas_Brutas!B259="","",IF(ISNUMBER(SEARCH("Não",Respostas_Brutas!AH259)),1,0))</f>
        <v/>
      </c>
      <c r="I259" s="4" t="str">
        <f>IF(Respostas_Brutas!B259="","",IF(ISNUMBER(SEARCH("Sim",Respostas_Brutas!AL259)),1,0))</f>
        <v/>
      </c>
      <c r="J259" s="4" t="str">
        <f>IF(Respostas_Brutas!B259="","",IF(Respostas_Brutas!AN259="","",MIN(1,MAX(0,(N(Respostas_Brutas!AN259)-1)/4))))</f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tr">
        <f>IF(Respostas_Brutas!B260="","",Respostas_Brutas!B260)</f>
        <v/>
      </c>
      <c r="B260" s="4" t="str">
        <f>IF(Respostas_Brutas!B260="","",IFERROR(IF(IFERROR(VALUE(TRIM(SUBSTITUTE(SUBSTITUTE(SUBSTITUTE(TRIM(Respostas_Brutas!AS260),"R$",""),".",""),",","."))),0)=0,"",(IFERROR(VALUE(TRIM(SUBSTITUTE(SUBSTITUTE(SUBSTITUTE(TRIM(Respostas_Brutas!AS260),"R$",""),".",""),",","."))),0)-IFERROR(VALUE(TRIM(SUBSTITUTE(SUBSTITUTE(SUBSTITUTE(TRIM(Respostas_Brutas!T260),"R$",""),".",""),",","."))),0))/IFERROR(VALUE(TRIM(SUBSTITUTE(SUBSTITUTE(SUBSTITUTE(TRIM(Respostas_Brutas!AS260),"R$",""),".",""),",","."))),0)),""))</f>
        <v/>
      </c>
      <c r="C260" s="4" t="str">
        <f>IF(Respostas_Brutas!B260="","",MIN(1,(IFERROR(VALUE(LEFT(Respostas_Brutas!I260,IFERROR(FIND(" ",Respostas_Brutas!I260)-1,LEN(Respostas_Brutas!I260)))),0)+IFERROR(VALUE(LEFT(Respostas_Brutas!O260,IFERROR(FIND(" ",Respostas_Brutas!O260)-1,LEN(Respostas_Brutas!O260)))),0))/20))</f>
        <v/>
      </c>
      <c r="D260" s="4" t="str">
        <f>IF(Respostas_Brutas!B260="","",IF(Respostas_Brutas!D260="","",MIN(1,MAX(0,(YEAR(TODAY())-N(Respostas_Brutas!D260))/15))))</f>
        <v/>
      </c>
      <c r="E260" s="4" t="str">
        <f>IF(Respostas_Brutas!B260="","",IF(ISNUMBER(SEARCH("Sim",Respostas_Brutas!S260)),1,0))</f>
        <v/>
      </c>
      <c r="F260" s="4" t="str">
        <f>IF(Respostas_Brutas!B260="","",IFERROR(N(Respostas_Brutas!Y260)/N(Respostas_Brutas!Z260),""))</f>
        <v/>
      </c>
      <c r="G260" s="4" t="str">
        <f>IF(Respostas_Brutas!B260="","",IF(Respostas_Brutas!K260&lt;&gt;"",1,0))</f>
        <v/>
      </c>
      <c r="H260" s="4" t="str">
        <f>IF(Respostas_Brutas!B260="","",IF(ISNUMBER(SEARCH("Não",Respostas_Brutas!AH260)),1,0))</f>
        <v/>
      </c>
      <c r="I260" s="4" t="str">
        <f>IF(Respostas_Brutas!B260="","",IF(ISNUMBER(SEARCH("Sim",Respostas_Brutas!AL260)),1,0))</f>
        <v/>
      </c>
      <c r="J260" s="4" t="str">
        <f>IF(Respostas_Brutas!B260="","",IF(Respostas_Brutas!AN260="","",MIN(1,MAX(0,(N(Respostas_Brutas!AN260)-1)/4))))</f>
        <v/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tr">
        <f>IF(Respostas_Brutas!B261="","",Respostas_Brutas!B261)</f>
        <v/>
      </c>
      <c r="B261" s="4" t="str">
        <f>IF(Respostas_Brutas!B261="","",IFERROR(IF(IFERROR(VALUE(TRIM(SUBSTITUTE(SUBSTITUTE(SUBSTITUTE(TRIM(Respostas_Brutas!AS261),"R$",""),".",""),",","."))),0)=0,"",(IFERROR(VALUE(TRIM(SUBSTITUTE(SUBSTITUTE(SUBSTITUTE(TRIM(Respostas_Brutas!AS261),"R$",""),".",""),",","."))),0)-IFERROR(VALUE(TRIM(SUBSTITUTE(SUBSTITUTE(SUBSTITUTE(TRIM(Respostas_Brutas!T261),"R$",""),".",""),",","."))),0))/IFERROR(VALUE(TRIM(SUBSTITUTE(SUBSTITUTE(SUBSTITUTE(TRIM(Respostas_Brutas!AS261),"R$",""),".",""),",","."))),0)),""))</f>
        <v/>
      </c>
      <c r="C261" s="4" t="str">
        <f>IF(Respostas_Brutas!B261="","",MIN(1,(IFERROR(VALUE(LEFT(Respostas_Brutas!I261,IFERROR(FIND(" ",Respostas_Brutas!I261)-1,LEN(Respostas_Brutas!I261)))),0)+IFERROR(VALUE(LEFT(Respostas_Brutas!O261,IFERROR(FIND(" ",Respostas_Brutas!O261)-1,LEN(Respostas_Brutas!O261)))),0))/20))</f>
        <v/>
      </c>
      <c r="D261" s="4" t="str">
        <f>IF(Respostas_Brutas!B261="","",IF(Respostas_Brutas!D261="","",MIN(1,MAX(0,(YEAR(TODAY())-N(Respostas_Brutas!D261))/15))))</f>
        <v/>
      </c>
      <c r="E261" s="4" t="str">
        <f>IF(Respostas_Brutas!B261="","",IF(ISNUMBER(SEARCH("Sim",Respostas_Brutas!S261)),1,0))</f>
        <v/>
      </c>
      <c r="F261" s="4" t="str">
        <f>IF(Respostas_Brutas!B261="","",IFERROR(N(Respostas_Brutas!Y261)/N(Respostas_Brutas!Z261),""))</f>
        <v/>
      </c>
      <c r="G261" s="4" t="str">
        <f>IF(Respostas_Brutas!B261="","",IF(Respostas_Brutas!K261&lt;&gt;"",1,0))</f>
        <v/>
      </c>
      <c r="H261" s="4" t="str">
        <f>IF(Respostas_Brutas!B261="","",IF(ISNUMBER(SEARCH("Não",Respostas_Brutas!AH261)),1,0))</f>
        <v/>
      </c>
      <c r="I261" s="4" t="str">
        <f>IF(Respostas_Brutas!B261="","",IF(ISNUMBER(SEARCH("Sim",Respostas_Brutas!AL261)),1,0))</f>
        <v/>
      </c>
      <c r="J261" s="4" t="str">
        <f>IF(Respostas_Brutas!B261="","",IF(Respostas_Brutas!AN261="","",MIN(1,MAX(0,(N(Respostas_Brutas!AN261)-1)/4))))</f>
        <v/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tr">
        <f>IF(Respostas_Brutas!B262="","",Respostas_Brutas!B262)</f>
        <v/>
      </c>
      <c r="B262" s="4" t="str">
        <f>IF(Respostas_Brutas!B262="","",IFERROR(IF(IFERROR(VALUE(TRIM(SUBSTITUTE(SUBSTITUTE(SUBSTITUTE(TRIM(Respostas_Brutas!AS262),"R$",""),".",""),",","."))),0)=0,"",(IFERROR(VALUE(TRIM(SUBSTITUTE(SUBSTITUTE(SUBSTITUTE(TRIM(Respostas_Brutas!AS262),"R$",""),".",""),",","."))),0)-IFERROR(VALUE(TRIM(SUBSTITUTE(SUBSTITUTE(SUBSTITUTE(TRIM(Respostas_Brutas!T262),"R$",""),".",""),",","."))),0))/IFERROR(VALUE(TRIM(SUBSTITUTE(SUBSTITUTE(SUBSTITUTE(TRIM(Respostas_Brutas!AS262),"R$",""),".",""),",","."))),0)),""))</f>
        <v/>
      </c>
      <c r="C262" s="4" t="str">
        <f>IF(Respostas_Brutas!B262="","",MIN(1,(IFERROR(VALUE(LEFT(Respostas_Brutas!I262,IFERROR(FIND(" ",Respostas_Brutas!I262)-1,LEN(Respostas_Brutas!I262)))),0)+IFERROR(VALUE(LEFT(Respostas_Brutas!O262,IFERROR(FIND(" ",Respostas_Brutas!O262)-1,LEN(Respostas_Brutas!O262)))),0))/20))</f>
        <v/>
      </c>
      <c r="D262" s="4" t="str">
        <f>IF(Respostas_Brutas!B262="","",IF(Respostas_Brutas!D262="","",MIN(1,MAX(0,(YEAR(TODAY())-N(Respostas_Brutas!D262))/15))))</f>
        <v/>
      </c>
      <c r="E262" s="4" t="str">
        <f>IF(Respostas_Brutas!B262="","",IF(ISNUMBER(SEARCH("Sim",Respostas_Brutas!S262)),1,0))</f>
        <v/>
      </c>
      <c r="F262" s="4" t="str">
        <f>IF(Respostas_Brutas!B262="","",IFERROR(N(Respostas_Brutas!Y262)/N(Respostas_Brutas!Z262),""))</f>
        <v/>
      </c>
      <c r="G262" s="4" t="str">
        <f>IF(Respostas_Brutas!B262="","",IF(Respostas_Brutas!K262&lt;&gt;"",1,0))</f>
        <v/>
      </c>
      <c r="H262" s="4" t="str">
        <f>IF(Respostas_Brutas!B262="","",IF(ISNUMBER(SEARCH("Não",Respostas_Brutas!AH262)),1,0))</f>
        <v/>
      </c>
      <c r="I262" s="4" t="str">
        <f>IF(Respostas_Brutas!B262="","",IF(ISNUMBER(SEARCH("Sim",Respostas_Brutas!AL262)),1,0))</f>
        <v/>
      </c>
      <c r="J262" s="4" t="str">
        <f>IF(Respostas_Brutas!B262="","",IF(Respostas_Brutas!AN262="","",MIN(1,MAX(0,(N(Respostas_Brutas!AN262)-1)/4))))</f>
        <v/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tr">
        <f>IF(Respostas_Brutas!B263="","",Respostas_Brutas!B263)</f>
        <v/>
      </c>
      <c r="B263" s="4" t="str">
        <f>IF(Respostas_Brutas!B263="","",IFERROR(IF(IFERROR(VALUE(TRIM(SUBSTITUTE(SUBSTITUTE(SUBSTITUTE(TRIM(Respostas_Brutas!AS263),"R$",""),".",""),",","."))),0)=0,"",(IFERROR(VALUE(TRIM(SUBSTITUTE(SUBSTITUTE(SUBSTITUTE(TRIM(Respostas_Brutas!AS263),"R$",""),".",""),",","."))),0)-IFERROR(VALUE(TRIM(SUBSTITUTE(SUBSTITUTE(SUBSTITUTE(TRIM(Respostas_Brutas!T263),"R$",""),".",""),",","."))),0))/IFERROR(VALUE(TRIM(SUBSTITUTE(SUBSTITUTE(SUBSTITUTE(TRIM(Respostas_Brutas!AS263),"R$",""),".",""),",","."))),0)),""))</f>
        <v/>
      </c>
      <c r="C263" s="4" t="str">
        <f>IF(Respostas_Brutas!B263="","",MIN(1,(IFERROR(VALUE(LEFT(Respostas_Brutas!I263,IFERROR(FIND(" ",Respostas_Brutas!I263)-1,LEN(Respostas_Brutas!I263)))),0)+IFERROR(VALUE(LEFT(Respostas_Brutas!O263,IFERROR(FIND(" ",Respostas_Brutas!O263)-1,LEN(Respostas_Brutas!O263)))),0))/20))</f>
        <v/>
      </c>
      <c r="D263" s="4" t="str">
        <f>IF(Respostas_Brutas!B263="","",IF(Respostas_Brutas!D263="","",MIN(1,MAX(0,(YEAR(TODAY())-N(Respostas_Brutas!D263))/15))))</f>
        <v/>
      </c>
      <c r="E263" s="4" t="str">
        <f>IF(Respostas_Brutas!B263="","",IF(ISNUMBER(SEARCH("Sim",Respostas_Brutas!S263)),1,0))</f>
        <v/>
      </c>
      <c r="F263" s="4" t="str">
        <f>IF(Respostas_Brutas!B263="","",IFERROR(N(Respostas_Brutas!Y263)/N(Respostas_Brutas!Z263),""))</f>
        <v/>
      </c>
      <c r="G263" s="4" t="str">
        <f>IF(Respostas_Brutas!B263="","",IF(Respostas_Brutas!K263&lt;&gt;"",1,0))</f>
        <v/>
      </c>
      <c r="H263" s="4" t="str">
        <f>IF(Respostas_Brutas!B263="","",IF(ISNUMBER(SEARCH("Não",Respostas_Brutas!AH263)),1,0))</f>
        <v/>
      </c>
      <c r="I263" s="4" t="str">
        <f>IF(Respostas_Brutas!B263="","",IF(ISNUMBER(SEARCH("Sim",Respostas_Brutas!AL263)),1,0))</f>
        <v/>
      </c>
      <c r="J263" s="4" t="str">
        <f>IF(Respostas_Brutas!B263="","",IF(Respostas_Brutas!AN263="","",MIN(1,MAX(0,(N(Respostas_Brutas!AN263)-1)/4))))</f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tr">
        <f>IF(Respostas_Brutas!B264="","",Respostas_Brutas!B264)</f>
        <v/>
      </c>
      <c r="B264" s="4" t="str">
        <f>IF(Respostas_Brutas!B264="","",IFERROR(IF(IFERROR(VALUE(TRIM(SUBSTITUTE(SUBSTITUTE(SUBSTITUTE(TRIM(Respostas_Brutas!AS264),"R$",""),".",""),",","."))),0)=0,"",(IFERROR(VALUE(TRIM(SUBSTITUTE(SUBSTITUTE(SUBSTITUTE(TRIM(Respostas_Brutas!AS264),"R$",""),".",""),",","."))),0)-IFERROR(VALUE(TRIM(SUBSTITUTE(SUBSTITUTE(SUBSTITUTE(TRIM(Respostas_Brutas!T264),"R$",""),".",""),",","."))),0))/IFERROR(VALUE(TRIM(SUBSTITUTE(SUBSTITUTE(SUBSTITUTE(TRIM(Respostas_Brutas!AS264),"R$",""),".",""),",","."))),0)),""))</f>
        <v/>
      </c>
      <c r="C264" s="4" t="str">
        <f>IF(Respostas_Brutas!B264="","",MIN(1,(IFERROR(VALUE(LEFT(Respostas_Brutas!I264,IFERROR(FIND(" ",Respostas_Brutas!I264)-1,LEN(Respostas_Brutas!I264)))),0)+IFERROR(VALUE(LEFT(Respostas_Brutas!O264,IFERROR(FIND(" ",Respostas_Brutas!O264)-1,LEN(Respostas_Brutas!O264)))),0))/20))</f>
        <v/>
      </c>
      <c r="D264" s="4" t="str">
        <f>IF(Respostas_Brutas!B264="","",IF(Respostas_Brutas!D264="","",MIN(1,MAX(0,(YEAR(TODAY())-N(Respostas_Brutas!D264))/15))))</f>
        <v/>
      </c>
      <c r="E264" s="4" t="str">
        <f>IF(Respostas_Brutas!B264="","",IF(ISNUMBER(SEARCH("Sim",Respostas_Brutas!S264)),1,0))</f>
        <v/>
      </c>
      <c r="F264" s="4" t="str">
        <f>IF(Respostas_Brutas!B264="","",IFERROR(N(Respostas_Brutas!Y264)/N(Respostas_Brutas!Z264),""))</f>
        <v/>
      </c>
      <c r="G264" s="4" t="str">
        <f>IF(Respostas_Brutas!B264="","",IF(Respostas_Brutas!K264&lt;&gt;"",1,0))</f>
        <v/>
      </c>
      <c r="H264" s="4" t="str">
        <f>IF(Respostas_Brutas!B264="","",IF(ISNUMBER(SEARCH("Não",Respostas_Brutas!AH264)),1,0))</f>
        <v/>
      </c>
      <c r="I264" s="4" t="str">
        <f>IF(Respostas_Brutas!B264="","",IF(ISNUMBER(SEARCH("Sim",Respostas_Brutas!AL264)),1,0))</f>
        <v/>
      </c>
      <c r="J264" s="4" t="str">
        <f>IF(Respostas_Brutas!B264="","",IF(Respostas_Brutas!AN264="","",MIN(1,MAX(0,(N(Respostas_Brutas!AN264)-1)/4))))</f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tr">
        <f>IF(Respostas_Brutas!B265="","",Respostas_Brutas!B265)</f>
        <v/>
      </c>
      <c r="B265" s="4" t="str">
        <f>IF(Respostas_Brutas!B265="","",IFERROR(IF(IFERROR(VALUE(TRIM(SUBSTITUTE(SUBSTITUTE(SUBSTITUTE(TRIM(Respostas_Brutas!AS265),"R$",""),".",""),",","."))),0)=0,"",(IFERROR(VALUE(TRIM(SUBSTITUTE(SUBSTITUTE(SUBSTITUTE(TRIM(Respostas_Brutas!AS265),"R$",""),".",""),",","."))),0)-IFERROR(VALUE(TRIM(SUBSTITUTE(SUBSTITUTE(SUBSTITUTE(TRIM(Respostas_Brutas!T265),"R$",""),".",""),",","."))),0))/IFERROR(VALUE(TRIM(SUBSTITUTE(SUBSTITUTE(SUBSTITUTE(TRIM(Respostas_Brutas!AS265),"R$",""),".",""),",","."))),0)),""))</f>
        <v/>
      </c>
      <c r="C265" s="4" t="str">
        <f>IF(Respostas_Brutas!B265="","",MIN(1,(IFERROR(VALUE(LEFT(Respostas_Brutas!I265,IFERROR(FIND(" ",Respostas_Brutas!I265)-1,LEN(Respostas_Brutas!I265)))),0)+IFERROR(VALUE(LEFT(Respostas_Brutas!O265,IFERROR(FIND(" ",Respostas_Brutas!O265)-1,LEN(Respostas_Brutas!O265)))),0))/20))</f>
        <v/>
      </c>
      <c r="D265" s="4" t="str">
        <f>IF(Respostas_Brutas!B265="","",IF(Respostas_Brutas!D265="","",MIN(1,MAX(0,(YEAR(TODAY())-N(Respostas_Brutas!D265))/15))))</f>
        <v/>
      </c>
      <c r="E265" s="4" t="str">
        <f>IF(Respostas_Brutas!B265="","",IF(ISNUMBER(SEARCH("Sim",Respostas_Brutas!S265)),1,0))</f>
        <v/>
      </c>
      <c r="F265" s="4" t="str">
        <f>IF(Respostas_Brutas!B265="","",IFERROR(N(Respostas_Brutas!Y265)/N(Respostas_Brutas!Z265),""))</f>
        <v/>
      </c>
      <c r="G265" s="4" t="str">
        <f>IF(Respostas_Brutas!B265="","",IF(Respostas_Brutas!K265&lt;&gt;"",1,0))</f>
        <v/>
      </c>
      <c r="H265" s="4" t="str">
        <f>IF(Respostas_Brutas!B265="","",IF(ISNUMBER(SEARCH("Não",Respostas_Brutas!AH265)),1,0))</f>
        <v/>
      </c>
      <c r="I265" s="4" t="str">
        <f>IF(Respostas_Brutas!B265="","",IF(ISNUMBER(SEARCH("Sim",Respostas_Brutas!AL265)),1,0))</f>
        <v/>
      </c>
      <c r="J265" s="4" t="str">
        <f>IF(Respostas_Brutas!B265="","",IF(Respostas_Brutas!AN265="","",MIN(1,MAX(0,(N(Respostas_Brutas!AN265)-1)/4))))</f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tr">
        <f>IF(Respostas_Brutas!B266="","",Respostas_Brutas!B266)</f>
        <v/>
      </c>
      <c r="B266" s="4" t="str">
        <f>IF(Respostas_Brutas!B266="","",IFERROR(IF(IFERROR(VALUE(TRIM(SUBSTITUTE(SUBSTITUTE(SUBSTITUTE(TRIM(Respostas_Brutas!AS266),"R$",""),".",""),",","."))),0)=0,"",(IFERROR(VALUE(TRIM(SUBSTITUTE(SUBSTITUTE(SUBSTITUTE(TRIM(Respostas_Brutas!AS266),"R$",""),".",""),",","."))),0)-IFERROR(VALUE(TRIM(SUBSTITUTE(SUBSTITUTE(SUBSTITUTE(TRIM(Respostas_Brutas!T266),"R$",""),".",""),",","."))),0))/IFERROR(VALUE(TRIM(SUBSTITUTE(SUBSTITUTE(SUBSTITUTE(TRIM(Respostas_Brutas!AS266),"R$",""),".",""),",","."))),0)),""))</f>
        <v/>
      </c>
      <c r="C266" s="4" t="str">
        <f>IF(Respostas_Brutas!B266="","",MIN(1,(IFERROR(VALUE(LEFT(Respostas_Brutas!I266,IFERROR(FIND(" ",Respostas_Brutas!I266)-1,LEN(Respostas_Brutas!I266)))),0)+IFERROR(VALUE(LEFT(Respostas_Brutas!O266,IFERROR(FIND(" ",Respostas_Brutas!O266)-1,LEN(Respostas_Brutas!O266)))),0))/20))</f>
        <v/>
      </c>
      <c r="D266" s="4" t="str">
        <f>IF(Respostas_Brutas!B266="","",IF(Respostas_Brutas!D266="","",MIN(1,MAX(0,(YEAR(TODAY())-N(Respostas_Brutas!D266))/15))))</f>
        <v/>
      </c>
      <c r="E266" s="4" t="str">
        <f>IF(Respostas_Brutas!B266="","",IF(ISNUMBER(SEARCH("Sim",Respostas_Brutas!S266)),1,0))</f>
        <v/>
      </c>
      <c r="F266" s="4" t="str">
        <f>IF(Respostas_Brutas!B266="","",IFERROR(N(Respostas_Brutas!Y266)/N(Respostas_Brutas!Z266),""))</f>
        <v/>
      </c>
      <c r="G266" s="4" t="str">
        <f>IF(Respostas_Brutas!B266="","",IF(Respostas_Brutas!K266&lt;&gt;"",1,0))</f>
        <v/>
      </c>
      <c r="H266" s="4" t="str">
        <f>IF(Respostas_Brutas!B266="","",IF(ISNUMBER(SEARCH("Não",Respostas_Brutas!AH266)),1,0))</f>
        <v/>
      </c>
      <c r="I266" s="4" t="str">
        <f>IF(Respostas_Brutas!B266="","",IF(ISNUMBER(SEARCH("Sim",Respostas_Brutas!AL266)),1,0))</f>
        <v/>
      </c>
      <c r="J266" s="4" t="str">
        <f>IF(Respostas_Brutas!B266="","",IF(Respostas_Brutas!AN266="","",MIN(1,MAX(0,(N(Respostas_Brutas!AN266)-1)/4))))</f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tr">
        <f>IF(Respostas_Brutas!B267="","",Respostas_Brutas!B267)</f>
        <v/>
      </c>
      <c r="B267" s="4" t="str">
        <f>IF(Respostas_Brutas!B267="","",IFERROR(IF(IFERROR(VALUE(TRIM(SUBSTITUTE(SUBSTITUTE(SUBSTITUTE(TRIM(Respostas_Brutas!AS267),"R$",""),".",""),",","."))),0)=0,"",(IFERROR(VALUE(TRIM(SUBSTITUTE(SUBSTITUTE(SUBSTITUTE(TRIM(Respostas_Brutas!AS267),"R$",""),".",""),",","."))),0)-IFERROR(VALUE(TRIM(SUBSTITUTE(SUBSTITUTE(SUBSTITUTE(TRIM(Respostas_Brutas!T267),"R$",""),".",""),",","."))),0))/IFERROR(VALUE(TRIM(SUBSTITUTE(SUBSTITUTE(SUBSTITUTE(TRIM(Respostas_Brutas!AS267),"R$",""),".",""),",","."))),0)),""))</f>
        <v/>
      </c>
      <c r="C267" s="4" t="str">
        <f>IF(Respostas_Brutas!B267="","",MIN(1,(IFERROR(VALUE(LEFT(Respostas_Brutas!I267,IFERROR(FIND(" ",Respostas_Brutas!I267)-1,LEN(Respostas_Brutas!I267)))),0)+IFERROR(VALUE(LEFT(Respostas_Brutas!O267,IFERROR(FIND(" ",Respostas_Brutas!O267)-1,LEN(Respostas_Brutas!O267)))),0))/20))</f>
        <v/>
      </c>
      <c r="D267" s="4" t="str">
        <f>IF(Respostas_Brutas!B267="","",IF(Respostas_Brutas!D267="","",MIN(1,MAX(0,(YEAR(TODAY())-N(Respostas_Brutas!D267))/15))))</f>
        <v/>
      </c>
      <c r="E267" s="4" t="str">
        <f>IF(Respostas_Brutas!B267="","",IF(ISNUMBER(SEARCH("Sim",Respostas_Brutas!S267)),1,0))</f>
        <v/>
      </c>
      <c r="F267" s="4" t="str">
        <f>IF(Respostas_Brutas!B267="","",IFERROR(N(Respostas_Brutas!Y267)/N(Respostas_Brutas!Z267),""))</f>
        <v/>
      </c>
      <c r="G267" s="4" t="str">
        <f>IF(Respostas_Brutas!B267="","",IF(Respostas_Brutas!K267&lt;&gt;"",1,0))</f>
        <v/>
      </c>
      <c r="H267" s="4" t="str">
        <f>IF(Respostas_Brutas!B267="","",IF(ISNUMBER(SEARCH("Não",Respostas_Brutas!AH267)),1,0))</f>
        <v/>
      </c>
      <c r="I267" s="4" t="str">
        <f>IF(Respostas_Brutas!B267="","",IF(ISNUMBER(SEARCH("Sim",Respostas_Brutas!AL267)),1,0))</f>
        <v/>
      </c>
      <c r="J267" s="4" t="str">
        <f>IF(Respostas_Brutas!B267="","",IF(Respostas_Brutas!AN267="","",MIN(1,MAX(0,(N(Respostas_Brutas!AN267)-1)/4))))</f>
        <v/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tr">
        <f>IF(Respostas_Brutas!B268="","",Respostas_Brutas!B268)</f>
        <v/>
      </c>
      <c r="B268" s="4" t="str">
        <f>IF(Respostas_Brutas!B268="","",IFERROR(IF(IFERROR(VALUE(TRIM(SUBSTITUTE(SUBSTITUTE(SUBSTITUTE(TRIM(Respostas_Brutas!AS268),"R$",""),".",""),",","."))),0)=0,"",(IFERROR(VALUE(TRIM(SUBSTITUTE(SUBSTITUTE(SUBSTITUTE(TRIM(Respostas_Brutas!AS268),"R$",""),".",""),",","."))),0)-IFERROR(VALUE(TRIM(SUBSTITUTE(SUBSTITUTE(SUBSTITUTE(TRIM(Respostas_Brutas!T268),"R$",""),".",""),",","."))),0))/IFERROR(VALUE(TRIM(SUBSTITUTE(SUBSTITUTE(SUBSTITUTE(TRIM(Respostas_Brutas!AS268),"R$",""),".",""),",","."))),0)),""))</f>
        <v/>
      </c>
      <c r="C268" s="4" t="str">
        <f>IF(Respostas_Brutas!B268="","",MIN(1,(IFERROR(VALUE(LEFT(Respostas_Brutas!I268,IFERROR(FIND(" ",Respostas_Brutas!I268)-1,LEN(Respostas_Brutas!I268)))),0)+IFERROR(VALUE(LEFT(Respostas_Brutas!O268,IFERROR(FIND(" ",Respostas_Brutas!O268)-1,LEN(Respostas_Brutas!O268)))),0))/20))</f>
        <v/>
      </c>
      <c r="D268" s="4" t="str">
        <f>IF(Respostas_Brutas!B268="","",IF(Respostas_Brutas!D268="","",MIN(1,MAX(0,(YEAR(TODAY())-N(Respostas_Brutas!D268))/15))))</f>
        <v/>
      </c>
      <c r="E268" s="4" t="str">
        <f>IF(Respostas_Brutas!B268="","",IF(ISNUMBER(SEARCH("Sim",Respostas_Brutas!S268)),1,0))</f>
        <v/>
      </c>
      <c r="F268" s="4" t="str">
        <f>IF(Respostas_Brutas!B268="","",IFERROR(N(Respostas_Brutas!Y268)/N(Respostas_Brutas!Z268),""))</f>
        <v/>
      </c>
      <c r="G268" s="4" t="str">
        <f>IF(Respostas_Brutas!B268="","",IF(Respostas_Brutas!K268&lt;&gt;"",1,0))</f>
        <v/>
      </c>
      <c r="H268" s="4" t="str">
        <f>IF(Respostas_Brutas!B268="","",IF(ISNUMBER(SEARCH("Não",Respostas_Brutas!AH268)),1,0))</f>
        <v/>
      </c>
      <c r="I268" s="4" t="str">
        <f>IF(Respostas_Brutas!B268="","",IF(ISNUMBER(SEARCH("Sim",Respostas_Brutas!AL268)),1,0))</f>
        <v/>
      </c>
      <c r="J268" s="4" t="str">
        <f>IF(Respostas_Brutas!B268="","",IF(Respostas_Brutas!AN268="","",MIN(1,MAX(0,(N(Respostas_Brutas!AN268)-1)/4))))</f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tr">
        <f>IF(Respostas_Brutas!B269="","",Respostas_Brutas!B269)</f>
        <v/>
      </c>
      <c r="B269" s="4" t="str">
        <f>IF(Respostas_Brutas!B269="","",IFERROR(IF(IFERROR(VALUE(TRIM(SUBSTITUTE(SUBSTITUTE(SUBSTITUTE(TRIM(Respostas_Brutas!AS269),"R$",""),".",""),",","."))),0)=0,"",(IFERROR(VALUE(TRIM(SUBSTITUTE(SUBSTITUTE(SUBSTITUTE(TRIM(Respostas_Brutas!AS269),"R$",""),".",""),",","."))),0)-IFERROR(VALUE(TRIM(SUBSTITUTE(SUBSTITUTE(SUBSTITUTE(TRIM(Respostas_Brutas!T269),"R$",""),".",""),",","."))),0))/IFERROR(VALUE(TRIM(SUBSTITUTE(SUBSTITUTE(SUBSTITUTE(TRIM(Respostas_Brutas!AS269),"R$",""),".",""),",","."))),0)),""))</f>
        <v/>
      </c>
      <c r="C269" s="4" t="str">
        <f>IF(Respostas_Brutas!B269="","",MIN(1,(IFERROR(VALUE(LEFT(Respostas_Brutas!I269,IFERROR(FIND(" ",Respostas_Brutas!I269)-1,LEN(Respostas_Brutas!I269)))),0)+IFERROR(VALUE(LEFT(Respostas_Brutas!O269,IFERROR(FIND(" ",Respostas_Brutas!O269)-1,LEN(Respostas_Brutas!O269)))),0))/20))</f>
        <v/>
      </c>
      <c r="D269" s="4" t="str">
        <f>IF(Respostas_Brutas!B269="","",IF(Respostas_Brutas!D269="","",MIN(1,MAX(0,(YEAR(TODAY())-N(Respostas_Brutas!D269))/15))))</f>
        <v/>
      </c>
      <c r="E269" s="4" t="str">
        <f>IF(Respostas_Brutas!B269="","",IF(ISNUMBER(SEARCH("Sim",Respostas_Brutas!S269)),1,0))</f>
        <v/>
      </c>
      <c r="F269" s="4" t="str">
        <f>IF(Respostas_Brutas!B269="","",IFERROR(N(Respostas_Brutas!Y269)/N(Respostas_Brutas!Z269),""))</f>
        <v/>
      </c>
      <c r="G269" s="4" t="str">
        <f>IF(Respostas_Brutas!B269="","",IF(Respostas_Brutas!K269&lt;&gt;"",1,0))</f>
        <v/>
      </c>
      <c r="H269" s="4" t="str">
        <f>IF(Respostas_Brutas!B269="","",IF(ISNUMBER(SEARCH("Não",Respostas_Brutas!AH269)),1,0))</f>
        <v/>
      </c>
      <c r="I269" s="4" t="str">
        <f>IF(Respostas_Brutas!B269="","",IF(ISNUMBER(SEARCH("Sim",Respostas_Brutas!AL269)),1,0))</f>
        <v/>
      </c>
      <c r="J269" s="4" t="str">
        <f>IF(Respostas_Brutas!B269="","",IF(Respostas_Brutas!AN269="","",MIN(1,MAX(0,(N(Respostas_Brutas!AN269)-1)/4))))</f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tr">
        <f>IF(Respostas_Brutas!B270="","",Respostas_Brutas!B270)</f>
        <v/>
      </c>
      <c r="B270" s="4" t="str">
        <f>IF(Respostas_Brutas!B270="","",IFERROR(IF(IFERROR(VALUE(TRIM(SUBSTITUTE(SUBSTITUTE(SUBSTITUTE(TRIM(Respostas_Brutas!AS270),"R$",""),".",""),",","."))),0)=0,"",(IFERROR(VALUE(TRIM(SUBSTITUTE(SUBSTITUTE(SUBSTITUTE(TRIM(Respostas_Brutas!AS270),"R$",""),".",""),",","."))),0)-IFERROR(VALUE(TRIM(SUBSTITUTE(SUBSTITUTE(SUBSTITUTE(TRIM(Respostas_Brutas!T270),"R$",""),".",""),",","."))),0))/IFERROR(VALUE(TRIM(SUBSTITUTE(SUBSTITUTE(SUBSTITUTE(TRIM(Respostas_Brutas!AS270),"R$",""),".",""),",","."))),0)),""))</f>
        <v/>
      </c>
      <c r="C270" s="4" t="str">
        <f>IF(Respostas_Brutas!B270="","",MIN(1,(IFERROR(VALUE(LEFT(Respostas_Brutas!I270,IFERROR(FIND(" ",Respostas_Brutas!I270)-1,LEN(Respostas_Brutas!I270)))),0)+IFERROR(VALUE(LEFT(Respostas_Brutas!O270,IFERROR(FIND(" ",Respostas_Brutas!O270)-1,LEN(Respostas_Brutas!O270)))),0))/20))</f>
        <v/>
      </c>
      <c r="D270" s="4" t="str">
        <f>IF(Respostas_Brutas!B270="","",IF(Respostas_Brutas!D270="","",MIN(1,MAX(0,(YEAR(TODAY())-N(Respostas_Brutas!D270))/15))))</f>
        <v/>
      </c>
      <c r="E270" s="4" t="str">
        <f>IF(Respostas_Brutas!B270="","",IF(ISNUMBER(SEARCH("Sim",Respostas_Brutas!S270)),1,0))</f>
        <v/>
      </c>
      <c r="F270" s="4" t="str">
        <f>IF(Respostas_Brutas!B270="","",IFERROR(N(Respostas_Brutas!Y270)/N(Respostas_Brutas!Z270),""))</f>
        <v/>
      </c>
      <c r="G270" s="4" t="str">
        <f>IF(Respostas_Brutas!B270="","",IF(Respostas_Brutas!K270&lt;&gt;"",1,0))</f>
        <v/>
      </c>
      <c r="H270" s="4" t="str">
        <f>IF(Respostas_Brutas!B270="","",IF(ISNUMBER(SEARCH("Não",Respostas_Brutas!AH270)),1,0))</f>
        <v/>
      </c>
      <c r="I270" s="4" t="str">
        <f>IF(Respostas_Brutas!B270="","",IF(ISNUMBER(SEARCH("Sim",Respostas_Brutas!AL270)),1,0))</f>
        <v/>
      </c>
      <c r="J270" s="4" t="str">
        <f>IF(Respostas_Brutas!B270="","",IF(Respostas_Brutas!AN270="","",MIN(1,MAX(0,(N(Respostas_Brutas!AN270)-1)/4))))</f>
        <v/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tr">
        <f>IF(Respostas_Brutas!B271="","",Respostas_Brutas!B271)</f>
        <v/>
      </c>
      <c r="B271" s="4" t="str">
        <f>IF(Respostas_Brutas!B271="","",IFERROR(IF(IFERROR(VALUE(TRIM(SUBSTITUTE(SUBSTITUTE(SUBSTITUTE(TRIM(Respostas_Brutas!AS271),"R$",""),".",""),",","."))),0)=0,"",(IFERROR(VALUE(TRIM(SUBSTITUTE(SUBSTITUTE(SUBSTITUTE(TRIM(Respostas_Brutas!AS271),"R$",""),".",""),",","."))),0)-IFERROR(VALUE(TRIM(SUBSTITUTE(SUBSTITUTE(SUBSTITUTE(TRIM(Respostas_Brutas!T271),"R$",""),".",""),",","."))),0))/IFERROR(VALUE(TRIM(SUBSTITUTE(SUBSTITUTE(SUBSTITUTE(TRIM(Respostas_Brutas!AS271),"R$",""),".",""),",","."))),0)),""))</f>
        <v/>
      </c>
      <c r="C271" s="4" t="str">
        <f>IF(Respostas_Brutas!B271="","",MIN(1,(IFERROR(VALUE(LEFT(Respostas_Brutas!I271,IFERROR(FIND(" ",Respostas_Brutas!I271)-1,LEN(Respostas_Brutas!I271)))),0)+IFERROR(VALUE(LEFT(Respostas_Brutas!O271,IFERROR(FIND(" ",Respostas_Brutas!O271)-1,LEN(Respostas_Brutas!O271)))),0))/20))</f>
        <v/>
      </c>
      <c r="D271" s="4" t="str">
        <f>IF(Respostas_Brutas!B271="","",IF(Respostas_Brutas!D271="","",MIN(1,MAX(0,(YEAR(TODAY())-N(Respostas_Brutas!D271))/15))))</f>
        <v/>
      </c>
      <c r="E271" s="4" t="str">
        <f>IF(Respostas_Brutas!B271="","",IF(ISNUMBER(SEARCH("Sim",Respostas_Brutas!S271)),1,0))</f>
        <v/>
      </c>
      <c r="F271" s="4" t="str">
        <f>IF(Respostas_Brutas!B271="","",IFERROR(N(Respostas_Brutas!Y271)/N(Respostas_Brutas!Z271),""))</f>
        <v/>
      </c>
      <c r="G271" s="4" t="str">
        <f>IF(Respostas_Brutas!B271="","",IF(Respostas_Brutas!K271&lt;&gt;"",1,0))</f>
        <v/>
      </c>
      <c r="H271" s="4" t="str">
        <f>IF(Respostas_Brutas!B271="","",IF(ISNUMBER(SEARCH("Não",Respostas_Brutas!AH271)),1,0))</f>
        <v/>
      </c>
      <c r="I271" s="4" t="str">
        <f>IF(Respostas_Brutas!B271="","",IF(ISNUMBER(SEARCH("Sim",Respostas_Brutas!AL271)),1,0))</f>
        <v/>
      </c>
      <c r="J271" s="4" t="str">
        <f>IF(Respostas_Brutas!B271="","",IF(Respostas_Brutas!AN271="","",MIN(1,MAX(0,(N(Respostas_Brutas!AN271)-1)/4))))</f>
        <v/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tr">
        <f>IF(Respostas_Brutas!B272="","",Respostas_Brutas!B272)</f>
        <v/>
      </c>
      <c r="B272" s="4" t="str">
        <f>IF(Respostas_Brutas!B272="","",IFERROR(IF(IFERROR(VALUE(TRIM(SUBSTITUTE(SUBSTITUTE(SUBSTITUTE(TRIM(Respostas_Brutas!AS272),"R$",""),".",""),",","."))),0)=0,"",(IFERROR(VALUE(TRIM(SUBSTITUTE(SUBSTITUTE(SUBSTITUTE(TRIM(Respostas_Brutas!AS272),"R$",""),".",""),",","."))),0)-IFERROR(VALUE(TRIM(SUBSTITUTE(SUBSTITUTE(SUBSTITUTE(TRIM(Respostas_Brutas!T272),"R$",""),".",""),",","."))),0))/IFERROR(VALUE(TRIM(SUBSTITUTE(SUBSTITUTE(SUBSTITUTE(TRIM(Respostas_Brutas!AS272),"R$",""),".",""),",","."))),0)),""))</f>
        <v/>
      </c>
      <c r="C272" s="4" t="str">
        <f>IF(Respostas_Brutas!B272="","",MIN(1,(IFERROR(VALUE(LEFT(Respostas_Brutas!I272,IFERROR(FIND(" ",Respostas_Brutas!I272)-1,LEN(Respostas_Brutas!I272)))),0)+IFERROR(VALUE(LEFT(Respostas_Brutas!O272,IFERROR(FIND(" ",Respostas_Brutas!O272)-1,LEN(Respostas_Brutas!O272)))),0))/20))</f>
        <v/>
      </c>
      <c r="D272" s="4" t="str">
        <f>IF(Respostas_Brutas!B272="","",IF(Respostas_Brutas!D272="","",MIN(1,MAX(0,(YEAR(TODAY())-N(Respostas_Brutas!D272))/15))))</f>
        <v/>
      </c>
      <c r="E272" s="4" t="str">
        <f>IF(Respostas_Brutas!B272="","",IF(ISNUMBER(SEARCH("Sim",Respostas_Brutas!S272)),1,0))</f>
        <v/>
      </c>
      <c r="F272" s="4" t="str">
        <f>IF(Respostas_Brutas!B272="","",IFERROR(N(Respostas_Brutas!Y272)/N(Respostas_Brutas!Z272),""))</f>
        <v/>
      </c>
      <c r="G272" s="4" t="str">
        <f>IF(Respostas_Brutas!B272="","",IF(Respostas_Brutas!K272&lt;&gt;"",1,0))</f>
        <v/>
      </c>
      <c r="H272" s="4" t="str">
        <f>IF(Respostas_Brutas!B272="","",IF(ISNUMBER(SEARCH("Não",Respostas_Brutas!AH272)),1,0))</f>
        <v/>
      </c>
      <c r="I272" s="4" t="str">
        <f>IF(Respostas_Brutas!B272="","",IF(ISNUMBER(SEARCH("Sim",Respostas_Brutas!AL272)),1,0))</f>
        <v/>
      </c>
      <c r="J272" s="4" t="str">
        <f>IF(Respostas_Brutas!B272="","",IF(Respostas_Brutas!AN272="","",MIN(1,MAX(0,(N(Respostas_Brutas!AN272)-1)/4))))</f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tr">
        <f>IF(Respostas_Brutas!B273="","",Respostas_Brutas!B273)</f>
        <v/>
      </c>
      <c r="B273" s="4" t="str">
        <f>IF(Respostas_Brutas!B273="","",IFERROR(IF(IFERROR(VALUE(TRIM(SUBSTITUTE(SUBSTITUTE(SUBSTITUTE(TRIM(Respostas_Brutas!AS273),"R$",""),".",""),",","."))),0)=0,"",(IFERROR(VALUE(TRIM(SUBSTITUTE(SUBSTITUTE(SUBSTITUTE(TRIM(Respostas_Brutas!AS273),"R$",""),".",""),",","."))),0)-IFERROR(VALUE(TRIM(SUBSTITUTE(SUBSTITUTE(SUBSTITUTE(TRIM(Respostas_Brutas!T273),"R$",""),".",""),",","."))),0))/IFERROR(VALUE(TRIM(SUBSTITUTE(SUBSTITUTE(SUBSTITUTE(TRIM(Respostas_Brutas!AS273),"R$",""),".",""),",","."))),0)),""))</f>
        <v/>
      </c>
      <c r="C273" s="4" t="str">
        <f>IF(Respostas_Brutas!B273="","",MIN(1,(IFERROR(VALUE(LEFT(Respostas_Brutas!I273,IFERROR(FIND(" ",Respostas_Brutas!I273)-1,LEN(Respostas_Brutas!I273)))),0)+IFERROR(VALUE(LEFT(Respostas_Brutas!O273,IFERROR(FIND(" ",Respostas_Brutas!O273)-1,LEN(Respostas_Brutas!O273)))),0))/20))</f>
        <v/>
      </c>
      <c r="D273" s="4" t="str">
        <f>IF(Respostas_Brutas!B273="","",IF(Respostas_Brutas!D273="","",MIN(1,MAX(0,(YEAR(TODAY())-N(Respostas_Brutas!D273))/15))))</f>
        <v/>
      </c>
      <c r="E273" s="4" t="str">
        <f>IF(Respostas_Brutas!B273="","",IF(ISNUMBER(SEARCH("Sim",Respostas_Brutas!S273)),1,0))</f>
        <v/>
      </c>
      <c r="F273" s="4" t="str">
        <f>IF(Respostas_Brutas!B273="","",IFERROR(N(Respostas_Brutas!Y273)/N(Respostas_Brutas!Z273),""))</f>
        <v/>
      </c>
      <c r="G273" s="4" t="str">
        <f>IF(Respostas_Brutas!B273="","",IF(Respostas_Brutas!K273&lt;&gt;"",1,0))</f>
        <v/>
      </c>
      <c r="H273" s="4" t="str">
        <f>IF(Respostas_Brutas!B273="","",IF(ISNUMBER(SEARCH("Não",Respostas_Brutas!AH273)),1,0))</f>
        <v/>
      </c>
      <c r="I273" s="4" t="str">
        <f>IF(Respostas_Brutas!B273="","",IF(ISNUMBER(SEARCH("Sim",Respostas_Brutas!AL273)),1,0))</f>
        <v/>
      </c>
      <c r="J273" s="4" t="str">
        <f>IF(Respostas_Brutas!B273="","",IF(Respostas_Brutas!AN273="","",MIN(1,MAX(0,(N(Respostas_Brutas!AN273)-1)/4))))</f>
        <v/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tr">
        <f>IF(Respostas_Brutas!B274="","",Respostas_Brutas!B274)</f>
        <v/>
      </c>
      <c r="B274" s="4" t="str">
        <f>IF(Respostas_Brutas!B274="","",IFERROR(IF(IFERROR(VALUE(TRIM(SUBSTITUTE(SUBSTITUTE(SUBSTITUTE(TRIM(Respostas_Brutas!AS274),"R$",""),".",""),",","."))),0)=0,"",(IFERROR(VALUE(TRIM(SUBSTITUTE(SUBSTITUTE(SUBSTITUTE(TRIM(Respostas_Brutas!AS274),"R$",""),".",""),",","."))),0)-IFERROR(VALUE(TRIM(SUBSTITUTE(SUBSTITUTE(SUBSTITUTE(TRIM(Respostas_Brutas!T274),"R$",""),".",""),",","."))),0))/IFERROR(VALUE(TRIM(SUBSTITUTE(SUBSTITUTE(SUBSTITUTE(TRIM(Respostas_Brutas!AS274),"R$",""),".",""),",","."))),0)),""))</f>
        <v/>
      </c>
      <c r="C274" s="4" t="str">
        <f>IF(Respostas_Brutas!B274="","",MIN(1,(IFERROR(VALUE(LEFT(Respostas_Brutas!I274,IFERROR(FIND(" ",Respostas_Brutas!I274)-1,LEN(Respostas_Brutas!I274)))),0)+IFERROR(VALUE(LEFT(Respostas_Brutas!O274,IFERROR(FIND(" ",Respostas_Brutas!O274)-1,LEN(Respostas_Brutas!O274)))),0))/20))</f>
        <v/>
      </c>
      <c r="D274" s="4" t="str">
        <f>IF(Respostas_Brutas!B274="","",IF(Respostas_Brutas!D274="","",MIN(1,MAX(0,(YEAR(TODAY())-N(Respostas_Brutas!D274))/15))))</f>
        <v/>
      </c>
      <c r="E274" s="4" t="str">
        <f>IF(Respostas_Brutas!B274="","",IF(ISNUMBER(SEARCH("Sim",Respostas_Brutas!S274)),1,0))</f>
        <v/>
      </c>
      <c r="F274" s="4" t="str">
        <f>IF(Respostas_Brutas!B274="","",IFERROR(N(Respostas_Brutas!Y274)/N(Respostas_Brutas!Z274),""))</f>
        <v/>
      </c>
      <c r="G274" s="4" t="str">
        <f>IF(Respostas_Brutas!B274="","",IF(Respostas_Brutas!K274&lt;&gt;"",1,0))</f>
        <v/>
      </c>
      <c r="H274" s="4" t="str">
        <f>IF(Respostas_Brutas!B274="","",IF(ISNUMBER(SEARCH("Não",Respostas_Brutas!AH274)),1,0))</f>
        <v/>
      </c>
      <c r="I274" s="4" t="str">
        <f>IF(Respostas_Brutas!B274="","",IF(ISNUMBER(SEARCH("Sim",Respostas_Brutas!AL274)),1,0))</f>
        <v/>
      </c>
      <c r="J274" s="4" t="str">
        <f>IF(Respostas_Brutas!B274="","",IF(Respostas_Brutas!AN274="","",MIN(1,MAX(0,(N(Respostas_Brutas!AN274)-1)/4))))</f>
        <v/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tr">
        <f>IF(Respostas_Brutas!B275="","",Respostas_Brutas!B275)</f>
        <v/>
      </c>
      <c r="B275" s="4" t="str">
        <f>IF(Respostas_Brutas!B275="","",IFERROR(IF(IFERROR(VALUE(TRIM(SUBSTITUTE(SUBSTITUTE(SUBSTITUTE(TRIM(Respostas_Brutas!AS275),"R$",""),".",""),",","."))),0)=0,"",(IFERROR(VALUE(TRIM(SUBSTITUTE(SUBSTITUTE(SUBSTITUTE(TRIM(Respostas_Brutas!AS275),"R$",""),".",""),",","."))),0)-IFERROR(VALUE(TRIM(SUBSTITUTE(SUBSTITUTE(SUBSTITUTE(TRIM(Respostas_Brutas!T275),"R$",""),".",""),",","."))),0))/IFERROR(VALUE(TRIM(SUBSTITUTE(SUBSTITUTE(SUBSTITUTE(TRIM(Respostas_Brutas!AS275),"R$",""),".",""),",","."))),0)),""))</f>
        <v/>
      </c>
      <c r="C275" s="4" t="str">
        <f>IF(Respostas_Brutas!B275="","",MIN(1,(IFERROR(VALUE(LEFT(Respostas_Brutas!I275,IFERROR(FIND(" ",Respostas_Brutas!I275)-1,LEN(Respostas_Brutas!I275)))),0)+IFERROR(VALUE(LEFT(Respostas_Brutas!O275,IFERROR(FIND(" ",Respostas_Brutas!O275)-1,LEN(Respostas_Brutas!O275)))),0))/20))</f>
        <v/>
      </c>
      <c r="D275" s="4" t="str">
        <f>IF(Respostas_Brutas!B275="","",IF(Respostas_Brutas!D275="","",MIN(1,MAX(0,(YEAR(TODAY())-N(Respostas_Brutas!D275))/15))))</f>
        <v/>
      </c>
      <c r="E275" s="4" t="str">
        <f>IF(Respostas_Brutas!B275="","",IF(ISNUMBER(SEARCH("Sim",Respostas_Brutas!S275)),1,0))</f>
        <v/>
      </c>
      <c r="F275" s="4" t="str">
        <f>IF(Respostas_Brutas!B275="","",IFERROR(N(Respostas_Brutas!Y275)/N(Respostas_Brutas!Z275),""))</f>
        <v/>
      </c>
      <c r="G275" s="4" t="str">
        <f>IF(Respostas_Brutas!B275="","",IF(Respostas_Brutas!K275&lt;&gt;"",1,0))</f>
        <v/>
      </c>
      <c r="H275" s="4" t="str">
        <f>IF(Respostas_Brutas!B275="","",IF(ISNUMBER(SEARCH("Não",Respostas_Brutas!AH275)),1,0))</f>
        <v/>
      </c>
      <c r="I275" s="4" t="str">
        <f>IF(Respostas_Brutas!B275="","",IF(ISNUMBER(SEARCH("Sim",Respostas_Brutas!AL275)),1,0))</f>
        <v/>
      </c>
      <c r="J275" s="4" t="str">
        <f>IF(Respostas_Brutas!B275="","",IF(Respostas_Brutas!AN275="","",MIN(1,MAX(0,(N(Respostas_Brutas!AN275)-1)/4))))</f>
        <v/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tr">
        <f>IF(Respostas_Brutas!B276="","",Respostas_Brutas!B276)</f>
        <v/>
      </c>
      <c r="B276" s="4" t="str">
        <f>IF(Respostas_Brutas!B276="","",IFERROR(IF(IFERROR(VALUE(TRIM(SUBSTITUTE(SUBSTITUTE(SUBSTITUTE(TRIM(Respostas_Brutas!AS276),"R$",""),".",""),",","."))),0)=0,"",(IFERROR(VALUE(TRIM(SUBSTITUTE(SUBSTITUTE(SUBSTITUTE(TRIM(Respostas_Brutas!AS276),"R$",""),".",""),",","."))),0)-IFERROR(VALUE(TRIM(SUBSTITUTE(SUBSTITUTE(SUBSTITUTE(TRIM(Respostas_Brutas!T276),"R$",""),".",""),",","."))),0))/IFERROR(VALUE(TRIM(SUBSTITUTE(SUBSTITUTE(SUBSTITUTE(TRIM(Respostas_Brutas!AS276),"R$",""),".",""),",","."))),0)),""))</f>
        <v/>
      </c>
      <c r="C276" s="4" t="str">
        <f>IF(Respostas_Brutas!B276="","",MIN(1,(IFERROR(VALUE(LEFT(Respostas_Brutas!I276,IFERROR(FIND(" ",Respostas_Brutas!I276)-1,LEN(Respostas_Brutas!I276)))),0)+IFERROR(VALUE(LEFT(Respostas_Brutas!O276,IFERROR(FIND(" ",Respostas_Brutas!O276)-1,LEN(Respostas_Brutas!O276)))),0))/20))</f>
        <v/>
      </c>
      <c r="D276" s="4" t="str">
        <f>IF(Respostas_Brutas!B276="","",IF(Respostas_Brutas!D276="","",MIN(1,MAX(0,(YEAR(TODAY())-N(Respostas_Brutas!D276))/15))))</f>
        <v/>
      </c>
      <c r="E276" s="4" t="str">
        <f>IF(Respostas_Brutas!B276="","",IF(ISNUMBER(SEARCH("Sim",Respostas_Brutas!S276)),1,0))</f>
        <v/>
      </c>
      <c r="F276" s="4" t="str">
        <f>IF(Respostas_Brutas!B276="","",IFERROR(N(Respostas_Brutas!Y276)/N(Respostas_Brutas!Z276),""))</f>
        <v/>
      </c>
      <c r="G276" s="4" t="str">
        <f>IF(Respostas_Brutas!B276="","",IF(Respostas_Brutas!K276&lt;&gt;"",1,0))</f>
        <v/>
      </c>
      <c r="H276" s="4" t="str">
        <f>IF(Respostas_Brutas!B276="","",IF(ISNUMBER(SEARCH("Não",Respostas_Brutas!AH276)),1,0))</f>
        <v/>
      </c>
      <c r="I276" s="4" t="str">
        <f>IF(Respostas_Brutas!B276="","",IF(ISNUMBER(SEARCH("Sim",Respostas_Brutas!AL276)),1,0))</f>
        <v/>
      </c>
      <c r="J276" s="4" t="str">
        <f>IF(Respostas_Brutas!B276="","",IF(Respostas_Brutas!AN276="","",MIN(1,MAX(0,(N(Respostas_Brutas!AN276)-1)/4))))</f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tr">
        <f>IF(Respostas_Brutas!B277="","",Respostas_Brutas!B277)</f>
        <v/>
      </c>
      <c r="B277" s="4" t="str">
        <f>IF(Respostas_Brutas!B277="","",IFERROR(IF(IFERROR(VALUE(TRIM(SUBSTITUTE(SUBSTITUTE(SUBSTITUTE(TRIM(Respostas_Brutas!AS277),"R$",""),".",""),",","."))),0)=0,"",(IFERROR(VALUE(TRIM(SUBSTITUTE(SUBSTITUTE(SUBSTITUTE(TRIM(Respostas_Brutas!AS277),"R$",""),".",""),",","."))),0)-IFERROR(VALUE(TRIM(SUBSTITUTE(SUBSTITUTE(SUBSTITUTE(TRIM(Respostas_Brutas!T277),"R$",""),".",""),",","."))),0))/IFERROR(VALUE(TRIM(SUBSTITUTE(SUBSTITUTE(SUBSTITUTE(TRIM(Respostas_Brutas!AS277),"R$",""),".",""),",","."))),0)),""))</f>
        <v/>
      </c>
      <c r="C277" s="4" t="str">
        <f>IF(Respostas_Brutas!B277="","",MIN(1,(IFERROR(VALUE(LEFT(Respostas_Brutas!I277,IFERROR(FIND(" ",Respostas_Brutas!I277)-1,LEN(Respostas_Brutas!I277)))),0)+IFERROR(VALUE(LEFT(Respostas_Brutas!O277,IFERROR(FIND(" ",Respostas_Brutas!O277)-1,LEN(Respostas_Brutas!O277)))),0))/20))</f>
        <v/>
      </c>
      <c r="D277" s="4" t="str">
        <f>IF(Respostas_Brutas!B277="","",IF(Respostas_Brutas!D277="","",MIN(1,MAX(0,(YEAR(TODAY())-N(Respostas_Brutas!D277))/15))))</f>
        <v/>
      </c>
      <c r="E277" s="4" t="str">
        <f>IF(Respostas_Brutas!B277="","",IF(ISNUMBER(SEARCH("Sim",Respostas_Brutas!S277)),1,0))</f>
        <v/>
      </c>
      <c r="F277" s="4" t="str">
        <f>IF(Respostas_Brutas!B277="","",IFERROR(N(Respostas_Brutas!Y277)/N(Respostas_Brutas!Z277),""))</f>
        <v/>
      </c>
      <c r="G277" s="4" t="str">
        <f>IF(Respostas_Brutas!B277="","",IF(Respostas_Brutas!K277&lt;&gt;"",1,0))</f>
        <v/>
      </c>
      <c r="H277" s="4" t="str">
        <f>IF(Respostas_Brutas!B277="","",IF(ISNUMBER(SEARCH("Não",Respostas_Brutas!AH277)),1,0))</f>
        <v/>
      </c>
      <c r="I277" s="4" t="str">
        <f>IF(Respostas_Brutas!B277="","",IF(ISNUMBER(SEARCH("Sim",Respostas_Brutas!AL277)),1,0))</f>
        <v/>
      </c>
      <c r="J277" s="4" t="str">
        <f>IF(Respostas_Brutas!B277="","",IF(Respostas_Brutas!AN277="","",MIN(1,MAX(0,(N(Respostas_Brutas!AN277)-1)/4))))</f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tr">
        <f>IF(Respostas_Brutas!B278="","",Respostas_Brutas!B278)</f>
        <v/>
      </c>
      <c r="B278" s="4" t="str">
        <f>IF(Respostas_Brutas!B278="","",IFERROR(IF(IFERROR(VALUE(TRIM(SUBSTITUTE(SUBSTITUTE(SUBSTITUTE(TRIM(Respostas_Brutas!AS278),"R$",""),".",""),",","."))),0)=0,"",(IFERROR(VALUE(TRIM(SUBSTITUTE(SUBSTITUTE(SUBSTITUTE(TRIM(Respostas_Brutas!AS278),"R$",""),".",""),",","."))),0)-IFERROR(VALUE(TRIM(SUBSTITUTE(SUBSTITUTE(SUBSTITUTE(TRIM(Respostas_Brutas!T278),"R$",""),".",""),",","."))),0))/IFERROR(VALUE(TRIM(SUBSTITUTE(SUBSTITUTE(SUBSTITUTE(TRIM(Respostas_Brutas!AS278),"R$",""),".",""),",","."))),0)),""))</f>
        <v/>
      </c>
      <c r="C278" s="4" t="str">
        <f>IF(Respostas_Brutas!B278="","",MIN(1,(IFERROR(VALUE(LEFT(Respostas_Brutas!I278,IFERROR(FIND(" ",Respostas_Brutas!I278)-1,LEN(Respostas_Brutas!I278)))),0)+IFERROR(VALUE(LEFT(Respostas_Brutas!O278,IFERROR(FIND(" ",Respostas_Brutas!O278)-1,LEN(Respostas_Brutas!O278)))),0))/20))</f>
        <v/>
      </c>
      <c r="D278" s="4" t="str">
        <f>IF(Respostas_Brutas!B278="","",IF(Respostas_Brutas!D278="","",MIN(1,MAX(0,(YEAR(TODAY())-N(Respostas_Brutas!D278))/15))))</f>
        <v/>
      </c>
      <c r="E278" s="4" t="str">
        <f>IF(Respostas_Brutas!B278="","",IF(ISNUMBER(SEARCH("Sim",Respostas_Brutas!S278)),1,0))</f>
        <v/>
      </c>
      <c r="F278" s="4" t="str">
        <f>IF(Respostas_Brutas!B278="","",IFERROR(N(Respostas_Brutas!Y278)/N(Respostas_Brutas!Z278),""))</f>
        <v/>
      </c>
      <c r="G278" s="4" t="str">
        <f>IF(Respostas_Brutas!B278="","",IF(Respostas_Brutas!K278&lt;&gt;"",1,0))</f>
        <v/>
      </c>
      <c r="H278" s="4" t="str">
        <f>IF(Respostas_Brutas!B278="","",IF(ISNUMBER(SEARCH("Não",Respostas_Brutas!AH278)),1,0))</f>
        <v/>
      </c>
      <c r="I278" s="4" t="str">
        <f>IF(Respostas_Brutas!B278="","",IF(ISNUMBER(SEARCH("Sim",Respostas_Brutas!AL278)),1,0))</f>
        <v/>
      </c>
      <c r="J278" s="4" t="str">
        <f>IF(Respostas_Brutas!B278="","",IF(Respostas_Brutas!AN278="","",MIN(1,MAX(0,(N(Respostas_Brutas!AN278)-1)/4))))</f>
        <v/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tr">
        <f>IF(Respostas_Brutas!B279="","",Respostas_Brutas!B279)</f>
        <v/>
      </c>
      <c r="B279" s="4" t="str">
        <f>IF(Respostas_Brutas!B279="","",IFERROR(IF(IFERROR(VALUE(TRIM(SUBSTITUTE(SUBSTITUTE(SUBSTITUTE(TRIM(Respostas_Brutas!AS279),"R$",""),".",""),",","."))),0)=0,"",(IFERROR(VALUE(TRIM(SUBSTITUTE(SUBSTITUTE(SUBSTITUTE(TRIM(Respostas_Brutas!AS279),"R$",""),".",""),",","."))),0)-IFERROR(VALUE(TRIM(SUBSTITUTE(SUBSTITUTE(SUBSTITUTE(TRIM(Respostas_Brutas!T279),"R$",""),".",""),",","."))),0))/IFERROR(VALUE(TRIM(SUBSTITUTE(SUBSTITUTE(SUBSTITUTE(TRIM(Respostas_Brutas!AS279),"R$",""),".",""),",","."))),0)),""))</f>
        <v/>
      </c>
      <c r="C279" s="4" t="str">
        <f>IF(Respostas_Brutas!B279="","",MIN(1,(IFERROR(VALUE(LEFT(Respostas_Brutas!I279,IFERROR(FIND(" ",Respostas_Brutas!I279)-1,LEN(Respostas_Brutas!I279)))),0)+IFERROR(VALUE(LEFT(Respostas_Brutas!O279,IFERROR(FIND(" ",Respostas_Brutas!O279)-1,LEN(Respostas_Brutas!O279)))),0))/20))</f>
        <v/>
      </c>
      <c r="D279" s="4" t="str">
        <f>IF(Respostas_Brutas!B279="","",IF(Respostas_Brutas!D279="","",MIN(1,MAX(0,(YEAR(TODAY())-N(Respostas_Brutas!D279))/15))))</f>
        <v/>
      </c>
      <c r="E279" s="4" t="str">
        <f>IF(Respostas_Brutas!B279="","",IF(ISNUMBER(SEARCH("Sim",Respostas_Brutas!S279)),1,0))</f>
        <v/>
      </c>
      <c r="F279" s="4" t="str">
        <f>IF(Respostas_Brutas!B279="","",IFERROR(N(Respostas_Brutas!Y279)/N(Respostas_Brutas!Z279),""))</f>
        <v/>
      </c>
      <c r="G279" s="4" t="str">
        <f>IF(Respostas_Brutas!B279="","",IF(Respostas_Brutas!K279&lt;&gt;"",1,0))</f>
        <v/>
      </c>
      <c r="H279" s="4" t="str">
        <f>IF(Respostas_Brutas!B279="","",IF(ISNUMBER(SEARCH("Não",Respostas_Brutas!AH279)),1,0))</f>
        <v/>
      </c>
      <c r="I279" s="4" t="str">
        <f>IF(Respostas_Brutas!B279="","",IF(ISNUMBER(SEARCH("Sim",Respostas_Brutas!AL279)),1,0))</f>
        <v/>
      </c>
      <c r="J279" s="4" t="str">
        <f>IF(Respostas_Brutas!B279="","",IF(Respostas_Brutas!AN279="","",MIN(1,MAX(0,(N(Respostas_Brutas!AN279)-1)/4))))</f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tr">
        <f>IF(Respostas_Brutas!B280="","",Respostas_Brutas!B280)</f>
        <v/>
      </c>
      <c r="B280" s="4" t="str">
        <f>IF(Respostas_Brutas!B280="","",IFERROR(IF(IFERROR(VALUE(TRIM(SUBSTITUTE(SUBSTITUTE(SUBSTITUTE(TRIM(Respostas_Brutas!AS280),"R$",""),".",""),",","."))),0)=0,"",(IFERROR(VALUE(TRIM(SUBSTITUTE(SUBSTITUTE(SUBSTITUTE(TRIM(Respostas_Brutas!AS280),"R$",""),".",""),",","."))),0)-IFERROR(VALUE(TRIM(SUBSTITUTE(SUBSTITUTE(SUBSTITUTE(TRIM(Respostas_Brutas!T280),"R$",""),".",""),",","."))),0))/IFERROR(VALUE(TRIM(SUBSTITUTE(SUBSTITUTE(SUBSTITUTE(TRIM(Respostas_Brutas!AS280),"R$",""),".",""),",","."))),0)),""))</f>
        <v/>
      </c>
      <c r="C280" s="4" t="str">
        <f>IF(Respostas_Brutas!B280="","",MIN(1,(IFERROR(VALUE(LEFT(Respostas_Brutas!I280,IFERROR(FIND(" ",Respostas_Brutas!I280)-1,LEN(Respostas_Brutas!I280)))),0)+IFERROR(VALUE(LEFT(Respostas_Brutas!O280,IFERROR(FIND(" ",Respostas_Brutas!O280)-1,LEN(Respostas_Brutas!O280)))),0))/20))</f>
        <v/>
      </c>
      <c r="D280" s="4" t="str">
        <f>IF(Respostas_Brutas!B280="","",IF(Respostas_Brutas!D280="","",MIN(1,MAX(0,(YEAR(TODAY())-N(Respostas_Brutas!D280))/15))))</f>
        <v/>
      </c>
      <c r="E280" s="4" t="str">
        <f>IF(Respostas_Brutas!B280="","",IF(ISNUMBER(SEARCH("Sim",Respostas_Brutas!S280)),1,0))</f>
        <v/>
      </c>
      <c r="F280" s="4" t="str">
        <f>IF(Respostas_Brutas!B280="","",IFERROR(N(Respostas_Brutas!Y280)/N(Respostas_Brutas!Z280),""))</f>
        <v/>
      </c>
      <c r="G280" s="4" t="str">
        <f>IF(Respostas_Brutas!B280="","",IF(Respostas_Brutas!K280&lt;&gt;"",1,0))</f>
        <v/>
      </c>
      <c r="H280" s="4" t="str">
        <f>IF(Respostas_Brutas!B280="","",IF(ISNUMBER(SEARCH("Não",Respostas_Brutas!AH280)),1,0))</f>
        <v/>
      </c>
      <c r="I280" s="4" t="str">
        <f>IF(Respostas_Brutas!B280="","",IF(ISNUMBER(SEARCH("Sim",Respostas_Brutas!AL280)),1,0))</f>
        <v/>
      </c>
      <c r="J280" s="4" t="str">
        <f>IF(Respostas_Brutas!B280="","",IF(Respostas_Brutas!AN280="","",MIN(1,MAX(0,(N(Respostas_Brutas!AN280)-1)/4))))</f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tr">
        <f>IF(Respostas_Brutas!B281="","",Respostas_Brutas!B281)</f>
        <v/>
      </c>
      <c r="B281" s="4" t="str">
        <f>IF(Respostas_Brutas!B281="","",IFERROR(IF(IFERROR(VALUE(TRIM(SUBSTITUTE(SUBSTITUTE(SUBSTITUTE(TRIM(Respostas_Brutas!AS281),"R$",""),".",""),",","."))),0)=0,"",(IFERROR(VALUE(TRIM(SUBSTITUTE(SUBSTITUTE(SUBSTITUTE(TRIM(Respostas_Brutas!AS281),"R$",""),".",""),",","."))),0)-IFERROR(VALUE(TRIM(SUBSTITUTE(SUBSTITUTE(SUBSTITUTE(TRIM(Respostas_Brutas!T281),"R$",""),".",""),",","."))),0))/IFERROR(VALUE(TRIM(SUBSTITUTE(SUBSTITUTE(SUBSTITUTE(TRIM(Respostas_Brutas!AS281),"R$",""),".",""),",","."))),0)),""))</f>
        <v/>
      </c>
      <c r="C281" s="4" t="str">
        <f>IF(Respostas_Brutas!B281="","",MIN(1,(IFERROR(VALUE(LEFT(Respostas_Brutas!I281,IFERROR(FIND(" ",Respostas_Brutas!I281)-1,LEN(Respostas_Brutas!I281)))),0)+IFERROR(VALUE(LEFT(Respostas_Brutas!O281,IFERROR(FIND(" ",Respostas_Brutas!O281)-1,LEN(Respostas_Brutas!O281)))),0))/20))</f>
        <v/>
      </c>
      <c r="D281" s="4" t="str">
        <f>IF(Respostas_Brutas!B281="","",IF(Respostas_Brutas!D281="","",MIN(1,MAX(0,(YEAR(TODAY())-N(Respostas_Brutas!D281))/15))))</f>
        <v/>
      </c>
      <c r="E281" s="4" t="str">
        <f>IF(Respostas_Brutas!B281="","",IF(ISNUMBER(SEARCH("Sim",Respostas_Brutas!S281)),1,0))</f>
        <v/>
      </c>
      <c r="F281" s="4" t="str">
        <f>IF(Respostas_Brutas!B281="","",IFERROR(N(Respostas_Brutas!Y281)/N(Respostas_Brutas!Z281),""))</f>
        <v/>
      </c>
      <c r="G281" s="4" t="str">
        <f>IF(Respostas_Brutas!B281="","",IF(Respostas_Brutas!K281&lt;&gt;"",1,0))</f>
        <v/>
      </c>
      <c r="H281" s="4" t="str">
        <f>IF(Respostas_Brutas!B281="","",IF(ISNUMBER(SEARCH("Não",Respostas_Brutas!AH281)),1,0))</f>
        <v/>
      </c>
      <c r="I281" s="4" t="str">
        <f>IF(Respostas_Brutas!B281="","",IF(ISNUMBER(SEARCH("Sim",Respostas_Brutas!AL281)),1,0))</f>
        <v/>
      </c>
      <c r="J281" s="4" t="str">
        <f>IF(Respostas_Brutas!B281="","",IF(Respostas_Brutas!AN281="","",MIN(1,MAX(0,(N(Respostas_Brutas!AN281)-1)/4))))</f>
        <v/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tr">
        <f>IF(Respostas_Brutas!B282="","",Respostas_Brutas!B282)</f>
        <v/>
      </c>
      <c r="B282" s="4" t="str">
        <f>IF(Respostas_Brutas!B282="","",IFERROR(IF(IFERROR(VALUE(TRIM(SUBSTITUTE(SUBSTITUTE(SUBSTITUTE(TRIM(Respostas_Brutas!AS282),"R$",""),".",""),",","."))),0)=0,"",(IFERROR(VALUE(TRIM(SUBSTITUTE(SUBSTITUTE(SUBSTITUTE(TRIM(Respostas_Brutas!AS282),"R$",""),".",""),",","."))),0)-IFERROR(VALUE(TRIM(SUBSTITUTE(SUBSTITUTE(SUBSTITUTE(TRIM(Respostas_Brutas!T282),"R$",""),".",""),",","."))),0))/IFERROR(VALUE(TRIM(SUBSTITUTE(SUBSTITUTE(SUBSTITUTE(TRIM(Respostas_Brutas!AS282),"R$",""),".",""),",","."))),0)),""))</f>
        <v/>
      </c>
      <c r="C282" s="4" t="str">
        <f>IF(Respostas_Brutas!B282="","",MIN(1,(IFERROR(VALUE(LEFT(Respostas_Brutas!I282,IFERROR(FIND(" ",Respostas_Brutas!I282)-1,LEN(Respostas_Brutas!I282)))),0)+IFERROR(VALUE(LEFT(Respostas_Brutas!O282,IFERROR(FIND(" ",Respostas_Brutas!O282)-1,LEN(Respostas_Brutas!O282)))),0))/20))</f>
        <v/>
      </c>
      <c r="D282" s="4" t="str">
        <f>IF(Respostas_Brutas!B282="","",IF(Respostas_Brutas!D282="","",MIN(1,MAX(0,(YEAR(TODAY())-N(Respostas_Brutas!D282))/15))))</f>
        <v/>
      </c>
      <c r="E282" s="4" t="str">
        <f>IF(Respostas_Brutas!B282="","",IF(ISNUMBER(SEARCH("Sim",Respostas_Brutas!S282)),1,0))</f>
        <v/>
      </c>
      <c r="F282" s="4" t="str">
        <f>IF(Respostas_Brutas!B282="","",IFERROR(N(Respostas_Brutas!Y282)/N(Respostas_Brutas!Z282),""))</f>
        <v/>
      </c>
      <c r="G282" s="4" t="str">
        <f>IF(Respostas_Brutas!B282="","",IF(Respostas_Brutas!K282&lt;&gt;"",1,0))</f>
        <v/>
      </c>
      <c r="H282" s="4" t="str">
        <f>IF(Respostas_Brutas!B282="","",IF(ISNUMBER(SEARCH("Não",Respostas_Brutas!AH282)),1,0))</f>
        <v/>
      </c>
      <c r="I282" s="4" t="str">
        <f>IF(Respostas_Brutas!B282="","",IF(ISNUMBER(SEARCH("Sim",Respostas_Brutas!AL282)),1,0))</f>
        <v/>
      </c>
      <c r="J282" s="4" t="str">
        <f>IF(Respostas_Brutas!B282="","",IF(Respostas_Brutas!AN282="","",MIN(1,MAX(0,(N(Respostas_Brutas!AN282)-1)/4))))</f>
        <v/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tr">
        <f>IF(Respostas_Brutas!B283="","",Respostas_Brutas!B283)</f>
        <v/>
      </c>
      <c r="B283" s="4" t="str">
        <f>IF(Respostas_Brutas!B283="","",IFERROR(IF(IFERROR(VALUE(TRIM(SUBSTITUTE(SUBSTITUTE(SUBSTITUTE(TRIM(Respostas_Brutas!AS283),"R$",""),".",""),",","."))),0)=0,"",(IFERROR(VALUE(TRIM(SUBSTITUTE(SUBSTITUTE(SUBSTITUTE(TRIM(Respostas_Brutas!AS283),"R$",""),".",""),",","."))),0)-IFERROR(VALUE(TRIM(SUBSTITUTE(SUBSTITUTE(SUBSTITUTE(TRIM(Respostas_Brutas!T283),"R$",""),".",""),",","."))),0))/IFERROR(VALUE(TRIM(SUBSTITUTE(SUBSTITUTE(SUBSTITUTE(TRIM(Respostas_Brutas!AS283),"R$",""),".",""),",","."))),0)),""))</f>
        <v/>
      </c>
      <c r="C283" s="4" t="str">
        <f>IF(Respostas_Brutas!B283="","",MIN(1,(IFERROR(VALUE(LEFT(Respostas_Brutas!I283,IFERROR(FIND(" ",Respostas_Brutas!I283)-1,LEN(Respostas_Brutas!I283)))),0)+IFERROR(VALUE(LEFT(Respostas_Brutas!O283,IFERROR(FIND(" ",Respostas_Brutas!O283)-1,LEN(Respostas_Brutas!O283)))),0))/20))</f>
        <v/>
      </c>
      <c r="D283" s="4" t="str">
        <f>IF(Respostas_Brutas!B283="","",IF(Respostas_Brutas!D283="","",MIN(1,MAX(0,(YEAR(TODAY())-N(Respostas_Brutas!D283))/15))))</f>
        <v/>
      </c>
      <c r="E283" s="4" t="str">
        <f>IF(Respostas_Brutas!B283="","",IF(ISNUMBER(SEARCH("Sim",Respostas_Brutas!S283)),1,0))</f>
        <v/>
      </c>
      <c r="F283" s="4" t="str">
        <f>IF(Respostas_Brutas!B283="","",IFERROR(N(Respostas_Brutas!Y283)/N(Respostas_Brutas!Z283),""))</f>
        <v/>
      </c>
      <c r="G283" s="4" t="str">
        <f>IF(Respostas_Brutas!B283="","",IF(Respostas_Brutas!K283&lt;&gt;"",1,0))</f>
        <v/>
      </c>
      <c r="H283" s="4" t="str">
        <f>IF(Respostas_Brutas!B283="","",IF(ISNUMBER(SEARCH("Não",Respostas_Brutas!AH283)),1,0))</f>
        <v/>
      </c>
      <c r="I283" s="4" t="str">
        <f>IF(Respostas_Brutas!B283="","",IF(ISNUMBER(SEARCH("Sim",Respostas_Brutas!AL283)),1,0))</f>
        <v/>
      </c>
      <c r="J283" s="4" t="str">
        <f>IF(Respostas_Brutas!B283="","",IF(Respostas_Brutas!AN283="","",MIN(1,MAX(0,(N(Respostas_Brutas!AN283)-1)/4))))</f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tr">
        <f>IF(Respostas_Brutas!B284="","",Respostas_Brutas!B284)</f>
        <v/>
      </c>
      <c r="B284" s="4" t="str">
        <f>IF(Respostas_Brutas!B284="","",IFERROR(IF(IFERROR(VALUE(TRIM(SUBSTITUTE(SUBSTITUTE(SUBSTITUTE(TRIM(Respostas_Brutas!AS284),"R$",""),".",""),",","."))),0)=0,"",(IFERROR(VALUE(TRIM(SUBSTITUTE(SUBSTITUTE(SUBSTITUTE(TRIM(Respostas_Brutas!AS284),"R$",""),".",""),",","."))),0)-IFERROR(VALUE(TRIM(SUBSTITUTE(SUBSTITUTE(SUBSTITUTE(TRIM(Respostas_Brutas!T284),"R$",""),".",""),",","."))),0))/IFERROR(VALUE(TRIM(SUBSTITUTE(SUBSTITUTE(SUBSTITUTE(TRIM(Respostas_Brutas!AS284),"R$",""),".",""),",","."))),0)),""))</f>
        <v/>
      </c>
      <c r="C284" s="4" t="str">
        <f>IF(Respostas_Brutas!B284="","",MIN(1,(IFERROR(VALUE(LEFT(Respostas_Brutas!I284,IFERROR(FIND(" ",Respostas_Brutas!I284)-1,LEN(Respostas_Brutas!I284)))),0)+IFERROR(VALUE(LEFT(Respostas_Brutas!O284,IFERROR(FIND(" ",Respostas_Brutas!O284)-1,LEN(Respostas_Brutas!O284)))),0))/20))</f>
        <v/>
      </c>
      <c r="D284" s="4" t="str">
        <f>IF(Respostas_Brutas!B284="","",IF(Respostas_Brutas!D284="","",MIN(1,MAX(0,(YEAR(TODAY())-N(Respostas_Brutas!D284))/15))))</f>
        <v/>
      </c>
      <c r="E284" s="4" t="str">
        <f>IF(Respostas_Brutas!B284="","",IF(ISNUMBER(SEARCH("Sim",Respostas_Brutas!S284)),1,0))</f>
        <v/>
      </c>
      <c r="F284" s="4" t="str">
        <f>IF(Respostas_Brutas!B284="","",IFERROR(N(Respostas_Brutas!Y284)/N(Respostas_Brutas!Z284),""))</f>
        <v/>
      </c>
      <c r="G284" s="4" t="str">
        <f>IF(Respostas_Brutas!B284="","",IF(Respostas_Brutas!K284&lt;&gt;"",1,0))</f>
        <v/>
      </c>
      <c r="H284" s="4" t="str">
        <f>IF(Respostas_Brutas!B284="","",IF(ISNUMBER(SEARCH("Não",Respostas_Brutas!AH284)),1,0))</f>
        <v/>
      </c>
      <c r="I284" s="4" t="str">
        <f>IF(Respostas_Brutas!B284="","",IF(ISNUMBER(SEARCH("Sim",Respostas_Brutas!AL284)),1,0))</f>
        <v/>
      </c>
      <c r="J284" s="4" t="str">
        <f>IF(Respostas_Brutas!B284="","",IF(Respostas_Brutas!AN284="","",MIN(1,MAX(0,(N(Respostas_Brutas!AN284)-1)/4))))</f>
        <v/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tr">
        <f>IF(Respostas_Brutas!B285="","",Respostas_Brutas!B285)</f>
        <v/>
      </c>
      <c r="B285" s="4" t="str">
        <f>IF(Respostas_Brutas!B285="","",IFERROR(IF(IFERROR(VALUE(TRIM(SUBSTITUTE(SUBSTITUTE(SUBSTITUTE(TRIM(Respostas_Brutas!AS285),"R$",""),".",""),",","."))),0)=0,"",(IFERROR(VALUE(TRIM(SUBSTITUTE(SUBSTITUTE(SUBSTITUTE(TRIM(Respostas_Brutas!AS285),"R$",""),".",""),",","."))),0)-IFERROR(VALUE(TRIM(SUBSTITUTE(SUBSTITUTE(SUBSTITUTE(TRIM(Respostas_Brutas!T285),"R$",""),".",""),",","."))),0))/IFERROR(VALUE(TRIM(SUBSTITUTE(SUBSTITUTE(SUBSTITUTE(TRIM(Respostas_Brutas!AS285),"R$",""),".",""),",","."))),0)),""))</f>
        <v/>
      </c>
      <c r="C285" s="4" t="str">
        <f>IF(Respostas_Brutas!B285="","",MIN(1,(IFERROR(VALUE(LEFT(Respostas_Brutas!I285,IFERROR(FIND(" ",Respostas_Brutas!I285)-1,LEN(Respostas_Brutas!I285)))),0)+IFERROR(VALUE(LEFT(Respostas_Brutas!O285,IFERROR(FIND(" ",Respostas_Brutas!O285)-1,LEN(Respostas_Brutas!O285)))),0))/20))</f>
        <v/>
      </c>
      <c r="D285" s="4" t="str">
        <f>IF(Respostas_Brutas!B285="","",IF(Respostas_Brutas!D285="","",MIN(1,MAX(0,(YEAR(TODAY())-N(Respostas_Brutas!D285))/15))))</f>
        <v/>
      </c>
      <c r="E285" s="4" t="str">
        <f>IF(Respostas_Brutas!B285="","",IF(ISNUMBER(SEARCH("Sim",Respostas_Brutas!S285)),1,0))</f>
        <v/>
      </c>
      <c r="F285" s="4" t="str">
        <f>IF(Respostas_Brutas!B285="","",IFERROR(N(Respostas_Brutas!Y285)/N(Respostas_Brutas!Z285),""))</f>
        <v/>
      </c>
      <c r="G285" s="4" t="str">
        <f>IF(Respostas_Brutas!B285="","",IF(Respostas_Brutas!K285&lt;&gt;"",1,0))</f>
        <v/>
      </c>
      <c r="H285" s="4" t="str">
        <f>IF(Respostas_Brutas!B285="","",IF(ISNUMBER(SEARCH("Não",Respostas_Brutas!AH285)),1,0))</f>
        <v/>
      </c>
      <c r="I285" s="4" t="str">
        <f>IF(Respostas_Brutas!B285="","",IF(ISNUMBER(SEARCH("Sim",Respostas_Brutas!AL285)),1,0))</f>
        <v/>
      </c>
      <c r="J285" s="4" t="str">
        <f>IF(Respostas_Brutas!B285="","",IF(Respostas_Brutas!AN285="","",MIN(1,MAX(0,(N(Respostas_Brutas!AN285)-1)/4))))</f>
        <v/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tr">
        <f>IF(Respostas_Brutas!B286="","",Respostas_Brutas!B286)</f>
        <v/>
      </c>
      <c r="B286" s="4" t="str">
        <f>IF(Respostas_Brutas!B286="","",IFERROR(IF(IFERROR(VALUE(TRIM(SUBSTITUTE(SUBSTITUTE(SUBSTITUTE(TRIM(Respostas_Brutas!AS286),"R$",""),".",""),",","."))),0)=0,"",(IFERROR(VALUE(TRIM(SUBSTITUTE(SUBSTITUTE(SUBSTITUTE(TRIM(Respostas_Brutas!AS286),"R$",""),".",""),",","."))),0)-IFERROR(VALUE(TRIM(SUBSTITUTE(SUBSTITUTE(SUBSTITUTE(TRIM(Respostas_Brutas!T286),"R$",""),".",""),",","."))),0))/IFERROR(VALUE(TRIM(SUBSTITUTE(SUBSTITUTE(SUBSTITUTE(TRIM(Respostas_Brutas!AS286),"R$",""),".",""),",","."))),0)),""))</f>
        <v/>
      </c>
      <c r="C286" s="4" t="str">
        <f>IF(Respostas_Brutas!B286="","",MIN(1,(IFERROR(VALUE(LEFT(Respostas_Brutas!I286,IFERROR(FIND(" ",Respostas_Brutas!I286)-1,LEN(Respostas_Brutas!I286)))),0)+IFERROR(VALUE(LEFT(Respostas_Brutas!O286,IFERROR(FIND(" ",Respostas_Brutas!O286)-1,LEN(Respostas_Brutas!O286)))),0))/20))</f>
        <v/>
      </c>
      <c r="D286" s="4" t="str">
        <f>IF(Respostas_Brutas!B286="","",IF(Respostas_Brutas!D286="","",MIN(1,MAX(0,(YEAR(TODAY())-N(Respostas_Brutas!D286))/15))))</f>
        <v/>
      </c>
      <c r="E286" s="4" t="str">
        <f>IF(Respostas_Brutas!B286="","",IF(ISNUMBER(SEARCH("Sim",Respostas_Brutas!S286)),1,0))</f>
        <v/>
      </c>
      <c r="F286" s="4" t="str">
        <f>IF(Respostas_Brutas!B286="","",IFERROR(N(Respostas_Brutas!Y286)/N(Respostas_Brutas!Z286),""))</f>
        <v/>
      </c>
      <c r="G286" s="4" t="str">
        <f>IF(Respostas_Brutas!B286="","",IF(Respostas_Brutas!K286&lt;&gt;"",1,0))</f>
        <v/>
      </c>
      <c r="H286" s="4" t="str">
        <f>IF(Respostas_Brutas!B286="","",IF(ISNUMBER(SEARCH("Não",Respostas_Brutas!AH286)),1,0))</f>
        <v/>
      </c>
      <c r="I286" s="4" t="str">
        <f>IF(Respostas_Brutas!B286="","",IF(ISNUMBER(SEARCH("Sim",Respostas_Brutas!AL286)),1,0))</f>
        <v/>
      </c>
      <c r="J286" s="4" t="str">
        <f>IF(Respostas_Brutas!B286="","",IF(Respostas_Brutas!AN286="","",MIN(1,MAX(0,(N(Respostas_Brutas!AN286)-1)/4))))</f>
        <v/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tr">
        <f>IF(Respostas_Brutas!B287="","",Respostas_Brutas!B287)</f>
        <v/>
      </c>
      <c r="B287" s="4" t="str">
        <f>IF(Respostas_Brutas!B287="","",IFERROR(IF(IFERROR(VALUE(TRIM(SUBSTITUTE(SUBSTITUTE(SUBSTITUTE(TRIM(Respostas_Brutas!AS287),"R$",""),".",""),",","."))),0)=0,"",(IFERROR(VALUE(TRIM(SUBSTITUTE(SUBSTITUTE(SUBSTITUTE(TRIM(Respostas_Brutas!AS287),"R$",""),".",""),",","."))),0)-IFERROR(VALUE(TRIM(SUBSTITUTE(SUBSTITUTE(SUBSTITUTE(TRIM(Respostas_Brutas!T287),"R$",""),".",""),",","."))),0))/IFERROR(VALUE(TRIM(SUBSTITUTE(SUBSTITUTE(SUBSTITUTE(TRIM(Respostas_Brutas!AS287),"R$",""),".",""),",","."))),0)),""))</f>
        <v/>
      </c>
      <c r="C287" s="4" t="str">
        <f>IF(Respostas_Brutas!B287="","",MIN(1,(IFERROR(VALUE(LEFT(Respostas_Brutas!I287,IFERROR(FIND(" ",Respostas_Brutas!I287)-1,LEN(Respostas_Brutas!I287)))),0)+IFERROR(VALUE(LEFT(Respostas_Brutas!O287,IFERROR(FIND(" ",Respostas_Brutas!O287)-1,LEN(Respostas_Brutas!O287)))),0))/20))</f>
        <v/>
      </c>
      <c r="D287" s="4" t="str">
        <f>IF(Respostas_Brutas!B287="","",IF(Respostas_Brutas!D287="","",MIN(1,MAX(0,(YEAR(TODAY())-N(Respostas_Brutas!D287))/15))))</f>
        <v/>
      </c>
      <c r="E287" s="4" t="str">
        <f>IF(Respostas_Brutas!B287="","",IF(ISNUMBER(SEARCH("Sim",Respostas_Brutas!S287)),1,0))</f>
        <v/>
      </c>
      <c r="F287" s="4" t="str">
        <f>IF(Respostas_Brutas!B287="","",IFERROR(N(Respostas_Brutas!Y287)/N(Respostas_Brutas!Z287),""))</f>
        <v/>
      </c>
      <c r="G287" s="4" t="str">
        <f>IF(Respostas_Brutas!B287="","",IF(Respostas_Brutas!K287&lt;&gt;"",1,0))</f>
        <v/>
      </c>
      <c r="H287" s="4" t="str">
        <f>IF(Respostas_Brutas!B287="","",IF(ISNUMBER(SEARCH("Não",Respostas_Brutas!AH287)),1,0))</f>
        <v/>
      </c>
      <c r="I287" s="4" t="str">
        <f>IF(Respostas_Brutas!B287="","",IF(ISNUMBER(SEARCH("Sim",Respostas_Brutas!AL287)),1,0))</f>
        <v/>
      </c>
      <c r="J287" s="4" t="str">
        <f>IF(Respostas_Brutas!B287="","",IF(Respostas_Brutas!AN287="","",MIN(1,MAX(0,(N(Respostas_Brutas!AN287)-1)/4))))</f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tr">
        <f>IF(Respostas_Brutas!B288="","",Respostas_Brutas!B288)</f>
        <v/>
      </c>
      <c r="B288" s="4" t="str">
        <f>IF(Respostas_Brutas!B288="","",IFERROR(IF(IFERROR(VALUE(TRIM(SUBSTITUTE(SUBSTITUTE(SUBSTITUTE(TRIM(Respostas_Brutas!AS288),"R$",""),".",""),",","."))),0)=0,"",(IFERROR(VALUE(TRIM(SUBSTITUTE(SUBSTITUTE(SUBSTITUTE(TRIM(Respostas_Brutas!AS288),"R$",""),".",""),",","."))),0)-IFERROR(VALUE(TRIM(SUBSTITUTE(SUBSTITUTE(SUBSTITUTE(TRIM(Respostas_Brutas!T288),"R$",""),".",""),",","."))),0))/IFERROR(VALUE(TRIM(SUBSTITUTE(SUBSTITUTE(SUBSTITUTE(TRIM(Respostas_Brutas!AS288),"R$",""),".",""),",","."))),0)),""))</f>
        <v/>
      </c>
      <c r="C288" s="4" t="str">
        <f>IF(Respostas_Brutas!B288="","",MIN(1,(IFERROR(VALUE(LEFT(Respostas_Brutas!I288,IFERROR(FIND(" ",Respostas_Brutas!I288)-1,LEN(Respostas_Brutas!I288)))),0)+IFERROR(VALUE(LEFT(Respostas_Brutas!O288,IFERROR(FIND(" ",Respostas_Brutas!O288)-1,LEN(Respostas_Brutas!O288)))),0))/20))</f>
        <v/>
      </c>
      <c r="D288" s="4" t="str">
        <f>IF(Respostas_Brutas!B288="","",IF(Respostas_Brutas!D288="","",MIN(1,MAX(0,(YEAR(TODAY())-N(Respostas_Brutas!D288))/15))))</f>
        <v/>
      </c>
      <c r="E288" s="4" t="str">
        <f>IF(Respostas_Brutas!B288="","",IF(ISNUMBER(SEARCH("Sim",Respostas_Brutas!S288)),1,0))</f>
        <v/>
      </c>
      <c r="F288" s="4" t="str">
        <f>IF(Respostas_Brutas!B288="","",IFERROR(N(Respostas_Brutas!Y288)/N(Respostas_Brutas!Z288),""))</f>
        <v/>
      </c>
      <c r="G288" s="4" t="str">
        <f>IF(Respostas_Brutas!B288="","",IF(Respostas_Brutas!K288&lt;&gt;"",1,0))</f>
        <v/>
      </c>
      <c r="H288" s="4" t="str">
        <f>IF(Respostas_Brutas!B288="","",IF(ISNUMBER(SEARCH("Não",Respostas_Brutas!AH288)),1,0))</f>
        <v/>
      </c>
      <c r="I288" s="4" t="str">
        <f>IF(Respostas_Brutas!B288="","",IF(ISNUMBER(SEARCH("Sim",Respostas_Brutas!AL288)),1,0))</f>
        <v/>
      </c>
      <c r="J288" s="4" t="str">
        <f>IF(Respostas_Brutas!B288="","",IF(Respostas_Brutas!AN288="","",MIN(1,MAX(0,(N(Respostas_Brutas!AN288)-1)/4))))</f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tr">
        <f>IF(Respostas_Brutas!B289="","",Respostas_Brutas!B289)</f>
        <v/>
      </c>
      <c r="B289" s="4" t="str">
        <f>IF(Respostas_Brutas!B289="","",IFERROR(IF(IFERROR(VALUE(TRIM(SUBSTITUTE(SUBSTITUTE(SUBSTITUTE(TRIM(Respostas_Brutas!AS289),"R$",""),".",""),",","."))),0)=0,"",(IFERROR(VALUE(TRIM(SUBSTITUTE(SUBSTITUTE(SUBSTITUTE(TRIM(Respostas_Brutas!AS289),"R$",""),".",""),",","."))),0)-IFERROR(VALUE(TRIM(SUBSTITUTE(SUBSTITUTE(SUBSTITUTE(TRIM(Respostas_Brutas!T289),"R$",""),".",""),",","."))),0))/IFERROR(VALUE(TRIM(SUBSTITUTE(SUBSTITUTE(SUBSTITUTE(TRIM(Respostas_Brutas!AS289),"R$",""),".",""),",","."))),0)),""))</f>
        <v/>
      </c>
      <c r="C289" s="4" t="str">
        <f>IF(Respostas_Brutas!B289="","",MIN(1,(IFERROR(VALUE(LEFT(Respostas_Brutas!I289,IFERROR(FIND(" ",Respostas_Brutas!I289)-1,LEN(Respostas_Brutas!I289)))),0)+IFERROR(VALUE(LEFT(Respostas_Brutas!O289,IFERROR(FIND(" ",Respostas_Brutas!O289)-1,LEN(Respostas_Brutas!O289)))),0))/20))</f>
        <v/>
      </c>
      <c r="D289" s="4" t="str">
        <f>IF(Respostas_Brutas!B289="","",IF(Respostas_Brutas!D289="","",MIN(1,MAX(0,(YEAR(TODAY())-N(Respostas_Brutas!D289))/15))))</f>
        <v/>
      </c>
      <c r="E289" s="4" t="str">
        <f>IF(Respostas_Brutas!B289="","",IF(ISNUMBER(SEARCH("Sim",Respostas_Brutas!S289)),1,0))</f>
        <v/>
      </c>
      <c r="F289" s="4" t="str">
        <f>IF(Respostas_Brutas!B289="","",IFERROR(N(Respostas_Brutas!Y289)/N(Respostas_Brutas!Z289),""))</f>
        <v/>
      </c>
      <c r="G289" s="4" t="str">
        <f>IF(Respostas_Brutas!B289="","",IF(Respostas_Brutas!K289&lt;&gt;"",1,0))</f>
        <v/>
      </c>
      <c r="H289" s="4" t="str">
        <f>IF(Respostas_Brutas!B289="","",IF(ISNUMBER(SEARCH("Não",Respostas_Brutas!AH289)),1,0))</f>
        <v/>
      </c>
      <c r="I289" s="4" t="str">
        <f>IF(Respostas_Brutas!B289="","",IF(ISNUMBER(SEARCH("Sim",Respostas_Brutas!AL289)),1,0))</f>
        <v/>
      </c>
      <c r="J289" s="4" t="str">
        <f>IF(Respostas_Brutas!B289="","",IF(Respostas_Brutas!AN289="","",MIN(1,MAX(0,(N(Respostas_Brutas!AN289)-1)/4))))</f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tr">
        <f>IF(Respostas_Brutas!B290="","",Respostas_Brutas!B290)</f>
        <v/>
      </c>
      <c r="B290" s="4" t="str">
        <f>IF(Respostas_Brutas!B290="","",IFERROR(IF(IFERROR(VALUE(TRIM(SUBSTITUTE(SUBSTITUTE(SUBSTITUTE(TRIM(Respostas_Brutas!AS290),"R$",""),".",""),",","."))),0)=0,"",(IFERROR(VALUE(TRIM(SUBSTITUTE(SUBSTITUTE(SUBSTITUTE(TRIM(Respostas_Brutas!AS290),"R$",""),".",""),",","."))),0)-IFERROR(VALUE(TRIM(SUBSTITUTE(SUBSTITUTE(SUBSTITUTE(TRIM(Respostas_Brutas!T290),"R$",""),".",""),",","."))),0))/IFERROR(VALUE(TRIM(SUBSTITUTE(SUBSTITUTE(SUBSTITUTE(TRIM(Respostas_Brutas!AS290),"R$",""),".",""),",","."))),0)),""))</f>
        <v/>
      </c>
      <c r="C290" s="4" t="str">
        <f>IF(Respostas_Brutas!B290="","",MIN(1,(IFERROR(VALUE(LEFT(Respostas_Brutas!I290,IFERROR(FIND(" ",Respostas_Brutas!I290)-1,LEN(Respostas_Brutas!I290)))),0)+IFERROR(VALUE(LEFT(Respostas_Brutas!O290,IFERROR(FIND(" ",Respostas_Brutas!O290)-1,LEN(Respostas_Brutas!O290)))),0))/20))</f>
        <v/>
      </c>
      <c r="D290" s="4" t="str">
        <f>IF(Respostas_Brutas!B290="","",IF(Respostas_Brutas!D290="","",MIN(1,MAX(0,(YEAR(TODAY())-N(Respostas_Brutas!D290))/15))))</f>
        <v/>
      </c>
      <c r="E290" s="4" t="str">
        <f>IF(Respostas_Brutas!B290="","",IF(ISNUMBER(SEARCH("Sim",Respostas_Brutas!S290)),1,0))</f>
        <v/>
      </c>
      <c r="F290" s="4" t="str">
        <f>IF(Respostas_Brutas!B290="","",IFERROR(N(Respostas_Brutas!Y290)/N(Respostas_Brutas!Z290),""))</f>
        <v/>
      </c>
      <c r="G290" s="4" t="str">
        <f>IF(Respostas_Brutas!B290="","",IF(Respostas_Brutas!K290&lt;&gt;"",1,0))</f>
        <v/>
      </c>
      <c r="H290" s="4" t="str">
        <f>IF(Respostas_Brutas!B290="","",IF(ISNUMBER(SEARCH("Não",Respostas_Brutas!AH290)),1,0))</f>
        <v/>
      </c>
      <c r="I290" s="4" t="str">
        <f>IF(Respostas_Brutas!B290="","",IF(ISNUMBER(SEARCH("Sim",Respostas_Brutas!AL290)),1,0))</f>
        <v/>
      </c>
      <c r="J290" s="4" t="str">
        <f>IF(Respostas_Brutas!B290="","",IF(Respostas_Brutas!AN290="","",MIN(1,MAX(0,(N(Respostas_Brutas!AN290)-1)/4))))</f>
        <v/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tr">
        <f>IF(Respostas_Brutas!B291="","",Respostas_Brutas!B291)</f>
        <v/>
      </c>
      <c r="B291" s="4" t="str">
        <f>IF(Respostas_Brutas!B291="","",IFERROR(IF(IFERROR(VALUE(TRIM(SUBSTITUTE(SUBSTITUTE(SUBSTITUTE(TRIM(Respostas_Brutas!AS291),"R$",""),".",""),",","."))),0)=0,"",(IFERROR(VALUE(TRIM(SUBSTITUTE(SUBSTITUTE(SUBSTITUTE(TRIM(Respostas_Brutas!AS291),"R$",""),".",""),",","."))),0)-IFERROR(VALUE(TRIM(SUBSTITUTE(SUBSTITUTE(SUBSTITUTE(TRIM(Respostas_Brutas!T291),"R$",""),".",""),",","."))),0))/IFERROR(VALUE(TRIM(SUBSTITUTE(SUBSTITUTE(SUBSTITUTE(TRIM(Respostas_Brutas!AS291),"R$",""),".",""),",","."))),0)),""))</f>
        <v/>
      </c>
      <c r="C291" s="4" t="str">
        <f>IF(Respostas_Brutas!B291="","",MIN(1,(IFERROR(VALUE(LEFT(Respostas_Brutas!I291,IFERROR(FIND(" ",Respostas_Brutas!I291)-1,LEN(Respostas_Brutas!I291)))),0)+IFERROR(VALUE(LEFT(Respostas_Brutas!O291,IFERROR(FIND(" ",Respostas_Brutas!O291)-1,LEN(Respostas_Brutas!O291)))),0))/20))</f>
        <v/>
      </c>
      <c r="D291" s="4" t="str">
        <f>IF(Respostas_Brutas!B291="","",IF(Respostas_Brutas!D291="","",MIN(1,MAX(0,(YEAR(TODAY())-N(Respostas_Brutas!D291))/15))))</f>
        <v/>
      </c>
      <c r="E291" s="4" t="str">
        <f>IF(Respostas_Brutas!B291="","",IF(ISNUMBER(SEARCH("Sim",Respostas_Brutas!S291)),1,0))</f>
        <v/>
      </c>
      <c r="F291" s="4" t="str">
        <f>IF(Respostas_Brutas!B291="","",IFERROR(N(Respostas_Brutas!Y291)/N(Respostas_Brutas!Z291),""))</f>
        <v/>
      </c>
      <c r="G291" s="4" t="str">
        <f>IF(Respostas_Brutas!B291="","",IF(Respostas_Brutas!K291&lt;&gt;"",1,0))</f>
        <v/>
      </c>
      <c r="H291" s="4" t="str">
        <f>IF(Respostas_Brutas!B291="","",IF(ISNUMBER(SEARCH("Não",Respostas_Brutas!AH291)),1,0))</f>
        <v/>
      </c>
      <c r="I291" s="4" t="str">
        <f>IF(Respostas_Brutas!B291="","",IF(ISNUMBER(SEARCH("Sim",Respostas_Brutas!AL291)),1,0))</f>
        <v/>
      </c>
      <c r="J291" s="4" t="str">
        <f>IF(Respostas_Brutas!B291="","",IF(Respostas_Brutas!AN291="","",MIN(1,MAX(0,(N(Respostas_Brutas!AN291)-1)/4))))</f>
        <v/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tr">
        <f>IF(Respostas_Brutas!B292="","",Respostas_Brutas!B292)</f>
        <v/>
      </c>
      <c r="B292" s="4" t="str">
        <f>IF(Respostas_Brutas!B292="","",IFERROR(IF(IFERROR(VALUE(TRIM(SUBSTITUTE(SUBSTITUTE(SUBSTITUTE(TRIM(Respostas_Brutas!AS292),"R$",""),".",""),",","."))),0)=0,"",(IFERROR(VALUE(TRIM(SUBSTITUTE(SUBSTITUTE(SUBSTITUTE(TRIM(Respostas_Brutas!AS292),"R$",""),".",""),",","."))),0)-IFERROR(VALUE(TRIM(SUBSTITUTE(SUBSTITUTE(SUBSTITUTE(TRIM(Respostas_Brutas!T292),"R$",""),".",""),",","."))),0))/IFERROR(VALUE(TRIM(SUBSTITUTE(SUBSTITUTE(SUBSTITUTE(TRIM(Respostas_Brutas!AS292),"R$",""),".",""),",","."))),0)),""))</f>
        <v/>
      </c>
      <c r="C292" s="4" t="str">
        <f>IF(Respostas_Brutas!B292="","",MIN(1,(IFERROR(VALUE(LEFT(Respostas_Brutas!I292,IFERROR(FIND(" ",Respostas_Brutas!I292)-1,LEN(Respostas_Brutas!I292)))),0)+IFERROR(VALUE(LEFT(Respostas_Brutas!O292,IFERROR(FIND(" ",Respostas_Brutas!O292)-1,LEN(Respostas_Brutas!O292)))),0))/20))</f>
        <v/>
      </c>
      <c r="D292" s="4" t="str">
        <f>IF(Respostas_Brutas!B292="","",IF(Respostas_Brutas!D292="","",MIN(1,MAX(0,(YEAR(TODAY())-N(Respostas_Brutas!D292))/15))))</f>
        <v/>
      </c>
      <c r="E292" s="4" t="str">
        <f>IF(Respostas_Brutas!B292="","",IF(ISNUMBER(SEARCH("Sim",Respostas_Brutas!S292)),1,0))</f>
        <v/>
      </c>
      <c r="F292" s="4" t="str">
        <f>IF(Respostas_Brutas!B292="","",IFERROR(N(Respostas_Brutas!Y292)/N(Respostas_Brutas!Z292),""))</f>
        <v/>
      </c>
      <c r="G292" s="4" t="str">
        <f>IF(Respostas_Brutas!B292="","",IF(Respostas_Brutas!K292&lt;&gt;"",1,0))</f>
        <v/>
      </c>
      <c r="H292" s="4" t="str">
        <f>IF(Respostas_Brutas!B292="","",IF(ISNUMBER(SEARCH("Não",Respostas_Brutas!AH292)),1,0))</f>
        <v/>
      </c>
      <c r="I292" s="4" t="str">
        <f>IF(Respostas_Brutas!B292="","",IF(ISNUMBER(SEARCH("Sim",Respostas_Brutas!AL292)),1,0))</f>
        <v/>
      </c>
      <c r="J292" s="4" t="str">
        <f>IF(Respostas_Brutas!B292="","",IF(Respostas_Brutas!AN292="","",MIN(1,MAX(0,(N(Respostas_Brutas!AN292)-1)/4))))</f>
        <v/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tr">
        <f>IF(Respostas_Brutas!B293="","",Respostas_Brutas!B293)</f>
        <v/>
      </c>
      <c r="B293" s="4" t="str">
        <f>IF(Respostas_Brutas!B293="","",IFERROR(IF(IFERROR(VALUE(TRIM(SUBSTITUTE(SUBSTITUTE(SUBSTITUTE(TRIM(Respostas_Brutas!AS293),"R$",""),".",""),",","."))),0)=0,"",(IFERROR(VALUE(TRIM(SUBSTITUTE(SUBSTITUTE(SUBSTITUTE(TRIM(Respostas_Brutas!AS293),"R$",""),".",""),",","."))),0)-IFERROR(VALUE(TRIM(SUBSTITUTE(SUBSTITUTE(SUBSTITUTE(TRIM(Respostas_Brutas!T293),"R$",""),".",""),",","."))),0))/IFERROR(VALUE(TRIM(SUBSTITUTE(SUBSTITUTE(SUBSTITUTE(TRIM(Respostas_Brutas!AS293),"R$",""),".",""),",","."))),0)),""))</f>
        <v/>
      </c>
      <c r="C293" s="4" t="str">
        <f>IF(Respostas_Brutas!B293="","",MIN(1,(IFERROR(VALUE(LEFT(Respostas_Brutas!I293,IFERROR(FIND(" ",Respostas_Brutas!I293)-1,LEN(Respostas_Brutas!I293)))),0)+IFERROR(VALUE(LEFT(Respostas_Brutas!O293,IFERROR(FIND(" ",Respostas_Brutas!O293)-1,LEN(Respostas_Brutas!O293)))),0))/20))</f>
        <v/>
      </c>
      <c r="D293" s="4" t="str">
        <f>IF(Respostas_Brutas!B293="","",IF(Respostas_Brutas!D293="","",MIN(1,MAX(0,(YEAR(TODAY())-N(Respostas_Brutas!D293))/15))))</f>
        <v/>
      </c>
      <c r="E293" s="4" t="str">
        <f>IF(Respostas_Brutas!B293="","",IF(ISNUMBER(SEARCH("Sim",Respostas_Brutas!S293)),1,0))</f>
        <v/>
      </c>
      <c r="F293" s="4" t="str">
        <f>IF(Respostas_Brutas!B293="","",IFERROR(N(Respostas_Brutas!Y293)/N(Respostas_Brutas!Z293),""))</f>
        <v/>
      </c>
      <c r="G293" s="4" t="str">
        <f>IF(Respostas_Brutas!B293="","",IF(Respostas_Brutas!K293&lt;&gt;"",1,0))</f>
        <v/>
      </c>
      <c r="H293" s="4" t="str">
        <f>IF(Respostas_Brutas!B293="","",IF(ISNUMBER(SEARCH("Não",Respostas_Brutas!AH293)),1,0))</f>
        <v/>
      </c>
      <c r="I293" s="4" t="str">
        <f>IF(Respostas_Brutas!B293="","",IF(ISNUMBER(SEARCH("Sim",Respostas_Brutas!AL293)),1,0))</f>
        <v/>
      </c>
      <c r="J293" s="4" t="str">
        <f>IF(Respostas_Brutas!B293="","",IF(Respostas_Brutas!AN293="","",MIN(1,MAX(0,(N(Respostas_Brutas!AN293)-1)/4))))</f>
        <v/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tr">
        <f>IF(Respostas_Brutas!B294="","",Respostas_Brutas!B294)</f>
        <v/>
      </c>
      <c r="B294" s="4" t="str">
        <f>IF(Respostas_Brutas!B294="","",IFERROR(IF(IFERROR(VALUE(TRIM(SUBSTITUTE(SUBSTITUTE(SUBSTITUTE(TRIM(Respostas_Brutas!AS294),"R$",""),".",""),",","."))),0)=0,"",(IFERROR(VALUE(TRIM(SUBSTITUTE(SUBSTITUTE(SUBSTITUTE(TRIM(Respostas_Brutas!AS294),"R$",""),".",""),",","."))),0)-IFERROR(VALUE(TRIM(SUBSTITUTE(SUBSTITUTE(SUBSTITUTE(TRIM(Respostas_Brutas!T294),"R$",""),".",""),",","."))),0))/IFERROR(VALUE(TRIM(SUBSTITUTE(SUBSTITUTE(SUBSTITUTE(TRIM(Respostas_Brutas!AS294),"R$",""),".",""),",","."))),0)),""))</f>
        <v/>
      </c>
      <c r="C294" s="4" t="str">
        <f>IF(Respostas_Brutas!B294="","",MIN(1,(IFERROR(VALUE(LEFT(Respostas_Brutas!I294,IFERROR(FIND(" ",Respostas_Brutas!I294)-1,LEN(Respostas_Brutas!I294)))),0)+IFERROR(VALUE(LEFT(Respostas_Brutas!O294,IFERROR(FIND(" ",Respostas_Brutas!O294)-1,LEN(Respostas_Brutas!O294)))),0))/20))</f>
        <v/>
      </c>
      <c r="D294" s="4" t="str">
        <f>IF(Respostas_Brutas!B294="","",IF(Respostas_Brutas!D294="","",MIN(1,MAX(0,(YEAR(TODAY())-N(Respostas_Brutas!D294))/15))))</f>
        <v/>
      </c>
      <c r="E294" s="4" t="str">
        <f>IF(Respostas_Brutas!B294="","",IF(ISNUMBER(SEARCH("Sim",Respostas_Brutas!S294)),1,0))</f>
        <v/>
      </c>
      <c r="F294" s="4" t="str">
        <f>IF(Respostas_Brutas!B294="","",IFERROR(N(Respostas_Brutas!Y294)/N(Respostas_Brutas!Z294),""))</f>
        <v/>
      </c>
      <c r="G294" s="4" t="str">
        <f>IF(Respostas_Brutas!B294="","",IF(Respostas_Brutas!K294&lt;&gt;"",1,0))</f>
        <v/>
      </c>
      <c r="H294" s="4" t="str">
        <f>IF(Respostas_Brutas!B294="","",IF(ISNUMBER(SEARCH("Não",Respostas_Brutas!AH294)),1,0))</f>
        <v/>
      </c>
      <c r="I294" s="4" t="str">
        <f>IF(Respostas_Brutas!B294="","",IF(ISNUMBER(SEARCH("Sim",Respostas_Brutas!AL294)),1,0))</f>
        <v/>
      </c>
      <c r="J294" s="4" t="str">
        <f>IF(Respostas_Brutas!B294="","",IF(Respostas_Brutas!AN294="","",MIN(1,MAX(0,(N(Respostas_Brutas!AN294)-1)/4))))</f>
        <v/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tr">
        <f>IF(Respostas_Brutas!B295="","",Respostas_Brutas!B295)</f>
        <v/>
      </c>
      <c r="B295" s="4" t="str">
        <f>IF(Respostas_Brutas!B295="","",IFERROR(IF(IFERROR(VALUE(TRIM(SUBSTITUTE(SUBSTITUTE(SUBSTITUTE(TRIM(Respostas_Brutas!AS295),"R$",""),".",""),",","."))),0)=0,"",(IFERROR(VALUE(TRIM(SUBSTITUTE(SUBSTITUTE(SUBSTITUTE(TRIM(Respostas_Brutas!AS295),"R$",""),".",""),",","."))),0)-IFERROR(VALUE(TRIM(SUBSTITUTE(SUBSTITUTE(SUBSTITUTE(TRIM(Respostas_Brutas!T295),"R$",""),".",""),",","."))),0))/IFERROR(VALUE(TRIM(SUBSTITUTE(SUBSTITUTE(SUBSTITUTE(TRIM(Respostas_Brutas!AS295),"R$",""),".",""),",","."))),0)),""))</f>
        <v/>
      </c>
      <c r="C295" s="4" t="str">
        <f>IF(Respostas_Brutas!B295="","",MIN(1,(IFERROR(VALUE(LEFT(Respostas_Brutas!I295,IFERROR(FIND(" ",Respostas_Brutas!I295)-1,LEN(Respostas_Brutas!I295)))),0)+IFERROR(VALUE(LEFT(Respostas_Brutas!O295,IFERROR(FIND(" ",Respostas_Brutas!O295)-1,LEN(Respostas_Brutas!O295)))),0))/20))</f>
        <v/>
      </c>
      <c r="D295" s="4" t="str">
        <f>IF(Respostas_Brutas!B295="","",IF(Respostas_Brutas!D295="","",MIN(1,MAX(0,(YEAR(TODAY())-N(Respostas_Brutas!D295))/15))))</f>
        <v/>
      </c>
      <c r="E295" s="4" t="str">
        <f>IF(Respostas_Brutas!B295="","",IF(ISNUMBER(SEARCH("Sim",Respostas_Brutas!S295)),1,0))</f>
        <v/>
      </c>
      <c r="F295" s="4" t="str">
        <f>IF(Respostas_Brutas!B295="","",IFERROR(N(Respostas_Brutas!Y295)/N(Respostas_Brutas!Z295),""))</f>
        <v/>
      </c>
      <c r="G295" s="4" t="str">
        <f>IF(Respostas_Brutas!B295="","",IF(Respostas_Brutas!K295&lt;&gt;"",1,0))</f>
        <v/>
      </c>
      <c r="H295" s="4" t="str">
        <f>IF(Respostas_Brutas!B295="","",IF(ISNUMBER(SEARCH("Não",Respostas_Brutas!AH295)),1,0))</f>
        <v/>
      </c>
      <c r="I295" s="4" t="str">
        <f>IF(Respostas_Brutas!B295="","",IF(ISNUMBER(SEARCH("Sim",Respostas_Brutas!AL295)),1,0))</f>
        <v/>
      </c>
      <c r="J295" s="4" t="str">
        <f>IF(Respostas_Brutas!B295="","",IF(Respostas_Brutas!AN295="","",MIN(1,MAX(0,(N(Respostas_Brutas!AN295)-1)/4))))</f>
        <v/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tr">
        <f>IF(Respostas_Brutas!B296="","",Respostas_Brutas!B296)</f>
        <v/>
      </c>
      <c r="B296" s="4" t="str">
        <f>IF(Respostas_Brutas!B296="","",IFERROR(IF(IFERROR(VALUE(TRIM(SUBSTITUTE(SUBSTITUTE(SUBSTITUTE(TRIM(Respostas_Brutas!AS296),"R$",""),".",""),",","."))),0)=0,"",(IFERROR(VALUE(TRIM(SUBSTITUTE(SUBSTITUTE(SUBSTITUTE(TRIM(Respostas_Brutas!AS296),"R$",""),".",""),",","."))),0)-IFERROR(VALUE(TRIM(SUBSTITUTE(SUBSTITUTE(SUBSTITUTE(TRIM(Respostas_Brutas!T296),"R$",""),".",""),",","."))),0))/IFERROR(VALUE(TRIM(SUBSTITUTE(SUBSTITUTE(SUBSTITUTE(TRIM(Respostas_Brutas!AS296),"R$",""),".",""),",","."))),0)),""))</f>
        <v/>
      </c>
      <c r="C296" s="4" t="str">
        <f>IF(Respostas_Brutas!B296="","",MIN(1,(IFERROR(VALUE(LEFT(Respostas_Brutas!I296,IFERROR(FIND(" ",Respostas_Brutas!I296)-1,LEN(Respostas_Brutas!I296)))),0)+IFERROR(VALUE(LEFT(Respostas_Brutas!O296,IFERROR(FIND(" ",Respostas_Brutas!O296)-1,LEN(Respostas_Brutas!O296)))),0))/20))</f>
        <v/>
      </c>
      <c r="D296" s="4" t="str">
        <f>IF(Respostas_Brutas!B296="","",IF(Respostas_Brutas!D296="","",MIN(1,MAX(0,(YEAR(TODAY())-N(Respostas_Brutas!D296))/15))))</f>
        <v/>
      </c>
      <c r="E296" s="4" t="str">
        <f>IF(Respostas_Brutas!B296="","",IF(ISNUMBER(SEARCH("Sim",Respostas_Brutas!S296)),1,0))</f>
        <v/>
      </c>
      <c r="F296" s="4" t="str">
        <f>IF(Respostas_Brutas!B296="","",IFERROR(N(Respostas_Brutas!Y296)/N(Respostas_Brutas!Z296),""))</f>
        <v/>
      </c>
      <c r="G296" s="4" t="str">
        <f>IF(Respostas_Brutas!B296="","",IF(Respostas_Brutas!K296&lt;&gt;"",1,0))</f>
        <v/>
      </c>
      <c r="H296" s="4" t="str">
        <f>IF(Respostas_Brutas!B296="","",IF(ISNUMBER(SEARCH("Não",Respostas_Brutas!AH296)),1,0))</f>
        <v/>
      </c>
      <c r="I296" s="4" t="str">
        <f>IF(Respostas_Brutas!B296="","",IF(ISNUMBER(SEARCH("Sim",Respostas_Brutas!AL296)),1,0))</f>
        <v/>
      </c>
      <c r="J296" s="4" t="str">
        <f>IF(Respostas_Brutas!B296="","",IF(Respostas_Brutas!AN296="","",MIN(1,MAX(0,(N(Respostas_Brutas!AN296)-1)/4))))</f>
        <v/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tr">
        <f>IF(Respostas_Brutas!B297="","",Respostas_Brutas!B297)</f>
        <v/>
      </c>
      <c r="B297" s="4" t="str">
        <f>IF(Respostas_Brutas!B297="","",IFERROR(IF(IFERROR(VALUE(TRIM(SUBSTITUTE(SUBSTITUTE(SUBSTITUTE(TRIM(Respostas_Brutas!AS297),"R$",""),".",""),",","."))),0)=0,"",(IFERROR(VALUE(TRIM(SUBSTITUTE(SUBSTITUTE(SUBSTITUTE(TRIM(Respostas_Brutas!AS297),"R$",""),".",""),",","."))),0)-IFERROR(VALUE(TRIM(SUBSTITUTE(SUBSTITUTE(SUBSTITUTE(TRIM(Respostas_Brutas!T297),"R$",""),".",""),",","."))),0))/IFERROR(VALUE(TRIM(SUBSTITUTE(SUBSTITUTE(SUBSTITUTE(TRIM(Respostas_Brutas!AS297),"R$",""),".",""),",","."))),0)),""))</f>
        <v/>
      </c>
      <c r="C297" s="4" t="str">
        <f>IF(Respostas_Brutas!B297="","",MIN(1,(IFERROR(VALUE(LEFT(Respostas_Brutas!I297,IFERROR(FIND(" ",Respostas_Brutas!I297)-1,LEN(Respostas_Brutas!I297)))),0)+IFERROR(VALUE(LEFT(Respostas_Brutas!O297,IFERROR(FIND(" ",Respostas_Brutas!O297)-1,LEN(Respostas_Brutas!O297)))),0))/20))</f>
        <v/>
      </c>
      <c r="D297" s="4" t="str">
        <f>IF(Respostas_Brutas!B297="","",IF(Respostas_Brutas!D297="","",MIN(1,MAX(0,(YEAR(TODAY())-N(Respostas_Brutas!D297))/15))))</f>
        <v/>
      </c>
      <c r="E297" s="4" t="str">
        <f>IF(Respostas_Brutas!B297="","",IF(ISNUMBER(SEARCH("Sim",Respostas_Brutas!S297)),1,0))</f>
        <v/>
      </c>
      <c r="F297" s="4" t="str">
        <f>IF(Respostas_Brutas!B297="","",IFERROR(N(Respostas_Brutas!Y297)/N(Respostas_Brutas!Z297),""))</f>
        <v/>
      </c>
      <c r="G297" s="4" t="str">
        <f>IF(Respostas_Brutas!B297="","",IF(Respostas_Brutas!K297&lt;&gt;"",1,0))</f>
        <v/>
      </c>
      <c r="H297" s="4" t="str">
        <f>IF(Respostas_Brutas!B297="","",IF(ISNUMBER(SEARCH("Não",Respostas_Brutas!AH297)),1,0))</f>
        <v/>
      </c>
      <c r="I297" s="4" t="str">
        <f>IF(Respostas_Brutas!B297="","",IF(ISNUMBER(SEARCH("Sim",Respostas_Brutas!AL297)),1,0))</f>
        <v/>
      </c>
      <c r="J297" s="4" t="str">
        <f>IF(Respostas_Brutas!B297="","",IF(Respostas_Brutas!AN297="","",MIN(1,MAX(0,(N(Respostas_Brutas!AN297)-1)/4))))</f>
        <v/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tr">
        <f>IF(Respostas_Brutas!B298="","",Respostas_Brutas!B298)</f>
        <v/>
      </c>
      <c r="B298" s="4" t="str">
        <f>IF(Respostas_Brutas!B298="","",IFERROR(IF(IFERROR(VALUE(TRIM(SUBSTITUTE(SUBSTITUTE(SUBSTITUTE(TRIM(Respostas_Brutas!AS298),"R$",""),".",""),",","."))),0)=0,"",(IFERROR(VALUE(TRIM(SUBSTITUTE(SUBSTITUTE(SUBSTITUTE(TRIM(Respostas_Brutas!AS298),"R$",""),".",""),",","."))),0)-IFERROR(VALUE(TRIM(SUBSTITUTE(SUBSTITUTE(SUBSTITUTE(TRIM(Respostas_Brutas!T298),"R$",""),".",""),",","."))),0))/IFERROR(VALUE(TRIM(SUBSTITUTE(SUBSTITUTE(SUBSTITUTE(TRIM(Respostas_Brutas!AS298),"R$",""),".",""),",","."))),0)),""))</f>
        <v/>
      </c>
      <c r="C298" s="4" t="str">
        <f>IF(Respostas_Brutas!B298="","",MIN(1,(IFERROR(VALUE(LEFT(Respostas_Brutas!I298,IFERROR(FIND(" ",Respostas_Brutas!I298)-1,LEN(Respostas_Brutas!I298)))),0)+IFERROR(VALUE(LEFT(Respostas_Brutas!O298,IFERROR(FIND(" ",Respostas_Brutas!O298)-1,LEN(Respostas_Brutas!O298)))),0))/20))</f>
        <v/>
      </c>
      <c r="D298" s="4" t="str">
        <f>IF(Respostas_Brutas!B298="","",IF(Respostas_Brutas!D298="","",MIN(1,MAX(0,(YEAR(TODAY())-N(Respostas_Brutas!D298))/15))))</f>
        <v/>
      </c>
      <c r="E298" s="4" t="str">
        <f>IF(Respostas_Brutas!B298="","",IF(ISNUMBER(SEARCH("Sim",Respostas_Brutas!S298)),1,0))</f>
        <v/>
      </c>
      <c r="F298" s="4" t="str">
        <f>IF(Respostas_Brutas!B298="","",IFERROR(N(Respostas_Brutas!Y298)/N(Respostas_Brutas!Z298),""))</f>
        <v/>
      </c>
      <c r="G298" s="4" t="str">
        <f>IF(Respostas_Brutas!B298="","",IF(Respostas_Brutas!K298&lt;&gt;"",1,0))</f>
        <v/>
      </c>
      <c r="H298" s="4" t="str">
        <f>IF(Respostas_Brutas!B298="","",IF(ISNUMBER(SEARCH("Não",Respostas_Brutas!AH298)),1,0))</f>
        <v/>
      </c>
      <c r="I298" s="4" t="str">
        <f>IF(Respostas_Brutas!B298="","",IF(ISNUMBER(SEARCH("Sim",Respostas_Brutas!AL298)),1,0))</f>
        <v/>
      </c>
      <c r="J298" s="4" t="str">
        <f>IF(Respostas_Brutas!B298="","",IF(Respostas_Brutas!AN298="","",MIN(1,MAX(0,(N(Respostas_Brutas!AN298)-1)/4))))</f>
        <v/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tr">
        <f>IF(Respostas_Brutas!B299="","",Respostas_Brutas!B299)</f>
        <v/>
      </c>
      <c r="B299" s="4" t="str">
        <f>IF(Respostas_Brutas!B299="","",IFERROR(IF(IFERROR(VALUE(TRIM(SUBSTITUTE(SUBSTITUTE(SUBSTITUTE(TRIM(Respostas_Brutas!AS299),"R$",""),".",""),",","."))),0)=0,"",(IFERROR(VALUE(TRIM(SUBSTITUTE(SUBSTITUTE(SUBSTITUTE(TRIM(Respostas_Brutas!AS299),"R$",""),".",""),",","."))),0)-IFERROR(VALUE(TRIM(SUBSTITUTE(SUBSTITUTE(SUBSTITUTE(TRIM(Respostas_Brutas!T299),"R$",""),".",""),",","."))),0))/IFERROR(VALUE(TRIM(SUBSTITUTE(SUBSTITUTE(SUBSTITUTE(TRIM(Respostas_Brutas!AS299),"R$",""),".",""),",","."))),0)),""))</f>
        <v/>
      </c>
      <c r="C299" s="4" t="str">
        <f>IF(Respostas_Brutas!B299="","",MIN(1,(IFERROR(VALUE(LEFT(Respostas_Brutas!I299,IFERROR(FIND(" ",Respostas_Brutas!I299)-1,LEN(Respostas_Brutas!I299)))),0)+IFERROR(VALUE(LEFT(Respostas_Brutas!O299,IFERROR(FIND(" ",Respostas_Brutas!O299)-1,LEN(Respostas_Brutas!O299)))),0))/20))</f>
        <v/>
      </c>
      <c r="D299" s="4" t="str">
        <f>IF(Respostas_Brutas!B299="","",IF(Respostas_Brutas!D299="","",MIN(1,MAX(0,(YEAR(TODAY())-N(Respostas_Brutas!D299))/15))))</f>
        <v/>
      </c>
      <c r="E299" s="4" t="str">
        <f>IF(Respostas_Brutas!B299="","",IF(ISNUMBER(SEARCH("Sim",Respostas_Brutas!S299)),1,0))</f>
        <v/>
      </c>
      <c r="F299" s="4" t="str">
        <f>IF(Respostas_Brutas!B299="","",IFERROR(N(Respostas_Brutas!Y299)/N(Respostas_Brutas!Z299),""))</f>
        <v/>
      </c>
      <c r="G299" s="4" t="str">
        <f>IF(Respostas_Brutas!B299="","",IF(Respostas_Brutas!K299&lt;&gt;"",1,0))</f>
        <v/>
      </c>
      <c r="H299" s="4" t="str">
        <f>IF(Respostas_Brutas!B299="","",IF(ISNUMBER(SEARCH("Não",Respostas_Brutas!AH299)),1,0))</f>
        <v/>
      </c>
      <c r="I299" s="4" t="str">
        <f>IF(Respostas_Brutas!B299="","",IF(ISNUMBER(SEARCH("Sim",Respostas_Brutas!AL299)),1,0))</f>
        <v/>
      </c>
      <c r="J299" s="4" t="str">
        <f>IF(Respostas_Brutas!B299="","",IF(Respostas_Brutas!AN299="","",MIN(1,MAX(0,(N(Respostas_Brutas!AN299)-1)/4))))</f>
        <v/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tr">
        <f>IF(Respostas_Brutas!B300="","",Respostas_Brutas!B300)</f>
        <v/>
      </c>
      <c r="B300" s="4" t="str">
        <f>IF(Respostas_Brutas!B300="","",IFERROR(IF(IFERROR(VALUE(TRIM(SUBSTITUTE(SUBSTITUTE(SUBSTITUTE(TRIM(Respostas_Brutas!AS300),"R$",""),".",""),",","."))),0)=0,"",(IFERROR(VALUE(TRIM(SUBSTITUTE(SUBSTITUTE(SUBSTITUTE(TRIM(Respostas_Brutas!AS300),"R$",""),".",""),",","."))),0)-IFERROR(VALUE(TRIM(SUBSTITUTE(SUBSTITUTE(SUBSTITUTE(TRIM(Respostas_Brutas!T300),"R$",""),".",""),",","."))),0))/IFERROR(VALUE(TRIM(SUBSTITUTE(SUBSTITUTE(SUBSTITUTE(TRIM(Respostas_Brutas!AS300),"R$",""),".",""),",","."))),0)),""))</f>
        <v/>
      </c>
      <c r="C300" s="4" t="str">
        <f>IF(Respostas_Brutas!B300="","",MIN(1,(IFERROR(VALUE(LEFT(Respostas_Brutas!I300,IFERROR(FIND(" ",Respostas_Brutas!I300)-1,LEN(Respostas_Brutas!I300)))),0)+IFERROR(VALUE(LEFT(Respostas_Brutas!O300,IFERROR(FIND(" ",Respostas_Brutas!O300)-1,LEN(Respostas_Brutas!O300)))),0))/20))</f>
        <v/>
      </c>
      <c r="D300" s="4" t="str">
        <f>IF(Respostas_Brutas!B300="","",IF(Respostas_Brutas!D300="","",MIN(1,MAX(0,(YEAR(TODAY())-N(Respostas_Brutas!D300))/15))))</f>
        <v/>
      </c>
      <c r="E300" s="4" t="str">
        <f>IF(Respostas_Brutas!B300="","",IF(ISNUMBER(SEARCH("Sim",Respostas_Brutas!S300)),1,0))</f>
        <v/>
      </c>
      <c r="F300" s="4" t="str">
        <f>IF(Respostas_Brutas!B300="","",IFERROR(N(Respostas_Brutas!Y300)/N(Respostas_Brutas!Z300),""))</f>
        <v/>
      </c>
      <c r="G300" s="4" t="str">
        <f>IF(Respostas_Brutas!B300="","",IF(Respostas_Brutas!K300&lt;&gt;"",1,0))</f>
        <v/>
      </c>
      <c r="H300" s="4" t="str">
        <f>IF(Respostas_Brutas!B300="","",IF(ISNUMBER(SEARCH("Não",Respostas_Brutas!AH300)),1,0))</f>
        <v/>
      </c>
      <c r="I300" s="4" t="str">
        <f>IF(Respostas_Brutas!B300="","",IF(ISNUMBER(SEARCH("Sim",Respostas_Brutas!AL300)),1,0))</f>
        <v/>
      </c>
      <c r="J300" s="4" t="str">
        <f>IF(Respostas_Brutas!B300="","",IF(Respostas_Brutas!AN300="","",MIN(1,MAX(0,(N(Respostas_Brutas!AN300)-1)/4))))</f>
        <v/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tr">
        <f>IF(Respostas_Brutas!B301="","",Respostas_Brutas!B301)</f>
        <v/>
      </c>
      <c r="B301" s="4" t="str">
        <f>IF(Respostas_Brutas!B301="","",IFERROR(IF(IFERROR(VALUE(TRIM(SUBSTITUTE(SUBSTITUTE(SUBSTITUTE(TRIM(Respostas_Brutas!AS301),"R$",""),".",""),",","."))),0)=0,"",(IFERROR(VALUE(TRIM(SUBSTITUTE(SUBSTITUTE(SUBSTITUTE(TRIM(Respostas_Brutas!AS301),"R$",""),".",""),",","."))),0)-IFERROR(VALUE(TRIM(SUBSTITUTE(SUBSTITUTE(SUBSTITUTE(TRIM(Respostas_Brutas!T301),"R$",""),".",""),",","."))),0))/IFERROR(VALUE(TRIM(SUBSTITUTE(SUBSTITUTE(SUBSTITUTE(TRIM(Respostas_Brutas!AS301),"R$",""),".",""),",","."))),0)),""))</f>
        <v/>
      </c>
      <c r="C301" s="4" t="str">
        <f>IF(Respostas_Brutas!B301="","",MIN(1,(IFERROR(VALUE(LEFT(Respostas_Brutas!I301,IFERROR(FIND(" ",Respostas_Brutas!I301)-1,LEN(Respostas_Brutas!I301)))),0)+IFERROR(VALUE(LEFT(Respostas_Brutas!O301,IFERROR(FIND(" ",Respostas_Brutas!O301)-1,LEN(Respostas_Brutas!O301)))),0))/20))</f>
        <v/>
      </c>
      <c r="D301" s="4" t="str">
        <f>IF(Respostas_Brutas!B301="","",IF(Respostas_Brutas!D301="","",MIN(1,MAX(0,(YEAR(TODAY())-N(Respostas_Brutas!D301))/15))))</f>
        <v/>
      </c>
      <c r="E301" s="4" t="str">
        <f>IF(Respostas_Brutas!B301="","",IF(ISNUMBER(SEARCH("Sim",Respostas_Brutas!S301)),1,0))</f>
        <v/>
      </c>
      <c r="F301" s="4" t="str">
        <f>IF(Respostas_Brutas!B301="","",IFERROR(N(Respostas_Brutas!Y301)/N(Respostas_Brutas!Z301),""))</f>
        <v/>
      </c>
      <c r="G301" s="4" t="str">
        <f>IF(Respostas_Brutas!B301="","",IF(Respostas_Brutas!K301&lt;&gt;"",1,0))</f>
        <v/>
      </c>
      <c r="H301" s="4" t="str">
        <f>IF(Respostas_Brutas!B301="","",IF(ISNUMBER(SEARCH("Não",Respostas_Brutas!AH301)),1,0))</f>
        <v/>
      </c>
      <c r="I301" s="4" t="str">
        <f>IF(Respostas_Brutas!B301="","",IF(ISNUMBER(SEARCH("Sim",Respostas_Brutas!AL301)),1,0))</f>
        <v/>
      </c>
      <c r="J301" s="4" t="str">
        <f>IF(Respostas_Brutas!B301="","",IF(Respostas_Brutas!AN301="","",MIN(1,MAX(0,(N(Respostas_Brutas!AN301)-1)/4))))</f>
        <v/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tr">
        <f>IF(Respostas_Brutas!B302="","",Respostas_Brutas!B302)</f>
        <v/>
      </c>
      <c r="B302" s="4" t="str">
        <f>IF(Respostas_Brutas!B302="","",IFERROR(IF(IFERROR(VALUE(TRIM(SUBSTITUTE(SUBSTITUTE(SUBSTITUTE(TRIM(Respostas_Brutas!AS302),"R$",""),".",""),",","."))),0)=0,"",(IFERROR(VALUE(TRIM(SUBSTITUTE(SUBSTITUTE(SUBSTITUTE(TRIM(Respostas_Brutas!AS302),"R$",""),".",""),",","."))),0)-IFERROR(VALUE(TRIM(SUBSTITUTE(SUBSTITUTE(SUBSTITUTE(TRIM(Respostas_Brutas!T302),"R$",""),".",""),",","."))),0))/IFERROR(VALUE(TRIM(SUBSTITUTE(SUBSTITUTE(SUBSTITUTE(TRIM(Respostas_Brutas!AS302),"R$",""),".",""),",","."))),0)),""))</f>
        <v/>
      </c>
      <c r="C302" s="4" t="str">
        <f>IF(Respostas_Brutas!B302="","",MIN(1,(IFERROR(VALUE(LEFT(Respostas_Brutas!I302,IFERROR(FIND(" ",Respostas_Brutas!I302)-1,LEN(Respostas_Brutas!I302)))),0)+IFERROR(VALUE(LEFT(Respostas_Brutas!O302,IFERROR(FIND(" ",Respostas_Brutas!O302)-1,LEN(Respostas_Brutas!O302)))),0))/20))</f>
        <v/>
      </c>
      <c r="D302" s="4" t="str">
        <f>IF(Respostas_Brutas!B302="","",IF(Respostas_Brutas!D302="","",MIN(1,MAX(0,(YEAR(TODAY())-N(Respostas_Brutas!D302))/15))))</f>
        <v/>
      </c>
      <c r="E302" s="4" t="str">
        <f>IF(Respostas_Brutas!B302="","",IF(ISNUMBER(SEARCH("Sim",Respostas_Brutas!S302)),1,0))</f>
        <v/>
      </c>
      <c r="F302" s="4" t="str">
        <f>IF(Respostas_Brutas!B302="","",IFERROR(N(Respostas_Brutas!Y302)/N(Respostas_Brutas!Z302),""))</f>
        <v/>
      </c>
      <c r="G302" s="4" t="str">
        <f>IF(Respostas_Brutas!B302="","",IF(Respostas_Brutas!K302&lt;&gt;"",1,0))</f>
        <v/>
      </c>
      <c r="H302" s="4" t="str">
        <f>IF(Respostas_Brutas!B302="","",IF(ISNUMBER(SEARCH("Não",Respostas_Brutas!AH302)),1,0))</f>
        <v/>
      </c>
      <c r="I302" s="4" t="str">
        <f>IF(Respostas_Brutas!B302="","",IF(ISNUMBER(SEARCH("Sim",Respostas_Brutas!AL302)),1,0))</f>
        <v/>
      </c>
      <c r="J302" s="4" t="str">
        <f>IF(Respostas_Brutas!B302="","",IF(Respostas_Brutas!AN302="","",MIN(1,MAX(0,(N(Respostas_Brutas!AN302)-1)/4))))</f>
        <v/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tr">
        <f>IF(Respostas_Brutas!B303="","",Respostas_Brutas!B303)</f>
        <v/>
      </c>
      <c r="B303" s="4" t="str">
        <f>IF(Respostas_Brutas!B303="","",IFERROR(IF(IFERROR(VALUE(TRIM(SUBSTITUTE(SUBSTITUTE(SUBSTITUTE(TRIM(Respostas_Brutas!AS303),"R$",""),".",""),",","."))),0)=0,"",(IFERROR(VALUE(TRIM(SUBSTITUTE(SUBSTITUTE(SUBSTITUTE(TRIM(Respostas_Brutas!AS303),"R$",""),".",""),",","."))),0)-IFERROR(VALUE(TRIM(SUBSTITUTE(SUBSTITUTE(SUBSTITUTE(TRIM(Respostas_Brutas!T303),"R$",""),".",""),",","."))),0))/IFERROR(VALUE(TRIM(SUBSTITUTE(SUBSTITUTE(SUBSTITUTE(TRIM(Respostas_Brutas!AS303),"R$",""),".",""),",","."))),0)),""))</f>
        <v/>
      </c>
      <c r="C303" s="4" t="str">
        <f>IF(Respostas_Brutas!B303="","",MIN(1,(IFERROR(VALUE(LEFT(Respostas_Brutas!I303,IFERROR(FIND(" ",Respostas_Brutas!I303)-1,LEN(Respostas_Brutas!I303)))),0)+IFERROR(VALUE(LEFT(Respostas_Brutas!O303,IFERROR(FIND(" ",Respostas_Brutas!O303)-1,LEN(Respostas_Brutas!O303)))),0))/20))</f>
        <v/>
      </c>
      <c r="D303" s="4" t="str">
        <f>IF(Respostas_Brutas!B303="","",IF(Respostas_Brutas!D303="","",MIN(1,MAX(0,(YEAR(TODAY())-N(Respostas_Brutas!D303))/15))))</f>
        <v/>
      </c>
      <c r="E303" s="4" t="str">
        <f>IF(Respostas_Brutas!B303="","",IF(ISNUMBER(SEARCH("Sim",Respostas_Brutas!S303)),1,0))</f>
        <v/>
      </c>
      <c r="F303" s="4" t="str">
        <f>IF(Respostas_Brutas!B303="","",IFERROR(N(Respostas_Brutas!Y303)/N(Respostas_Brutas!Z303),""))</f>
        <v/>
      </c>
      <c r="G303" s="4" t="str">
        <f>IF(Respostas_Brutas!B303="","",IF(Respostas_Brutas!K303&lt;&gt;"",1,0))</f>
        <v/>
      </c>
      <c r="H303" s="4" t="str">
        <f>IF(Respostas_Brutas!B303="","",IF(ISNUMBER(SEARCH("Não",Respostas_Brutas!AH303)),1,0))</f>
        <v/>
      </c>
      <c r="I303" s="4" t="str">
        <f>IF(Respostas_Brutas!B303="","",IF(ISNUMBER(SEARCH("Sim",Respostas_Brutas!AL303)),1,0))</f>
        <v/>
      </c>
      <c r="J303" s="4" t="str">
        <f>IF(Respostas_Brutas!B303="","",IF(Respostas_Brutas!AN303="","",MIN(1,MAX(0,(N(Respostas_Brutas!AN303)-1)/4))))</f>
        <v/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tr">
        <f>IF(Respostas_Brutas!B304="","",Respostas_Brutas!B304)</f>
        <v/>
      </c>
      <c r="B304" s="4" t="str">
        <f>IF(Respostas_Brutas!B304="","",IFERROR(IF(IFERROR(VALUE(TRIM(SUBSTITUTE(SUBSTITUTE(SUBSTITUTE(TRIM(Respostas_Brutas!AS304),"R$",""),".",""),",","."))),0)=0,"",(IFERROR(VALUE(TRIM(SUBSTITUTE(SUBSTITUTE(SUBSTITUTE(TRIM(Respostas_Brutas!AS304),"R$",""),".",""),",","."))),0)-IFERROR(VALUE(TRIM(SUBSTITUTE(SUBSTITUTE(SUBSTITUTE(TRIM(Respostas_Brutas!T304),"R$",""),".",""),",","."))),0))/IFERROR(VALUE(TRIM(SUBSTITUTE(SUBSTITUTE(SUBSTITUTE(TRIM(Respostas_Brutas!AS304),"R$",""),".",""),",","."))),0)),""))</f>
        <v/>
      </c>
      <c r="C304" s="4" t="str">
        <f>IF(Respostas_Brutas!B304="","",MIN(1,(IFERROR(VALUE(LEFT(Respostas_Brutas!I304,IFERROR(FIND(" ",Respostas_Brutas!I304)-1,LEN(Respostas_Brutas!I304)))),0)+IFERROR(VALUE(LEFT(Respostas_Brutas!O304,IFERROR(FIND(" ",Respostas_Brutas!O304)-1,LEN(Respostas_Brutas!O304)))),0))/20))</f>
        <v/>
      </c>
      <c r="D304" s="4" t="str">
        <f>IF(Respostas_Brutas!B304="","",IF(Respostas_Brutas!D304="","",MIN(1,MAX(0,(YEAR(TODAY())-N(Respostas_Brutas!D304))/15))))</f>
        <v/>
      </c>
      <c r="E304" s="4" t="str">
        <f>IF(Respostas_Brutas!B304="","",IF(ISNUMBER(SEARCH("Sim",Respostas_Brutas!S304)),1,0))</f>
        <v/>
      </c>
      <c r="F304" s="4" t="str">
        <f>IF(Respostas_Brutas!B304="","",IFERROR(N(Respostas_Brutas!Y304)/N(Respostas_Brutas!Z304),""))</f>
        <v/>
      </c>
      <c r="G304" s="4" t="str">
        <f>IF(Respostas_Brutas!B304="","",IF(Respostas_Brutas!K304&lt;&gt;"",1,0))</f>
        <v/>
      </c>
      <c r="H304" s="4" t="str">
        <f>IF(Respostas_Brutas!B304="","",IF(ISNUMBER(SEARCH("Não",Respostas_Brutas!AH304)),1,0))</f>
        <v/>
      </c>
      <c r="I304" s="4" t="str">
        <f>IF(Respostas_Brutas!B304="","",IF(ISNUMBER(SEARCH("Sim",Respostas_Brutas!AL304)),1,0))</f>
        <v/>
      </c>
      <c r="J304" s="4" t="str">
        <f>IF(Respostas_Brutas!B304="","",IF(Respostas_Brutas!AN304="","",MIN(1,MAX(0,(N(Respostas_Brutas!AN304)-1)/4))))</f>
        <v/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tr">
        <f>IF(Respostas_Brutas!B305="","",Respostas_Brutas!B305)</f>
        <v/>
      </c>
      <c r="B305" s="4" t="str">
        <f>IF(Respostas_Brutas!B305="","",IFERROR(IF(IFERROR(VALUE(TRIM(SUBSTITUTE(SUBSTITUTE(SUBSTITUTE(TRIM(Respostas_Brutas!AS305),"R$",""),".",""),",","."))),0)=0,"",(IFERROR(VALUE(TRIM(SUBSTITUTE(SUBSTITUTE(SUBSTITUTE(TRIM(Respostas_Brutas!AS305),"R$",""),".",""),",","."))),0)-IFERROR(VALUE(TRIM(SUBSTITUTE(SUBSTITUTE(SUBSTITUTE(TRIM(Respostas_Brutas!T305),"R$",""),".",""),",","."))),0))/IFERROR(VALUE(TRIM(SUBSTITUTE(SUBSTITUTE(SUBSTITUTE(TRIM(Respostas_Brutas!AS305),"R$",""),".",""),",","."))),0)),""))</f>
        <v/>
      </c>
      <c r="C305" s="4" t="str">
        <f>IF(Respostas_Brutas!B305="","",MIN(1,(IFERROR(VALUE(LEFT(Respostas_Brutas!I305,IFERROR(FIND(" ",Respostas_Brutas!I305)-1,LEN(Respostas_Brutas!I305)))),0)+IFERROR(VALUE(LEFT(Respostas_Brutas!O305,IFERROR(FIND(" ",Respostas_Brutas!O305)-1,LEN(Respostas_Brutas!O305)))),0))/20))</f>
        <v/>
      </c>
      <c r="D305" s="4" t="str">
        <f>IF(Respostas_Brutas!B305="","",IF(Respostas_Brutas!D305="","",MIN(1,MAX(0,(YEAR(TODAY())-N(Respostas_Brutas!D305))/15))))</f>
        <v/>
      </c>
      <c r="E305" s="4" t="str">
        <f>IF(Respostas_Brutas!B305="","",IF(ISNUMBER(SEARCH("Sim",Respostas_Brutas!S305)),1,0))</f>
        <v/>
      </c>
      <c r="F305" s="4" t="str">
        <f>IF(Respostas_Brutas!B305="","",IFERROR(N(Respostas_Brutas!Y305)/N(Respostas_Brutas!Z305),""))</f>
        <v/>
      </c>
      <c r="G305" s="4" t="str">
        <f>IF(Respostas_Brutas!B305="","",IF(Respostas_Brutas!K305&lt;&gt;"",1,0))</f>
        <v/>
      </c>
      <c r="H305" s="4" t="str">
        <f>IF(Respostas_Brutas!B305="","",IF(ISNUMBER(SEARCH("Não",Respostas_Brutas!AH305)),1,0))</f>
        <v/>
      </c>
      <c r="I305" s="4" t="str">
        <f>IF(Respostas_Brutas!B305="","",IF(ISNUMBER(SEARCH("Sim",Respostas_Brutas!AL305)),1,0))</f>
        <v/>
      </c>
      <c r="J305" s="4" t="str">
        <f>IF(Respostas_Brutas!B305="","",IF(Respostas_Brutas!AN305="","",MIN(1,MAX(0,(N(Respostas_Brutas!AN305)-1)/4))))</f>
        <v/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tr">
        <f>IF(Respostas_Brutas!B306="","",Respostas_Brutas!B306)</f>
        <v/>
      </c>
      <c r="B306" s="4" t="str">
        <f>IF(Respostas_Brutas!B306="","",IFERROR(IF(IFERROR(VALUE(TRIM(SUBSTITUTE(SUBSTITUTE(SUBSTITUTE(TRIM(Respostas_Brutas!AS306),"R$",""),".",""),",","."))),0)=0,"",(IFERROR(VALUE(TRIM(SUBSTITUTE(SUBSTITUTE(SUBSTITUTE(TRIM(Respostas_Brutas!AS306),"R$",""),".",""),",","."))),0)-IFERROR(VALUE(TRIM(SUBSTITUTE(SUBSTITUTE(SUBSTITUTE(TRIM(Respostas_Brutas!T306),"R$",""),".",""),",","."))),0))/IFERROR(VALUE(TRIM(SUBSTITUTE(SUBSTITUTE(SUBSTITUTE(TRIM(Respostas_Brutas!AS306),"R$",""),".",""),",","."))),0)),""))</f>
        <v/>
      </c>
      <c r="C306" s="4" t="str">
        <f>IF(Respostas_Brutas!B306="","",MIN(1,(IFERROR(VALUE(LEFT(Respostas_Brutas!I306,IFERROR(FIND(" ",Respostas_Brutas!I306)-1,LEN(Respostas_Brutas!I306)))),0)+IFERROR(VALUE(LEFT(Respostas_Brutas!O306,IFERROR(FIND(" ",Respostas_Brutas!O306)-1,LEN(Respostas_Brutas!O306)))),0))/20))</f>
        <v/>
      </c>
      <c r="D306" s="4" t="str">
        <f>IF(Respostas_Brutas!B306="","",IF(Respostas_Brutas!D306="","",MIN(1,MAX(0,(YEAR(TODAY())-N(Respostas_Brutas!D306))/15))))</f>
        <v/>
      </c>
      <c r="E306" s="4" t="str">
        <f>IF(Respostas_Brutas!B306="","",IF(ISNUMBER(SEARCH("Sim",Respostas_Brutas!S306)),1,0))</f>
        <v/>
      </c>
      <c r="F306" s="4" t="str">
        <f>IF(Respostas_Brutas!B306="","",IFERROR(N(Respostas_Brutas!Y306)/N(Respostas_Brutas!Z306),""))</f>
        <v/>
      </c>
      <c r="G306" s="4" t="str">
        <f>IF(Respostas_Brutas!B306="","",IF(Respostas_Brutas!K306&lt;&gt;"",1,0))</f>
        <v/>
      </c>
      <c r="H306" s="4" t="str">
        <f>IF(Respostas_Brutas!B306="","",IF(ISNUMBER(SEARCH("Não",Respostas_Brutas!AH306)),1,0))</f>
        <v/>
      </c>
      <c r="I306" s="4" t="str">
        <f>IF(Respostas_Brutas!B306="","",IF(ISNUMBER(SEARCH("Sim",Respostas_Brutas!AL306)),1,0))</f>
        <v/>
      </c>
      <c r="J306" s="4" t="str">
        <f>IF(Respostas_Brutas!B306="","",IF(Respostas_Brutas!AN306="","",MIN(1,MAX(0,(N(Respostas_Brutas!AN306)-1)/4))))</f>
        <v/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tr">
        <f>IF(Respostas_Brutas!B307="","",Respostas_Brutas!B307)</f>
        <v/>
      </c>
      <c r="B307" s="4" t="str">
        <f>IF(Respostas_Brutas!B307="","",IFERROR(IF(IFERROR(VALUE(TRIM(SUBSTITUTE(SUBSTITUTE(SUBSTITUTE(TRIM(Respostas_Brutas!AS307),"R$",""),".",""),",","."))),0)=0,"",(IFERROR(VALUE(TRIM(SUBSTITUTE(SUBSTITUTE(SUBSTITUTE(TRIM(Respostas_Brutas!AS307),"R$",""),".",""),",","."))),0)-IFERROR(VALUE(TRIM(SUBSTITUTE(SUBSTITUTE(SUBSTITUTE(TRIM(Respostas_Brutas!T307),"R$",""),".",""),",","."))),0))/IFERROR(VALUE(TRIM(SUBSTITUTE(SUBSTITUTE(SUBSTITUTE(TRIM(Respostas_Brutas!AS307),"R$",""),".",""),",","."))),0)),""))</f>
        <v/>
      </c>
      <c r="C307" s="4" t="str">
        <f>IF(Respostas_Brutas!B307="","",MIN(1,(IFERROR(VALUE(LEFT(Respostas_Brutas!I307,IFERROR(FIND(" ",Respostas_Brutas!I307)-1,LEN(Respostas_Brutas!I307)))),0)+IFERROR(VALUE(LEFT(Respostas_Brutas!O307,IFERROR(FIND(" ",Respostas_Brutas!O307)-1,LEN(Respostas_Brutas!O307)))),0))/20))</f>
        <v/>
      </c>
      <c r="D307" s="4" t="str">
        <f>IF(Respostas_Brutas!B307="","",IF(Respostas_Brutas!D307="","",MIN(1,MAX(0,(YEAR(TODAY())-N(Respostas_Brutas!D307))/15))))</f>
        <v/>
      </c>
      <c r="E307" s="4" t="str">
        <f>IF(Respostas_Brutas!B307="","",IF(ISNUMBER(SEARCH("Sim",Respostas_Brutas!S307)),1,0))</f>
        <v/>
      </c>
      <c r="F307" s="4" t="str">
        <f>IF(Respostas_Brutas!B307="","",IFERROR(N(Respostas_Brutas!Y307)/N(Respostas_Brutas!Z307),""))</f>
        <v/>
      </c>
      <c r="G307" s="4" t="str">
        <f>IF(Respostas_Brutas!B307="","",IF(Respostas_Brutas!K307&lt;&gt;"",1,0))</f>
        <v/>
      </c>
      <c r="H307" s="4" t="str">
        <f>IF(Respostas_Brutas!B307="","",IF(ISNUMBER(SEARCH("Não",Respostas_Brutas!AH307)),1,0))</f>
        <v/>
      </c>
      <c r="I307" s="4" t="str">
        <f>IF(Respostas_Brutas!B307="","",IF(ISNUMBER(SEARCH("Sim",Respostas_Brutas!AL307)),1,0))</f>
        <v/>
      </c>
      <c r="J307" s="4" t="str">
        <f>IF(Respostas_Brutas!B307="","",IF(Respostas_Brutas!AN307="","",MIN(1,MAX(0,(N(Respostas_Brutas!AN307)-1)/4))))</f>
        <v/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tr">
        <f>IF(Respostas_Brutas!B308="","",Respostas_Brutas!B308)</f>
        <v/>
      </c>
      <c r="B308" s="4" t="str">
        <f>IF(Respostas_Brutas!B308="","",IFERROR(IF(IFERROR(VALUE(TRIM(SUBSTITUTE(SUBSTITUTE(SUBSTITUTE(TRIM(Respostas_Brutas!AS308),"R$",""),".",""),",","."))),0)=0,"",(IFERROR(VALUE(TRIM(SUBSTITUTE(SUBSTITUTE(SUBSTITUTE(TRIM(Respostas_Brutas!AS308),"R$",""),".",""),",","."))),0)-IFERROR(VALUE(TRIM(SUBSTITUTE(SUBSTITUTE(SUBSTITUTE(TRIM(Respostas_Brutas!T308),"R$",""),".",""),",","."))),0))/IFERROR(VALUE(TRIM(SUBSTITUTE(SUBSTITUTE(SUBSTITUTE(TRIM(Respostas_Brutas!AS308),"R$",""),".",""),",","."))),0)),""))</f>
        <v/>
      </c>
      <c r="C308" s="4" t="str">
        <f>IF(Respostas_Brutas!B308="","",MIN(1,(IFERROR(VALUE(LEFT(Respostas_Brutas!I308,IFERROR(FIND(" ",Respostas_Brutas!I308)-1,LEN(Respostas_Brutas!I308)))),0)+IFERROR(VALUE(LEFT(Respostas_Brutas!O308,IFERROR(FIND(" ",Respostas_Brutas!O308)-1,LEN(Respostas_Brutas!O308)))),0))/20))</f>
        <v/>
      </c>
      <c r="D308" s="4" t="str">
        <f>IF(Respostas_Brutas!B308="","",IF(Respostas_Brutas!D308="","",MIN(1,MAX(0,(YEAR(TODAY())-N(Respostas_Brutas!D308))/15))))</f>
        <v/>
      </c>
      <c r="E308" s="4" t="str">
        <f>IF(Respostas_Brutas!B308="","",IF(ISNUMBER(SEARCH("Sim",Respostas_Brutas!S308)),1,0))</f>
        <v/>
      </c>
      <c r="F308" s="4" t="str">
        <f>IF(Respostas_Brutas!B308="","",IFERROR(N(Respostas_Brutas!Y308)/N(Respostas_Brutas!Z308),""))</f>
        <v/>
      </c>
      <c r="G308" s="4" t="str">
        <f>IF(Respostas_Brutas!B308="","",IF(Respostas_Brutas!K308&lt;&gt;"",1,0))</f>
        <v/>
      </c>
      <c r="H308" s="4" t="str">
        <f>IF(Respostas_Brutas!B308="","",IF(ISNUMBER(SEARCH("Não",Respostas_Brutas!AH308)),1,0))</f>
        <v/>
      </c>
      <c r="I308" s="4" t="str">
        <f>IF(Respostas_Brutas!B308="","",IF(ISNUMBER(SEARCH("Sim",Respostas_Brutas!AL308)),1,0))</f>
        <v/>
      </c>
      <c r="J308" s="4" t="str">
        <f>IF(Respostas_Brutas!B308="","",IF(Respostas_Brutas!AN308="","",MIN(1,MAX(0,(N(Respostas_Brutas!AN308)-1)/4))))</f>
        <v/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tr">
        <f>IF(Respostas_Brutas!B309="","",Respostas_Brutas!B309)</f>
        <v/>
      </c>
      <c r="B309" s="4" t="str">
        <f>IF(Respostas_Brutas!B309="","",IFERROR(IF(IFERROR(VALUE(TRIM(SUBSTITUTE(SUBSTITUTE(SUBSTITUTE(TRIM(Respostas_Brutas!AS309),"R$",""),".",""),",","."))),0)=0,"",(IFERROR(VALUE(TRIM(SUBSTITUTE(SUBSTITUTE(SUBSTITUTE(TRIM(Respostas_Brutas!AS309),"R$",""),".",""),",","."))),0)-IFERROR(VALUE(TRIM(SUBSTITUTE(SUBSTITUTE(SUBSTITUTE(TRIM(Respostas_Brutas!T309),"R$",""),".",""),",","."))),0))/IFERROR(VALUE(TRIM(SUBSTITUTE(SUBSTITUTE(SUBSTITUTE(TRIM(Respostas_Brutas!AS309),"R$",""),".",""),",","."))),0)),""))</f>
        <v/>
      </c>
      <c r="C309" s="4" t="str">
        <f>IF(Respostas_Brutas!B309="","",MIN(1,(IFERROR(VALUE(LEFT(Respostas_Brutas!I309,IFERROR(FIND(" ",Respostas_Brutas!I309)-1,LEN(Respostas_Brutas!I309)))),0)+IFERROR(VALUE(LEFT(Respostas_Brutas!O309,IFERROR(FIND(" ",Respostas_Brutas!O309)-1,LEN(Respostas_Brutas!O309)))),0))/20))</f>
        <v/>
      </c>
      <c r="D309" s="4" t="str">
        <f>IF(Respostas_Brutas!B309="","",IF(Respostas_Brutas!D309="","",MIN(1,MAX(0,(YEAR(TODAY())-N(Respostas_Brutas!D309))/15))))</f>
        <v/>
      </c>
      <c r="E309" s="4" t="str">
        <f>IF(Respostas_Brutas!B309="","",IF(ISNUMBER(SEARCH("Sim",Respostas_Brutas!S309)),1,0))</f>
        <v/>
      </c>
      <c r="F309" s="4" t="str">
        <f>IF(Respostas_Brutas!B309="","",IFERROR(N(Respostas_Brutas!Y309)/N(Respostas_Brutas!Z309),""))</f>
        <v/>
      </c>
      <c r="G309" s="4" t="str">
        <f>IF(Respostas_Brutas!B309="","",IF(Respostas_Brutas!K309&lt;&gt;"",1,0))</f>
        <v/>
      </c>
      <c r="H309" s="4" t="str">
        <f>IF(Respostas_Brutas!B309="","",IF(ISNUMBER(SEARCH("Não",Respostas_Brutas!AH309)),1,0))</f>
        <v/>
      </c>
      <c r="I309" s="4" t="str">
        <f>IF(Respostas_Brutas!B309="","",IF(ISNUMBER(SEARCH("Sim",Respostas_Brutas!AL309)),1,0))</f>
        <v/>
      </c>
      <c r="J309" s="4" t="str">
        <f>IF(Respostas_Brutas!B309="","",IF(Respostas_Brutas!AN309="","",MIN(1,MAX(0,(N(Respostas_Brutas!AN309)-1)/4))))</f>
        <v/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tr">
        <f>IF(Respostas_Brutas!B310="","",Respostas_Brutas!B310)</f>
        <v/>
      </c>
      <c r="B310" s="4" t="str">
        <f>IF(Respostas_Brutas!B310="","",IFERROR(IF(IFERROR(VALUE(TRIM(SUBSTITUTE(SUBSTITUTE(SUBSTITUTE(TRIM(Respostas_Brutas!AS310),"R$",""),".",""),",","."))),0)=0,"",(IFERROR(VALUE(TRIM(SUBSTITUTE(SUBSTITUTE(SUBSTITUTE(TRIM(Respostas_Brutas!AS310),"R$",""),".",""),",","."))),0)-IFERROR(VALUE(TRIM(SUBSTITUTE(SUBSTITUTE(SUBSTITUTE(TRIM(Respostas_Brutas!T310),"R$",""),".",""),",","."))),0))/IFERROR(VALUE(TRIM(SUBSTITUTE(SUBSTITUTE(SUBSTITUTE(TRIM(Respostas_Brutas!AS310),"R$",""),".",""),",","."))),0)),""))</f>
        <v/>
      </c>
      <c r="C310" s="4" t="str">
        <f>IF(Respostas_Brutas!B310="","",MIN(1,(IFERROR(VALUE(LEFT(Respostas_Brutas!I310,IFERROR(FIND(" ",Respostas_Brutas!I310)-1,LEN(Respostas_Brutas!I310)))),0)+IFERROR(VALUE(LEFT(Respostas_Brutas!O310,IFERROR(FIND(" ",Respostas_Brutas!O310)-1,LEN(Respostas_Brutas!O310)))),0))/20))</f>
        <v/>
      </c>
      <c r="D310" s="4" t="str">
        <f>IF(Respostas_Brutas!B310="","",IF(Respostas_Brutas!D310="","",MIN(1,MAX(0,(YEAR(TODAY())-N(Respostas_Brutas!D310))/15))))</f>
        <v/>
      </c>
      <c r="E310" s="4" t="str">
        <f>IF(Respostas_Brutas!B310="","",IF(ISNUMBER(SEARCH("Sim",Respostas_Brutas!S310)),1,0))</f>
        <v/>
      </c>
      <c r="F310" s="4" t="str">
        <f>IF(Respostas_Brutas!B310="","",IFERROR(N(Respostas_Brutas!Y310)/N(Respostas_Brutas!Z310),""))</f>
        <v/>
      </c>
      <c r="G310" s="4" t="str">
        <f>IF(Respostas_Brutas!B310="","",IF(Respostas_Brutas!K310&lt;&gt;"",1,0))</f>
        <v/>
      </c>
      <c r="H310" s="4" t="str">
        <f>IF(Respostas_Brutas!B310="","",IF(ISNUMBER(SEARCH("Não",Respostas_Brutas!AH310)),1,0))</f>
        <v/>
      </c>
      <c r="I310" s="4" t="str">
        <f>IF(Respostas_Brutas!B310="","",IF(ISNUMBER(SEARCH("Sim",Respostas_Brutas!AL310)),1,0))</f>
        <v/>
      </c>
      <c r="J310" s="4" t="str">
        <f>IF(Respostas_Brutas!B310="","",IF(Respostas_Brutas!AN310="","",MIN(1,MAX(0,(N(Respostas_Brutas!AN310)-1)/4))))</f>
        <v/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tr">
        <f>IF(Respostas_Brutas!B311="","",Respostas_Brutas!B311)</f>
        <v/>
      </c>
      <c r="B311" s="4" t="str">
        <f>IF(Respostas_Brutas!B311="","",IFERROR(IF(IFERROR(VALUE(TRIM(SUBSTITUTE(SUBSTITUTE(SUBSTITUTE(TRIM(Respostas_Brutas!AS311),"R$",""),".",""),",","."))),0)=0,"",(IFERROR(VALUE(TRIM(SUBSTITUTE(SUBSTITUTE(SUBSTITUTE(TRIM(Respostas_Brutas!AS311),"R$",""),".",""),",","."))),0)-IFERROR(VALUE(TRIM(SUBSTITUTE(SUBSTITUTE(SUBSTITUTE(TRIM(Respostas_Brutas!T311),"R$",""),".",""),",","."))),0))/IFERROR(VALUE(TRIM(SUBSTITUTE(SUBSTITUTE(SUBSTITUTE(TRIM(Respostas_Brutas!AS311),"R$",""),".",""),",","."))),0)),""))</f>
        <v/>
      </c>
      <c r="C311" s="4" t="str">
        <f>IF(Respostas_Brutas!B311="","",MIN(1,(IFERROR(VALUE(LEFT(Respostas_Brutas!I311,IFERROR(FIND(" ",Respostas_Brutas!I311)-1,LEN(Respostas_Brutas!I311)))),0)+IFERROR(VALUE(LEFT(Respostas_Brutas!O311,IFERROR(FIND(" ",Respostas_Brutas!O311)-1,LEN(Respostas_Brutas!O311)))),0))/20))</f>
        <v/>
      </c>
      <c r="D311" s="4" t="str">
        <f>IF(Respostas_Brutas!B311="","",IF(Respostas_Brutas!D311="","",MIN(1,MAX(0,(YEAR(TODAY())-N(Respostas_Brutas!D311))/15))))</f>
        <v/>
      </c>
      <c r="E311" s="4" t="str">
        <f>IF(Respostas_Brutas!B311="","",IF(ISNUMBER(SEARCH("Sim",Respostas_Brutas!S311)),1,0))</f>
        <v/>
      </c>
      <c r="F311" s="4" t="str">
        <f>IF(Respostas_Brutas!B311="","",IFERROR(N(Respostas_Brutas!Y311)/N(Respostas_Brutas!Z311),""))</f>
        <v/>
      </c>
      <c r="G311" s="4" t="str">
        <f>IF(Respostas_Brutas!B311="","",IF(Respostas_Brutas!K311&lt;&gt;"",1,0))</f>
        <v/>
      </c>
      <c r="H311" s="4" t="str">
        <f>IF(Respostas_Brutas!B311="","",IF(ISNUMBER(SEARCH("Não",Respostas_Brutas!AH311)),1,0))</f>
        <v/>
      </c>
      <c r="I311" s="4" t="str">
        <f>IF(Respostas_Brutas!B311="","",IF(ISNUMBER(SEARCH("Sim",Respostas_Brutas!AL311)),1,0))</f>
        <v/>
      </c>
      <c r="J311" s="4" t="str">
        <f>IF(Respostas_Brutas!B311="","",IF(Respostas_Brutas!AN311="","",MIN(1,MAX(0,(N(Respostas_Brutas!AN311)-1)/4))))</f>
        <v/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tr">
        <f>IF(Respostas_Brutas!B312="","",Respostas_Brutas!B312)</f>
        <v/>
      </c>
      <c r="B312" s="4" t="str">
        <f>IF(Respostas_Brutas!B312="","",IFERROR(IF(IFERROR(VALUE(TRIM(SUBSTITUTE(SUBSTITUTE(SUBSTITUTE(TRIM(Respostas_Brutas!AS312),"R$",""),".",""),",","."))),0)=0,"",(IFERROR(VALUE(TRIM(SUBSTITUTE(SUBSTITUTE(SUBSTITUTE(TRIM(Respostas_Brutas!AS312),"R$",""),".",""),",","."))),0)-IFERROR(VALUE(TRIM(SUBSTITUTE(SUBSTITUTE(SUBSTITUTE(TRIM(Respostas_Brutas!T312),"R$",""),".",""),",","."))),0))/IFERROR(VALUE(TRIM(SUBSTITUTE(SUBSTITUTE(SUBSTITUTE(TRIM(Respostas_Brutas!AS312),"R$",""),".",""),",","."))),0)),""))</f>
        <v/>
      </c>
      <c r="C312" s="4" t="str">
        <f>IF(Respostas_Brutas!B312="","",MIN(1,(IFERROR(VALUE(LEFT(Respostas_Brutas!I312,IFERROR(FIND(" ",Respostas_Brutas!I312)-1,LEN(Respostas_Brutas!I312)))),0)+IFERROR(VALUE(LEFT(Respostas_Brutas!O312,IFERROR(FIND(" ",Respostas_Brutas!O312)-1,LEN(Respostas_Brutas!O312)))),0))/20))</f>
        <v/>
      </c>
      <c r="D312" s="4" t="str">
        <f>IF(Respostas_Brutas!B312="","",IF(Respostas_Brutas!D312="","",MIN(1,MAX(0,(YEAR(TODAY())-N(Respostas_Brutas!D312))/15))))</f>
        <v/>
      </c>
      <c r="E312" s="4" t="str">
        <f>IF(Respostas_Brutas!B312="","",IF(ISNUMBER(SEARCH("Sim",Respostas_Brutas!S312)),1,0))</f>
        <v/>
      </c>
      <c r="F312" s="4" t="str">
        <f>IF(Respostas_Brutas!B312="","",IFERROR(N(Respostas_Brutas!Y312)/N(Respostas_Brutas!Z312),""))</f>
        <v/>
      </c>
      <c r="G312" s="4" t="str">
        <f>IF(Respostas_Brutas!B312="","",IF(Respostas_Brutas!K312&lt;&gt;"",1,0))</f>
        <v/>
      </c>
      <c r="H312" s="4" t="str">
        <f>IF(Respostas_Brutas!B312="","",IF(ISNUMBER(SEARCH("Não",Respostas_Brutas!AH312)),1,0))</f>
        <v/>
      </c>
      <c r="I312" s="4" t="str">
        <f>IF(Respostas_Brutas!B312="","",IF(ISNUMBER(SEARCH("Sim",Respostas_Brutas!AL312)),1,0))</f>
        <v/>
      </c>
      <c r="J312" s="4" t="str">
        <f>IF(Respostas_Brutas!B312="","",IF(Respostas_Brutas!AN312="","",MIN(1,MAX(0,(N(Respostas_Brutas!AN312)-1)/4))))</f>
        <v/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tr">
        <f>IF(Respostas_Brutas!B313="","",Respostas_Brutas!B313)</f>
        <v/>
      </c>
      <c r="B313" s="4" t="str">
        <f>IF(Respostas_Brutas!B313="","",IFERROR(IF(IFERROR(VALUE(TRIM(SUBSTITUTE(SUBSTITUTE(SUBSTITUTE(TRIM(Respostas_Brutas!AS313),"R$",""),".",""),",","."))),0)=0,"",(IFERROR(VALUE(TRIM(SUBSTITUTE(SUBSTITUTE(SUBSTITUTE(TRIM(Respostas_Brutas!AS313),"R$",""),".",""),",","."))),0)-IFERROR(VALUE(TRIM(SUBSTITUTE(SUBSTITUTE(SUBSTITUTE(TRIM(Respostas_Brutas!T313),"R$",""),".",""),",","."))),0))/IFERROR(VALUE(TRIM(SUBSTITUTE(SUBSTITUTE(SUBSTITUTE(TRIM(Respostas_Brutas!AS313),"R$",""),".",""),",","."))),0)),""))</f>
        <v/>
      </c>
      <c r="C313" s="4" t="str">
        <f>IF(Respostas_Brutas!B313="","",MIN(1,(IFERROR(VALUE(LEFT(Respostas_Brutas!I313,IFERROR(FIND(" ",Respostas_Brutas!I313)-1,LEN(Respostas_Brutas!I313)))),0)+IFERROR(VALUE(LEFT(Respostas_Brutas!O313,IFERROR(FIND(" ",Respostas_Brutas!O313)-1,LEN(Respostas_Brutas!O313)))),0))/20))</f>
        <v/>
      </c>
      <c r="D313" s="4" t="str">
        <f>IF(Respostas_Brutas!B313="","",IF(Respostas_Brutas!D313="","",MIN(1,MAX(0,(YEAR(TODAY())-N(Respostas_Brutas!D313))/15))))</f>
        <v/>
      </c>
      <c r="E313" s="4" t="str">
        <f>IF(Respostas_Brutas!B313="","",IF(ISNUMBER(SEARCH("Sim",Respostas_Brutas!S313)),1,0))</f>
        <v/>
      </c>
      <c r="F313" s="4" t="str">
        <f>IF(Respostas_Brutas!B313="","",IFERROR(N(Respostas_Brutas!Y313)/N(Respostas_Brutas!Z313),""))</f>
        <v/>
      </c>
      <c r="G313" s="4" t="str">
        <f>IF(Respostas_Brutas!B313="","",IF(Respostas_Brutas!K313&lt;&gt;"",1,0))</f>
        <v/>
      </c>
      <c r="H313" s="4" t="str">
        <f>IF(Respostas_Brutas!B313="","",IF(ISNUMBER(SEARCH("Não",Respostas_Brutas!AH313)),1,0))</f>
        <v/>
      </c>
      <c r="I313" s="4" t="str">
        <f>IF(Respostas_Brutas!B313="","",IF(ISNUMBER(SEARCH("Sim",Respostas_Brutas!AL313)),1,0))</f>
        <v/>
      </c>
      <c r="J313" s="4" t="str">
        <f>IF(Respostas_Brutas!B313="","",IF(Respostas_Brutas!AN313="","",MIN(1,MAX(0,(N(Respostas_Brutas!AN313)-1)/4))))</f>
        <v/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tr">
        <f>IF(Respostas_Brutas!B314="","",Respostas_Brutas!B314)</f>
        <v/>
      </c>
      <c r="B314" s="4" t="str">
        <f>IF(Respostas_Brutas!B314="","",IFERROR(IF(IFERROR(VALUE(TRIM(SUBSTITUTE(SUBSTITUTE(SUBSTITUTE(TRIM(Respostas_Brutas!AS314),"R$",""),".",""),",","."))),0)=0,"",(IFERROR(VALUE(TRIM(SUBSTITUTE(SUBSTITUTE(SUBSTITUTE(TRIM(Respostas_Brutas!AS314),"R$",""),".",""),",","."))),0)-IFERROR(VALUE(TRIM(SUBSTITUTE(SUBSTITUTE(SUBSTITUTE(TRIM(Respostas_Brutas!T314),"R$",""),".",""),",","."))),0))/IFERROR(VALUE(TRIM(SUBSTITUTE(SUBSTITUTE(SUBSTITUTE(TRIM(Respostas_Brutas!AS314),"R$",""),".",""),",","."))),0)),""))</f>
        <v/>
      </c>
      <c r="C314" s="4" t="str">
        <f>IF(Respostas_Brutas!B314="","",MIN(1,(IFERROR(VALUE(LEFT(Respostas_Brutas!I314,IFERROR(FIND(" ",Respostas_Brutas!I314)-1,LEN(Respostas_Brutas!I314)))),0)+IFERROR(VALUE(LEFT(Respostas_Brutas!O314,IFERROR(FIND(" ",Respostas_Brutas!O314)-1,LEN(Respostas_Brutas!O314)))),0))/20))</f>
        <v/>
      </c>
      <c r="D314" s="4" t="str">
        <f>IF(Respostas_Brutas!B314="","",IF(Respostas_Brutas!D314="","",MIN(1,MAX(0,(YEAR(TODAY())-N(Respostas_Brutas!D314))/15))))</f>
        <v/>
      </c>
      <c r="E314" s="4" t="str">
        <f>IF(Respostas_Brutas!B314="","",IF(ISNUMBER(SEARCH("Sim",Respostas_Brutas!S314)),1,0))</f>
        <v/>
      </c>
      <c r="F314" s="4" t="str">
        <f>IF(Respostas_Brutas!B314="","",IFERROR(N(Respostas_Brutas!Y314)/N(Respostas_Brutas!Z314),""))</f>
        <v/>
      </c>
      <c r="G314" s="4" t="str">
        <f>IF(Respostas_Brutas!B314="","",IF(Respostas_Brutas!K314&lt;&gt;"",1,0))</f>
        <v/>
      </c>
      <c r="H314" s="4" t="str">
        <f>IF(Respostas_Brutas!B314="","",IF(ISNUMBER(SEARCH("Não",Respostas_Brutas!AH314)),1,0))</f>
        <v/>
      </c>
      <c r="I314" s="4" t="str">
        <f>IF(Respostas_Brutas!B314="","",IF(ISNUMBER(SEARCH("Sim",Respostas_Brutas!AL314)),1,0))</f>
        <v/>
      </c>
      <c r="J314" s="4" t="str">
        <f>IF(Respostas_Brutas!B314="","",IF(Respostas_Brutas!AN314="","",MIN(1,MAX(0,(N(Respostas_Brutas!AN314)-1)/4))))</f>
        <v/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tr">
        <f>IF(Respostas_Brutas!B315="","",Respostas_Brutas!B315)</f>
        <v/>
      </c>
      <c r="B315" s="4" t="str">
        <f>IF(Respostas_Brutas!B315="","",IFERROR(IF(IFERROR(VALUE(TRIM(SUBSTITUTE(SUBSTITUTE(SUBSTITUTE(TRIM(Respostas_Brutas!AS315),"R$",""),".",""),",","."))),0)=0,"",(IFERROR(VALUE(TRIM(SUBSTITUTE(SUBSTITUTE(SUBSTITUTE(TRIM(Respostas_Brutas!AS315),"R$",""),".",""),",","."))),0)-IFERROR(VALUE(TRIM(SUBSTITUTE(SUBSTITUTE(SUBSTITUTE(TRIM(Respostas_Brutas!T315),"R$",""),".",""),",","."))),0))/IFERROR(VALUE(TRIM(SUBSTITUTE(SUBSTITUTE(SUBSTITUTE(TRIM(Respostas_Brutas!AS315),"R$",""),".",""),",","."))),0)),""))</f>
        <v/>
      </c>
      <c r="C315" s="4" t="str">
        <f>IF(Respostas_Brutas!B315="","",MIN(1,(IFERROR(VALUE(LEFT(Respostas_Brutas!I315,IFERROR(FIND(" ",Respostas_Brutas!I315)-1,LEN(Respostas_Brutas!I315)))),0)+IFERROR(VALUE(LEFT(Respostas_Brutas!O315,IFERROR(FIND(" ",Respostas_Brutas!O315)-1,LEN(Respostas_Brutas!O315)))),0))/20))</f>
        <v/>
      </c>
      <c r="D315" s="4" t="str">
        <f>IF(Respostas_Brutas!B315="","",IF(Respostas_Brutas!D315="","",MIN(1,MAX(0,(YEAR(TODAY())-N(Respostas_Brutas!D315))/15))))</f>
        <v/>
      </c>
      <c r="E315" s="4" t="str">
        <f>IF(Respostas_Brutas!B315="","",IF(ISNUMBER(SEARCH("Sim",Respostas_Brutas!S315)),1,0))</f>
        <v/>
      </c>
      <c r="F315" s="4" t="str">
        <f>IF(Respostas_Brutas!B315="","",IFERROR(N(Respostas_Brutas!Y315)/N(Respostas_Brutas!Z315),""))</f>
        <v/>
      </c>
      <c r="G315" s="4" t="str">
        <f>IF(Respostas_Brutas!B315="","",IF(Respostas_Brutas!K315&lt;&gt;"",1,0))</f>
        <v/>
      </c>
      <c r="H315" s="4" t="str">
        <f>IF(Respostas_Brutas!B315="","",IF(ISNUMBER(SEARCH("Não",Respostas_Brutas!AH315)),1,0))</f>
        <v/>
      </c>
      <c r="I315" s="4" t="str">
        <f>IF(Respostas_Brutas!B315="","",IF(ISNUMBER(SEARCH("Sim",Respostas_Brutas!AL315)),1,0))</f>
        <v/>
      </c>
      <c r="J315" s="4" t="str">
        <f>IF(Respostas_Brutas!B315="","",IF(Respostas_Brutas!AN315="","",MIN(1,MAX(0,(N(Respostas_Brutas!AN315)-1)/4))))</f>
        <v/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tr">
        <f>IF(Respostas_Brutas!B316="","",Respostas_Brutas!B316)</f>
        <v/>
      </c>
      <c r="B316" s="4" t="str">
        <f>IF(Respostas_Brutas!B316="","",IFERROR(IF(IFERROR(VALUE(TRIM(SUBSTITUTE(SUBSTITUTE(SUBSTITUTE(TRIM(Respostas_Brutas!AS316),"R$",""),".",""),",","."))),0)=0,"",(IFERROR(VALUE(TRIM(SUBSTITUTE(SUBSTITUTE(SUBSTITUTE(TRIM(Respostas_Brutas!AS316),"R$",""),".",""),",","."))),0)-IFERROR(VALUE(TRIM(SUBSTITUTE(SUBSTITUTE(SUBSTITUTE(TRIM(Respostas_Brutas!T316),"R$",""),".",""),",","."))),0))/IFERROR(VALUE(TRIM(SUBSTITUTE(SUBSTITUTE(SUBSTITUTE(TRIM(Respostas_Brutas!AS316),"R$",""),".",""),",","."))),0)),""))</f>
        <v/>
      </c>
      <c r="C316" s="4" t="str">
        <f>IF(Respostas_Brutas!B316="","",MIN(1,(IFERROR(VALUE(LEFT(Respostas_Brutas!I316,IFERROR(FIND(" ",Respostas_Brutas!I316)-1,LEN(Respostas_Brutas!I316)))),0)+IFERROR(VALUE(LEFT(Respostas_Brutas!O316,IFERROR(FIND(" ",Respostas_Brutas!O316)-1,LEN(Respostas_Brutas!O316)))),0))/20))</f>
        <v/>
      </c>
      <c r="D316" s="4" t="str">
        <f>IF(Respostas_Brutas!B316="","",IF(Respostas_Brutas!D316="","",MIN(1,MAX(0,(YEAR(TODAY())-N(Respostas_Brutas!D316))/15))))</f>
        <v/>
      </c>
      <c r="E316" s="4" t="str">
        <f>IF(Respostas_Brutas!B316="","",IF(ISNUMBER(SEARCH("Sim",Respostas_Brutas!S316)),1,0))</f>
        <v/>
      </c>
      <c r="F316" s="4" t="str">
        <f>IF(Respostas_Brutas!B316="","",IFERROR(N(Respostas_Brutas!Y316)/N(Respostas_Brutas!Z316),""))</f>
        <v/>
      </c>
      <c r="G316" s="4" t="str">
        <f>IF(Respostas_Brutas!B316="","",IF(Respostas_Brutas!K316&lt;&gt;"",1,0))</f>
        <v/>
      </c>
      <c r="H316" s="4" t="str">
        <f>IF(Respostas_Brutas!B316="","",IF(ISNUMBER(SEARCH("Não",Respostas_Brutas!AH316)),1,0))</f>
        <v/>
      </c>
      <c r="I316" s="4" t="str">
        <f>IF(Respostas_Brutas!B316="","",IF(ISNUMBER(SEARCH("Sim",Respostas_Brutas!AL316)),1,0))</f>
        <v/>
      </c>
      <c r="J316" s="4" t="str">
        <f>IF(Respostas_Brutas!B316="","",IF(Respostas_Brutas!AN316="","",MIN(1,MAX(0,(N(Respostas_Brutas!AN316)-1)/4))))</f>
        <v/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tr">
        <f>IF(Respostas_Brutas!B317="","",Respostas_Brutas!B317)</f>
        <v/>
      </c>
      <c r="B317" s="4" t="str">
        <f>IF(Respostas_Brutas!B317="","",IFERROR(IF(IFERROR(VALUE(TRIM(SUBSTITUTE(SUBSTITUTE(SUBSTITUTE(TRIM(Respostas_Brutas!AS317),"R$",""),".",""),",","."))),0)=0,"",(IFERROR(VALUE(TRIM(SUBSTITUTE(SUBSTITUTE(SUBSTITUTE(TRIM(Respostas_Brutas!AS317),"R$",""),".",""),",","."))),0)-IFERROR(VALUE(TRIM(SUBSTITUTE(SUBSTITUTE(SUBSTITUTE(TRIM(Respostas_Brutas!T317),"R$",""),".",""),",","."))),0))/IFERROR(VALUE(TRIM(SUBSTITUTE(SUBSTITUTE(SUBSTITUTE(TRIM(Respostas_Brutas!AS317),"R$",""),".",""),",","."))),0)),""))</f>
        <v/>
      </c>
      <c r="C317" s="4" t="str">
        <f>IF(Respostas_Brutas!B317="","",MIN(1,(IFERROR(VALUE(LEFT(Respostas_Brutas!I317,IFERROR(FIND(" ",Respostas_Brutas!I317)-1,LEN(Respostas_Brutas!I317)))),0)+IFERROR(VALUE(LEFT(Respostas_Brutas!O317,IFERROR(FIND(" ",Respostas_Brutas!O317)-1,LEN(Respostas_Brutas!O317)))),0))/20))</f>
        <v/>
      </c>
      <c r="D317" s="4" t="str">
        <f>IF(Respostas_Brutas!B317="","",IF(Respostas_Brutas!D317="","",MIN(1,MAX(0,(YEAR(TODAY())-N(Respostas_Brutas!D317))/15))))</f>
        <v/>
      </c>
      <c r="E317" s="4" t="str">
        <f>IF(Respostas_Brutas!B317="","",IF(ISNUMBER(SEARCH("Sim",Respostas_Brutas!S317)),1,0))</f>
        <v/>
      </c>
      <c r="F317" s="4" t="str">
        <f>IF(Respostas_Brutas!B317="","",IFERROR(N(Respostas_Brutas!Y317)/N(Respostas_Brutas!Z317),""))</f>
        <v/>
      </c>
      <c r="G317" s="4" t="str">
        <f>IF(Respostas_Brutas!B317="","",IF(Respostas_Brutas!K317&lt;&gt;"",1,0))</f>
        <v/>
      </c>
      <c r="H317" s="4" t="str">
        <f>IF(Respostas_Brutas!B317="","",IF(ISNUMBER(SEARCH("Não",Respostas_Brutas!AH317)),1,0))</f>
        <v/>
      </c>
      <c r="I317" s="4" t="str">
        <f>IF(Respostas_Brutas!B317="","",IF(ISNUMBER(SEARCH("Sim",Respostas_Brutas!AL317)),1,0))</f>
        <v/>
      </c>
      <c r="J317" s="4" t="str">
        <f>IF(Respostas_Brutas!B317="","",IF(Respostas_Brutas!AN317="","",MIN(1,MAX(0,(N(Respostas_Brutas!AN317)-1)/4))))</f>
        <v/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tr">
        <f>IF(Respostas_Brutas!B318="","",Respostas_Brutas!B318)</f>
        <v/>
      </c>
      <c r="B318" s="4" t="str">
        <f>IF(Respostas_Brutas!B318="","",IFERROR(IF(IFERROR(VALUE(TRIM(SUBSTITUTE(SUBSTITUTE(SUBSTITUTE(TRIM(Respostas_Brutas!AS318),"R$",""),".",""),",","."))),0)=0,"",(IFERROR(VALUE(TRIM(SUBSTITUTE(SUBSTITUTE(SUBSTITUTE(TRIM(Respostas_Brutas!AS318),"R$",""),".",""),",","."))),0)-IFERROR(VALUE(TRIM(SUBSTITUTE(SUBSTITUTE(SUBSTITUTE(TRIM(Respostas_Brutas!T318),"R$",""),".",""),",","."))),0))/IFERROR(VALUE(TRIM(SUBSTITUTE(SUBSTITUTE(SUBSTITUTE(TRIM(Respostas_Brutas!AS318),"R$",""),".",""),",","."))),0)),""))</f>
        <v/>
      </c>
      <c r="C318" s="4" t="str">
        <f>IF(Respostas_Brutas!B318="","",MIN(1,(IFERROR(VALUE(LEFT(Respostas_Brutas!I318,IFERROR(FIND(" ",Respostas_Brutas!I318)-1,LEN(Respostas_Brutas!I318)))),0)+IFERROR(VALUE(LEFT(Respostas_Brutas!O318,IFERROR(FIND(" ",Respostas_Brutas!O318)-1,LEN(Respostas_Brutas!O318)))),0))/20))</f>
        <v/>
      </c>
      <c r="D318" s="4" t="str">
        <f>IF(Respostas_Brutas!B318="","",IF(Respostas_Brutas!D318="","",MIN(1,MAX(0,(YEAR(TODAY())-N(Respostas_Brutas!D318))/15))))</f>
        <v/>
      </c>
      <c r="E318" s="4" t="str">
        <f>IF(Respostas_Brutas!B318="","",IF(ISNUMBER(SEARCH("Sim",Respostas_Brutas!S318)),1,0))</f>
        <v/>
      </c>
      <c r="F318" s="4" t="str">
        <f>IF(Respostas_Brutas!B318="","",IFERROR(N(Respostas_Brutas!Y318)/N(Respostas_Brutas!Z318),""))</f>
        <v/>
      </c>
      <c r="G318" s="4" t="str">
        <f>IF(Respostas_Brutas!B318="","",IF(Respostas_Brutas!K318&lt;&gt;"",1,0))</f>
        <v/>
      </c>
      <c r="H318" s="4" t="str">
        <f>IF(Respostas_Brutas!B318="","",IF(ISNUMBER(SEARCH("Não",Respostas_Brutas!AH318)),1,0))</f>
        <v/>
      </c>
      <c r="I318" s="4" t="str">
        <f>IF(Respostas_Brutas!B318="","",IF(ISNUMBER(SEARCH("Sim",Respostas_Brutas!AL318)),1,0))</f>
        <v/>
      </c>
      <c r="J318" s="4" t="str">
        <f>IF(Respostas_Brutas!B318="","",IF(Respostas_Brutas!AN318="","",MIN(1,MAX(0,(N(Respostas_Brutas!AN318)-1)/4))))</f>
        <v/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tr">
        <f>IF(Respostas_Brutas!B319="","",Respostas_Brutas!B319)</f>
        <v/>
      </c>
      <c r="B319" s="4" t="str">
        <f>IF(Respostas_Brutas!B319="","",IFERROR(IF(IFERROR(VALUE(TRIM(SUBSTITUTE(SUBSTITUTE(SUBSTITUTE(TRIM(Respostas_Brutas!AS319),"R$",""),".",""),",","."))),0)=0,"",(IFERROR(VALUE(TRIM(SUBSTITUTE(SUBSTITUTE(SUBSTITUTE(TRIM(Respostas_Brutas!AS319),"R$",""),".",""),",","."))),0)-IFERROR(VALUE(TRIM(SUBSTITUTE(SUBSTITUTE(SUBSTITUTE(TRIM(Respostas_Brutas!T319),"R$",""),".",""),",","."))),0))/IFERROR(VALUE(TRIM(SUBSTITUTE(SUBSTITUTE(SUBSTITUTE(TRIM(Respostas_Brutas!AS319),"R$",""),".",""),",","."))),0)),""))</f>
        <v/>
      </c>
      <c r="C319" s="4" t="str">
        <f>IF(Respostas_Brutas!B319="","",MIN(1,(IFERROR(VALUE(LEFT(Respostas_Brutas!I319,IFERROR(FIND(" ",Respostas_Brutas!I319)-1,LEN(Respostas_Brutas!I319)))),0)+IFERROR(VALUE(LEFT(Respostas_Brutas!O319,IFERROR(FIND(" ",Respostas_Brutas!O319)-1,LEN(Respostas_Brutas!O319)))),0))/20))</f>
        <v/>
      </c>
      <c r="D319" s="4" t="str">
        <f>IF(Respostas_Brutas!B319="","",IF(Respostas_Brutas!D319="","",MIN(1,MAX(0,(YEAR(TODAY())-N(Respostas_Brutas!D319))/15))))</f>
        <v/>
      </c>
      <c r="E319" s="4" t="str">
        <f>IF(Respostas_Brutas!B319="","",IF(ISNUMBER(SEARCH("Sim",Respostas_Brutas!S319)),1,0))</f>
        <v/>
      </c>
      <c r="F319" s="4" t="str">
        <f>IF(Respostas_Brutas!B319="","",IFERROR(N(Respostas_Brutas!Y319)/N(Respostas_Brutas!Z319),""))</f>
        <v/>
      </c>
      <c r="G319" s="4" t="str">
        <f>IF(Respostas_Brutas!B319="","",IF(Respostas_Brutas!K319&lt;&gt;"",1,0))</f>
        <v/>
      </c>
      <c r="H319" s="4" t="str">
        <f>IF(Respostas_Brutas!B319="","",IF(ISNUMBER(SEARCH("Não",Respostas_Brutas!AH319)),1,0))</f>
        <v/>
      </c>
      <c r="I319" s="4" t="str">
        <f>IF(Respostas_Brutas!B319="","",IF(ISNUMBER(SEARCH("Sim",Respostas_Brutas!AL319)),1,0))</f>
        <v/>
      </c>
      <c r="J319" s="4" t="str">
        <f>IF(Respostas_Brutas!B319="","",IF(Respostas_Brutas!AN319="","",MIN(1,MAX(0,(N(Respostas_Brutas!AN319)-1)/4))))</f>
        <v/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tr">
        <f>IF(Respostas_Brutas!B320="","",Respostas_Brutas!B320)</f>
        <v/>
      </c>
      <c r="B320" s="4" t="str">
        <f>IF(Respostas_Brutas!B320="","",IFERROR(IF(IFERROR(VALUE(TRIM(SUBSTITUTE(SUBSTITUTE(SUBSTITUTE(TRIM(Respostas_Brutas!AS320),"R$",""),".",""),",","."))),0)=0,"",(IFERROR(VALUE(TRIM(SUBSTITUTE(SUBSTITUTE(SUBSTITUTE(TRIM(Respostas_Brutas!AS320),"R$",""),".",""),",","."))),0)-IFERROR(VALUE(TRIM(SUBSTITUTE(SUBSTITUTE(SUBSTITUTE(TRIM(Respostas_Brutas!T320),"R$",""),".",""),",","."))),0))/IFERROR(VALUE(TRIM(SUBSTITUTE(SUBSTITUTE(SUBSTITUTE(TRIM(Respostas_Brutas!AS320),"R$",""),".",""),",","."))),0)),""))</f>
        <v/>
      </c>
      <c r="C320" s="4" t="str">
        <f>IF(Respostas_Brutas!B320="","",MIN(1,(IFERROR(VALUE(LEFT(Respostas_Brutas!I320,IFERROR(FIND(" ",Respostas_Brutas!I320)-1,LEN(Respostas_Brutas!I320)))),0)+IFERROR(VALUE(LEFT(Respostas_Brutas!O320,IFERROR(FIND(" ",Respostas_Brutas!O320)-1,LEN(Respostas_Brutas!O320)))),0))/20))</f>
        <v/>
      </c>
      <c r="D320" s="4" t="str">
        <f>IF(Respostas_Brutas!B320="","",IF(Respostas_Brutas!D320="","",MIN(1,MAX(0,(YEAR(TODAY())-N(Respostas_Brutas!D320))/15))))</f>
        <v/>
      </c>
      <c r="E320" s="4" t="str">
        <f>IF(Respostas_Brutas!B320="","",IF(ISNUMBER(SEARCH("Sim",Respostas_Brutas!S320)),1,0))</f>
        <v/>
      </c>
      <c r="F320" s="4" t="str">
        <f>IF(Respostas_Brutas!B320="","",IFERROR(N(Respostas_Brutas!Y320)/N(Respostas_Brutas!Z320),""))</f>
        <v/>
      </c>
      <c r="G320" s="4" t="str">
        <f>IF(Respostas_Brutas!B320="","",IF(Respostas_Brutas!K320&lt;&gt;"",1,0))</f>
        <v/>
      </c>
      <c r="H320" s="4" t="str">
        <f>IF(Respostas_Brutas!B320="","",IF(ISNUMBER(SEARCH("Não",Respostas_Brutas!AH320)),1,0))</f>
        <v/>
      </c>
      <c r="I320" s="4" t="str">
        <f>IF(Respostas_Brutas!B320="","",IF(ISNUMBER(SEARCH("Sim",Respostas_Brutas!AL320)),1,0))</f>
        <v/>
      </c>
      <c r="J320" s="4" t="str">
        <f>IF(Respostas_Brutas!B320="","",IF(Respostas_Brutas!AN320="","",MIN(1,MAX(0,(N(Respostas_Brutas!AN320)-1)/4))))</f>
        <v/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tr">
        <f>IF(Respostas_Brutas!B321="","",Respostas_Brutas!B321)</f>
        <v/>
      </c>
      <c r="B321" s="4" t="str">
        <f>IF(Respostas_Brutas!B321="","",IFERROR(IF(IFERROR(VALUE(TRIM(SUBSTITUTE(SUBSTITUTE(SUBSTITUTE(TRIM(Respostas_Brutas!AS321),"R$",""),".",""),",","."))),0)=0,"",(IFERROR(VALUE(TRIM(SUBSTITUTE(SUBSTITUTE(SUBSTITUTE(TRIM(Respostas_Brutas!AS321),"R$",""),".",""),",","."))),0)-IFERROR(VALUE(TRIM(SUBSTITUTE(SUBSTITUTE(SUBSTITUTE(TRIM(Respostas_Brutas!T321),"R$",""),".",""),",","."))),0))/IFERROR(VALUE(TRIM(SUBSTITUTE(SUBSTITUTE(SUBSTITUTE(TRIM(Respostas_Brutas!AS321),"R$",""),".",""),",","."))),0)),""))</f>
        <v/>
      </c>
      <c r="C321" s="4" t="str">
        <f>IF(Respostas_Brutas!B321="","",MIN(1,(IFERROR(VALUE(LEFT(Respostas_Brutas!I321,IFERROR(FIND(" ",Respostas_Brutas!I321)-1,LEN(Respostas_Brutas!I321)))),0)+IFERROR(VALUE(LEFT(Respostas_Brutas!O321,IFERROR(FIND(" ",Respostas_Brutas!O321)-1,LEN(Respostas_Brutas!O321)))),0))/20))</f>
        <v/>
      </c>
      <c r="D321" s="4" t="str">
        <f>IF(Respostas_Brutas!B321="","",IF(Respostas_Brutas!D321="","",MIN(1,MAX(0,(YEAR(TODAY())-N(Respostas_Brutas!D321))/15))))</f>
        <v/>
      </c>
      <c r="E321" s="4" t="str">
        <f>IF(Respostas_Brutas!B321="","",IF(ISNUMBER(SEARCH("Sim",Respostas_Brutas!S321)),1,0))</f>
        <v/>
      </c>
      <c r="F321" s="4" t="str">
        <f>IF(Respostas_Brutas!B321="","",IFERROR(N(Respostas_Brutas!Y321)/N(Respostas_Brutas!Z321),""))</f>
        <v/>
      </c>
      <c r="G321" s="4" t="str">
        <f>IF(Respostas_Brutas!B321="","",IF(Respostas_Brutas!K321&lt;&gt;"",1,0))</f>
        <v/>
      </c>
      <c r="H321" s="4" t="str">
        <f>IF(Respostas_Brutas!B321="","",IF(ISNUMBER(SEARCH("Não",Respostas_Brutas!AH321)),1,0))</f>
        <v/>
      </c>
      <c r="I321" s="4" t="str">
        <f>IF(Respostas_Brutas!B321="","",IF(ISNUMBER(SEARCH("Sim",Respostas_Brutas!AL321)),1,0))</f>
        <v/>
      </c>
      <c r="J321" s="4" t="str">
        <f>IF(Respostas_Brutas!B321="","",IF(Respostas_Brutas!AN321="","",MIN(1,MAX(0,(N(Respostas_Brutas!AN321)-1)/4))))</f>
        <v/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tr">
        <f>IF(Respostas_Brutas!B322="","",Respostas_Brutas!B322)</f>
        <v/>
      </c>
      <c r="B322" s="4" t="str">
        <f>IF(Respostas_Brutas!B322="","",IFERROR(IF(IFERROR(VALUE(TRIM(SUBSTITUTE(SUBSTITUTE(SUBSTITUTE(TRIM(Respostas_Brutas!AS322),"R$",""),".",""),",","."))),0)=0,"",(IFERROR(VALUE(TRIM(SUBSTITUTE(SUBSTITUTE(SUBSTITUTE(TRIM(Respostas_Brutas!AS322),"R$",""),".",""),",","."))),0)-IFERROR(VALUE(TRIM(SUBSTITUTE(SUBSTITUTE(SUBSTITUTE(TRIM(Respostas_Brutas!T322),"R$",""),".",""),",","."))),0))/IFERROR(VALUE(TRIM(SUBSTITUTE(SUBSTITUTE(SUBSTITUTE(TRIM(Respostas_Brutas!AS322),"R$",""),".",""),",","."))),0)),""))</f>
        <v/>
      </c>
      <c r="C322" s="4" t="str">
        <f>IF(Respostas_Brutas!B322="","",MIN(1,(IFERROR(VALUE(LEFT(Respostas_Brutas!I322,IFERROR(FIND(" ",Respostas_Brutas!I322)-1,LEN(Respostas_Brutas!I322)))),0)+IFERROR(VALUE(LEFT(Respostas_Brutas!O322,IFERROR(FIND(" ",Respostas_Brutas!O322)-1,LEN(Respostas_Brutas!O322)))),0))/20))</f>
        <v/>
      </c>
      <c r="D322" s="4" t="str">
        <f>IF(Respostas_Brutas!B322="","",IF(Respostas_Brutas!D322="","",MIN(1,MAX(0,(YEAR(TODAY())-N(Respostas_Brutas!D322))/15))))</f>
        <v/>
      </c>
      <c r="E322" s="4" t="str">
        <f>IF(Respostas_Brutas!B322="","",IF(ISNUMBER(SEARCH("Sim",Respostas_Brutas!S322)),1,0))</f>
        <v/>
      </c>
      <c r="F322" s="4" t="str">
        <f>IF(Respostas_Brutas!B322="","",IFERROR(N(Respostas_Brutas!Y322)/N(Respostas_Brutas!Z322),""))</f>
        <v/>
      </c>
      <c r="G322" s="4" t="str">
        <f>IF(Respostas_Brutas!B322="","",IF(Respostas_Brutas!K322&lt;&gt;"",1,0))</f>
        <v/>
      </c>
      <c r="H322" s="4" t="str">
        <f>IF(Respostas_Brutas!B322="","",IF(ISNUMBER(SEARCH("Não",Respostas_Brutas!AH322)),1,0))</f>
        <v/>
      </c>
      <c r="I322" s="4" t="str">
        <f>IF(Respostas_Brutas!B322="","",IF(ISNUMBER(SEARCH("Sim",Respostas_Brutas!AL322)),1,0))</f>
        <v/>
      </c>
      <c r="J322" s="4" t="str">
        <f>IF(Respostas_Brutas!B322="","",IF(Respostas_Brutas!AN322="","",MIN(1,MAX(0,(N(Respostas_Brutas!AN322)-1)/4))))</f>
        <v/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tr">
        <f>IF(Respostas_Brutas!B323="","",Respostas_Brutas!B323)</f>
        <v/>
      </c>
      <c r="B323" s="4" t="str">
        <f>IF(Respostas_Brutas!B323="","",IFERROR(IF(IFERROR(VALUE(TRIM(SUBSTITUTE(SUBSTITUTE(SUBSTITUTE(TRIM(Respostas_Brutas!AS323),"R$",""),".",""),",","."))),0)=0,"",(IFERROR(VALUE(TRIM(SUBSTITUTE(SUBSTITUTE(SUBSTITUTE(TRIM(Respostas_Brutas!AS323),"R$",""),".",""),",","."))),0)-IFERROR(VALUE(TRIM(SUBSTITUTE(SUBSTITUTE(SUBSTITUTE(TRIM(Respostas_Brutas!T323),"R$",""),".",""),",","."))),0))/IFERROR(VALUE(TRIM(SUBSTITUTE(SUBSTITUTE(SUBSTITUTE(TRIM(Respostas_Brutas!AS323),"R$",""),".",""),",","."))),0)),""))</f>
        <v/>
      </c>
      <c r="C323" s="4" t="str">
        <f>IF(Respostas_Brutas!B323="","",MIN(1,(IFERROR(VALUE(LEFT(Respostas_Brutas!I323,IFERROR(FIND(" ",Respostas_Brutas!I323)-1,LEN(Respostas_Brutas!I323)))),0)+IFERROR(VALUE(LEFT(Respostas_Brutas!O323,IFERROR(FIND(" ",Respostas_Brutas!O323)-1,LEN(Respostas_Brutas!O323)))),0))/20))</f>
        <v/>
      </c>
      <c r="D323" s="4" t="str">
        <f>IF(Respostas_Brutas!B323="","",IF(Respostas_Brutas!D323="","",MIN(1,MAX(0,(YEAR(TODAY())-N(Respostas_Brutas!D323))/15))))</f>
        <v/>
      </c>
      <c r="E323" s="4" t="str">
        <f>IF(Respostas_Brutas!B323="","",IF(ISNUMBER(SEARCH("Sim",Respostas_Brutas!S323)),1,0))</f>
        <v/>
      </c>
      <c r="F323" s="4" t="str">
        <f>IF(Respostas_Brutas!B323="","",IFERROR(N(Respostas_Brutas!Y323)/N(Respostas_Brutas!Z323),""))</f>
        <v/>
      </c>
      <c r="G323" s="4" t="str">
        <f>IF(Respostas_Brutas!B323="","",IF(Respostas_Brutas!K323&lt;&gt;"",1,0))</f>
        <v/>
      </c>
      <c r="H323" s="4" t="str">
        <f>IF(Respostas_Brutas!B323="","",IF(ISNUMBER(SEARCH("Não",Respostas_Brutas!AH323)),1,0))</f>
        <v/>
      </c>
      <c r="I323" s="4" t="str">
        <f>IF(Respostas_Brutas!B323="","",IF(ISNUMBER(SEARCH("Sim",Respostas_Brutas!AL323)),1,0))</f>
        <v/>
      </c>
      <c r="J323" s="4" t="str">
        <f>IF(Respostas_Brutas!B323="","",IF(Respostas_Brutas!AN323="","",MIN(1,MAX(0,(N(Respostas_Brutas!AN323)-1)/4))))</f>
        <v/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tr">
        <f>IF(Respostas_Brutas!B324="","",Respostas_Brutas!B324)</f>
        <v/>
      </c>
      <c r="B324" s="4" t="str">
        <f>IF(Respostas_Brutas!B324="","",IFERROR(IF(IFERROR(VALUE(TRIM(SUBSTITUTE(SUBSTITUTE(SUBSTITUTE(TRIM(Respostas_Brutas!AS324),"R$",""),".",""),",","."))),0)=0,"",(IFERROR(VALUE(TRIM(SUBSTITUTE(SUBSTITUTE(SUBSTITUTE(TRIM(Respostas_Brutas!AS324),"R$",""),".",""),",","."))),0)-IFERROR(VALUE(TRIM(SUBSTITUTE(SUBSTITUTE(SUBSTITUTE(TRIM(Respostas_Brutas!T324),"R$",""),".",""),",","."))),0))/IFERROR(VALUE(TRIM(SUBSTITUTE(SUBSTITUTE(SUBSTITUTE(TRIM(Respostas_Brutas!AS324),"R$",""),".",""),",","."))),0)),""))</f>
        <v/>
      </c>
      <c r="C324" s="4" t="str">
        <f>IF(Respostas_Brutas!B324="","",MIN(1,(IFERROR(VALUE(LEFT(Respostas_Brutas!I324,IFERROR(FIND(" ",Respostas_Brutas!I324)-1,LEN(Respostas_Brutas!I324)))),0)+IFERROR(VALUE(LEFT(Respostas_Brutas!O324,IFERROR(FIND(" ",Respostas_Brutas!O324)-1,LEN(Respostas_Brutas!O324)))),0))/20))</f>
        <v/>
      </c>
      <c r="D324" s="4" t="str">
        <f>IF(Respostas_Brutas!B324="","",IF(Respostas_Brutas!D324="","",MIN(1,MAX(0,(YEAR(TODAY())-N(Respostas_Brutas!D324))/15))))</f>
        <v/>
      </c>
      <c r="E324" s="4" t="str">
        <f>IF(Respostas_Brutas!B324="","",IF(ISNUMBER(SEARCH("Sim",Respostas_Brutas!S324)),1,0))</f>
        <v/>
      </c>
      <c r="F324" s="4" t="str">
        <f>IF(Respostas_Brutas!B324="","",IFERROR(N(Respostas_Brutas!Y324)/N(Respostas_Brutas!Z324),""))</f>
        <v/>
      </c>
      <c r="G324" s="4" t="str">
        <f>IF(Respostas_Brutas!B324="","",IF(Respostas_Brutas!K324&lt;&gt;"",1,0))</f>
        <v/>
      </c>
      <c r="H324" s="4" t="str">
        <f>IF(Respostas_Brutas!B324="","",IF(ISNUMBER(SEARCH("Não",Respostas_Brutas!AH324)),1,0))</f>
        <v/>
      </c>
      <c r="I324" s="4" t="str">
        <f>IF(Respostas_Brutas!B324="","",IF(ISNUMBER(SEARCH("Sim",Respostas_Brutas!AL324)),1,0))</f>
        <v/>
      </c>
      <c r="J324" s="4" t="str">
        <f>IF(Respostas_Brutas!B324="","",IF(Respostas_Brutas!AN324="","",MIN(1,MAX(0,(N(Respostas_Brutas!AN324)-1)/4))))</f>
        <v/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tr">
        <f>IF(Respostas_Brutas!B325="","",Respostas_Brutas!B325)</f>
        <v/>
      </c>
      <c r="B325" s="4" t="str">
        <f>IF(Respostas_Brutas!B325="","",IFERROR(IF(IFERROR(VALUE(TRIM(SUBSTITUTE(SUBSTITUTE(SUBSTITUTE(TRIM(Respostas_Brutas!AS325),"R$",""),".",""),",","."))),0)=0,"",(IFERROR(VALUE(TRIM(SUBSTITUTE(SUBSTITUTE(SUBSTITUTE(TRIM(Respostas_Brutas!AS325),"R$",""),".",""),",","."))),0)-IFERROR(VALUE(TRIM(SUBSTITUTE(SUBSTITUTE(SUBSTITUTE(TRIM(Respostas_Brutas!T325),"R$",""),".",""),",","."))),0))/IFERROR(VALUE(TRIM(SUBSTITUTE(SUBSTITUTE(SUBSTITUTE(TRIM(Respostas_Brutas!AS325),"R$",""),".",""),",","."))),0)),""))</f>
        <v/>
      </c>
      <c r="C325" s="4" t="str">
        <f>IF(Respostas_Brutas!B325="","",MIN(1,(IFERROR(VALUE(LEFT(Respostas_Brutas!I325,IFERROR(FIND(" ",Respostas_Brutas!I325)-1,LEN(Respostas_Brutas!I325)))),0)+IFERROR(VALUE(LEFT(Respostas_Brutas!O325,IFERROR(FIND(" ",Respostas_Brutas!O325)-1,LEN(Respostas_Brutas!O325)))),0))/20))</f>
        <v/>
      </c>
      <c r="D325" s="4" t="str">
        <f>IF(Respostas_Brutas!B325="","",IF(Respostas_Brutas!D325="","",MIN(1,MAX(0,(YEAR(TODAY())-N(Respostas_Brutas!D325))/15))))</f>
        <v/>
      </c>
      <c r="E325" s="4" t="str">
        <f>IF(Respostas_Brutas!B325="","",IF(ISNUMBER(SEARCH("Sim",Respostas_Brutas!S325)),1,0))</f>
        <v/>
      </c>
      <c r="F325" s="4" t="str">
        <f>IF(Respostas_Brutas!B325="","",IFERROR(N(Respostas_Brutas!Y325)/N(Respostas_Brutas!Z325),""))</f>
        <v/>
      </c>
      <c r="G325" s="4" t="str">
        <f>IF(Respostas_Brutas!B325="","",IF(Respostas_Brutas!K325&lt;&gt;"",1,0))</f>
        <v/>
      </c>
      <c r="H325" s="4" t="str">
        <f>IF(Respostas_Brutas!B325="","",IF(ISNUMBER(SEARCH("Não",Respostas_Brutas!AH325)),1,0))</f>
        <v/>
      </c>
      <c r="I325" s="4" t="str">
        <f>IF(Respostas_Brutas!B325="","",IF(ISNUMBER(SEARCH("Sim",Respostas_Brutas!AL325)),1,0))</f>
        <v/>
      </c>
      <c r="J325" s="4" t="str">
        <f>IF(Respostas_Brutas!B325="","",IF(Respostas_Brutas!AN325="","",MIN(1,MAX(0,(N(Respostas_Brutas!AN325)-1)/4))))</f>
        <v/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tr">
        <f>IF(Respostas_Brutas!B326="","",Respostas_Brutas!B326)</f>
        <v/>
      </c>
      <c r="B326" s="4" t="str">
        <f>IF(Respostas_Brutas!B326="","",IFERROR(IF(IFERROR(VALUE(TRIM(SUBSTITUTE(SUBSTITUTE(SUBSTITUTE(TRIM(Respostas_Brutas!AS326),"R$",""),".",""),",","."))),0)=0,"",(IFERROR(VALUE(TRIM(SUBSTITUTE(SUBSTITUTE(SUBSTITUTE(TRIM(Respostas_Brutas!AS326),"R$",""),".",""),",","."))),0)-IFERROR(VALUE(TRIM(SUBSTITUTE(SUBSTITUTE(SUBSTITUTE(TRIM(Respostas_Brutas!T326),"R$",""),".",""),",","."))),0))/IFERROR(VALUE(TRIM(SUBSTITUTE(SUBSTITUTE(SUBSTITUTE(TRIM(Respostas_Brutas!AS326),"R$",""),".",""),",","."))),0)),""))</f>
        <v/>
      </c>
      <c r="C326" s="4" t="str">
        <f>IF(Respostas_Brutas!B326="","",MIN(1,(IFERROR(VALUE(LEFT(Respostas_Brutas!I326,IFERROR(FIND(" ",Respostas_Brutas!I326)-1,LEN(Respostas_Brutas!I326)))),0)+IFERROR(VALUE(LEFT(Respostas_Brutas!O326,IFERROR(FIND(" ",Respostas_Brutas!O326)-1,LEN(Respostas_Brutas!O326)))),0))/20))</f>
        <v/>
      </c>
      <c r="D326" s="4" t="str">
        <f>IF(Respostas_Brutas!B326="","",IF(Respostas_Brutas!D326="","",MIN(1,MAX(0,(YEAR(TODAY())-N(Respostas_Brutas!D326))/15))))</f>
        <v/>
      </c>
      <c r="E326" s="4" t="str">
        <f>IF(Respostas_Brutas!B326="","",IF(ISNUMBER(SEARCH("Sim",Respostas_Brutas!S326)),1,0))</f>
        <v/>
      </c>
      <c r="F326" s="4" t="str">
        <f>IF(Respostas_Brutas!B326="","",IFERROR(N(Respostas_Brutas!Y326)/N(Respostas_Brutas!Z326),""))</f>
        <v/>
      </c>
      <c r="G326" s="4" t="str">
        <f>IF(Respostas_Brutas!B326="","",IF(Respostas_Brutas!K326&lt;&gt;"",1,0))</f>
        <v/>
      </c>
      <c r="H326" s="4" t="str">
        <f>IF(Respostas_Brutas!B326="","",IF(ISNUMBER(SEARCH("Não",Respostas_Brutas!AH326)),1,0))</f>
        <v/>
      </c>
      <c r="I326" s="4" t="str">
        <f>IF(Respostas_Brutas!B326="","",IF(ISNUMBER(SEARCH("Sim",Respostas_Brutas!AL326)),1,0))</f>
        <v/>
      </c>
      <c r="J326" s="4" t="str">
        <f>IF(Respostas_Brutas!B326="","",IF(Respostas_Brutas!AN326="","",MIN(1,MAX(0,(N(Respostas_Brutas!AN326)-1)/4))))</f>
        <v/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tr">
        <f>IF(Respostas_Brutas!B327="","",Respostas_Brutas!B327)</f>
        <v/>
      </c>
      <c r="B327" s="4" t="str">
        <f>IF(Respostas_Brutas!B327="","",IFERROR(IF(IFERROR(VALUE(TRIM(SUBSTITUTE(SUBSTITUTE(SUBSTITUTE(TRIM(Respostas_Brutas!AS327),"R$",""),".",""),",","."))),0)=0,"",(IFERROR(VALUE(TRIM(SUBSTITUTE(SUBSTITUTE(SUBSTITUTE(TRIM(Respostas_Brutas!AS327),"R$",""),".",""),",","."))),0)-IFERROR(VALUE(TRIM(SUBSTITUTE(SUBSTITUTE(SUBSTITUTE(TRIM(Respostas_Brutas!T327),"R$",""),".",""),",","."))),0))/IFERROR(VALUE(TRIM(SUBSTITUTE(SUBSTITUTE(SUBSTITUTE(TRIM(Respostas_Brutas!AS327),"R$",""),".",""),",","."))),0)),""))</f>
        <v/>
      </c>
      <c r="C327" s="4" t="str">
        <f>IF(Respostas_Brutas!B327="","",MIN(1,(IFERROR(VALUE(LEFT(Respostas_Brutas!I327,IFERROR(FIND(" ",Respostas_Brutas!I327)-1,LEN(Respostas_Brutas!I327)))),0)+IFERROR(VALUE(LEFT(Respostas_Brutas!O327,IFERROR(FIND(" ",Respostas_Brutas!O327)-1,LEN(Respostas_Brutas!O327)))),0))/20))</f>
        <v/>
      </c>
      <c r="D327" s="4" t="str">
        <f>IF(Respostas_Brutas!B327="","",IF(Respostas_Brutas!D327="","",MIN(1,MAX(0,(YEAR(TODAY())-N(Respostas_Brutas!D327))/15))))</f>
        <v/>
      </c>
      <c r="E327" s="4" t="str">
        <f>IF(Respostas_Brutas!B327="","",IF(ISNUMBER(SEARCH("Sim",Respostas_Brutas!S327)),1,0))</f>
        <v/>
      </c>
      <c r="F327" s="4" t="str">
        <f>IF(Respostas_Brutas!B327="","",IFERROR(N(Respostas_Brutas!Y327)/N(Respostas_Brutas!Z327),""))</f>
        <v/>
      </c>
      <c r="G327" s="4" t="str">
        <f>IF(Respostas_Brutas!B327="","",IF(Respostas_Brutas!K327&lt;&gt;"",1,0))</f>
        <v/>
      </c>
      <c r="H327" s="4" t="str">
        <f>IF(Respostas_Brutas!B327="","",IF(ISNUMBER(SEARCH("Não",Respostas_Brutas!AH327)),1,0))</f>
        <v/>
      </c>
      <c r="I327" s="4" t="str">
        <f>IF(Respostas_Brutas!B327="","",IF(ISNUMBER(SEARCH("Sim",Respostas_Brutas!AL327)),1,0))</f>
        <v/>
      </c>
      <c r="J327" s="4" t="str">
        <f>IF(Respostas_Brutas!B327="","",IF(Respostas_Brutas!AN327="","",MIN(1,MAX(0,(N(Respostas_Brutas!AN327)-1)/4))))</f>
        <v/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tr">
        <f>IF(Respostas_Brutas!B328="","",Respostas_Brutas!B328)</f>
        <v/>
      </c>
      <c r="B328" s="4" t="str">
        <f>IF(Respostas_Brutas!B328="","",IFERROR(IF(IFERROR(VALUE(TRIM(SUBSTITUTE(SUBSTITUTE(SUBSTITUTE(TRIM(Respostas_Brutas!AS328),"R$",""),".",""),",","."))),0)=0,"",(IFERROR(VALUE(TRIM(SUBSTITUTE(SUBSTITUTE(SUBSTITUTE(TRIM(Respostas_Brutas!AS328),"R$",""),".",""),",","."))),0)-IFERROR(VALUE(TRIM(SUBSTITUTE(SUBSTITUTE(SUBSTITUTE(TRIM(Respostas_Brutas!T328),"R$",""),".",""),",","."))),0))/IFERROR(VALUE(TRIM(SUBSTITUTE(SUBSTITUTE(SUBSTITUTE(TRIM(Respostas_Brutas!AS328),"R$",""),".",""),",","."))),0)),""))</f>
        <v/>
      </c>
      <c r="C328" s="4" t="str">
        <f>IF(Respostas_Brutas!B328="","",MIN(1,(IFERROR(VALUE(LEFT(Respostas_Brutas!I328,IFERROR(FIND(" ",Respostas_Brutas!I328)-1,LEN(Respostas_Brutas!I328)))),0)+IFERROR(VALUE(LEFT(Respostas_Brutas!O328,IFERROR(FIND(" ",Respostas_Brutas!O328)-1,LEN(Respostas_Brutas!O328)))),0))/20))</f>
        <v/>
      </c>
      <c r="D328" s="4" t="str">
        <f>IF(Respostas_Brutas!B328="","",IF(Respostas_Brutas!D328="","",MIN(1,MAX(0,(YEAR(TODAY())-N(Respostas_Brutas!D328))/15))))</f>
        <v/>
      </c>
      <c r="E328" s="4" t="str">
        <f>IF(Respostas_Brutas!B328="","",IF(ISNUMBER(SEARCH("Sim",Respostas_Brutas!S328)),1,0))</f>
        <v/>
      </c>
      <c r="F328" s="4" t="str">
        <f>IF(Respostas_Brutas!B328="","",IFERROR(N(Respostas_Brutas!Y328)/N(Respostas_Brutas!Z328),""))</f>
        <v/>
      </c>
      <c r="G328" s="4" t="str">
        <f>IF(Respostas_Brutas!B328="","",IF(Respostas_Brutas!K328&lt;&gt;"",1,0))</f>
        <v/>
      </c>
      <c r="H328" s="4" t="str">
        <f>IF(Respostas_Brutas!B328="","",IF(ISNUMBER(SEARCH("Não",Respostas_Brutas!AH328)),1,0))</f>
        <v/>
      </c>
      <c r="I328" s="4" t="str">
        <f>IF(Respostas_Brutas!B328="","",IF(ISNUMBER(SEARCH("Sim",Respostas_Brutas!AL328)),1,0))</f>
        <v/>
      </c>
      <c r="J328" s="4" t="str">
        <f>IF(Respostas_Brutas!B328="","",IF(Respostas_Brutas!AN328="","",MIN(1,MAX(0,(N(Respostas_Brutas!AN328)-1)/4))))</f>
        <v/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tr">
        <f>IF(Respostas_Brutas!B329="","",Respostas_Brutas!B329)</f>
        <v/>
      </c>
      <c r="B329" s="4" t="str">
        <f>IF(Respostas_Brutas!B329="","",IFERROR(IF(IFERROR(VALUE(TRIM(SUBSTITUTE(SUBSTITUTE(SUBSTITUTE(TRIM(Respostas_Brutas!AS329),"R$",""),".",""),",","."))),0)=0,"",(IFERROR(VALUE(TRIM(SUBSTITUTE(SUBSTITUTE(SUBSTITUTE(TRIM(Respostas_Brutas!AS329),"R$",""),".",""),",","."))),0)-IFERROR(VALUE(TRIM(SUBSTITUTE(SUBSTITUTE(SUBSTITUTE(TRIM(Respostas_Brutas!T329),"R$",""),".",""),",","."))),0))/IFERROR(VALUE(TRIM(SUBSTITUTE(SUBSTITUTE(SUBSTITUTE(TRIM(Respostas_Brutas!AS329),"R$",""),".",""),",","."))),0)),""))</f>
        <v/>
      </c>
      <c r="C329" s="4" t="str">
        <f>IF(Respostas_Brutas!B329="","",MIN(1,(IFERROR(VALUE(LEFT(Respostas_Brutas!I329,IFERROR(FIND(" ",Respostas_Brutas!I329)-1,LEN(Respostas_Brutas!I329)))),0)+IFERROR(VALUE(LEFT(Respostas_Brutas!O329,IFERROR(FIND(" ",Respostas_Brutas!O329)-1,LEN(Respostas_Brutas!O329)))),0))/20))</f>
        <v/>
      </c>
      <c r="D329" s="4" t="str">
        <f>IF(Respostas_Brutas!B329="","",IF(Respostas_Brutas!D329="","",MIN(1,MAX(0,(YEAR(TODAY())-N(Respostas_Brutas!D329))/15))))</f>
        <v/>
      </c>
      <c r="E329" s="4" t="str">
        <f>IF(Respostas_Brutas!B329="","",IF(ISNUMBER(SEARCH("Sim",Respostas_Brutas!S329)),1,0))</f>
        <v/>
      </c>
      <c r="F329" s="4" t="str">
        <f>IF(Respostas_Brutas!B329="","",IFERROR(N(Respostas_Brutas!Y329)/N(Respostas_Brutas!Z329),""))</f>
        <v/>
      </c>
      <c r="G329" s="4" t="str">
        <f>IF(Respostas_Brutas!B329="","",IF(Respostas_Brutas!K329&lt;&gt;"",1,0))</f>
        <v/>
      </c>
      <c r="H329" s="4" t="str">
        <f>IF(Respostas_Brutas!B329="","",IF(ISNUMBER(SEARCH("Não",Respostas_Brutas!AH329)),1,0))</f>
        <v/>
      </c>
      <c r="I329" s="4" t="str">
        <f>IF(Respostas_Brutas!B329="","",IF(ISNUMBER(SEARCH("Sim",Respostas_Brutas!AL329)),1,0))</f>
        <v/>
      </c>
      <c r="J329" s="4" t="str">
        <f>IF(Respostas_Brutas!B329="","",IF(Respostas_Brutas!AN329="","",MIN(1,MAX(0,(N(Respostas_Brutas!AN329)-1)/4))))</f>
        <v/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tr">
        <f>IF(Respostas_Brutas!B330="","",Respostas_Brutas!B330)</f>
        <v/>
      </c>
      <c r="B330" s="4" t="str">
        <f>IF(Respostas_Brutas!B330="","",IFERROR(IF(IFERROR(VALUE(TRIM(SUBSTITUTE(SUBSTITUTE(SUBSTITUTE(TRIM(Respostas_Brutas!AS330),"R$",""),".",""),",","."))),0)=0,"",(IFERROR(VALUE(TRIM(SUBSTITUTE(SUBSTITUTE(SUBSTITUTE(TRIM(Respostas_Brutas!AS330),"R$",""),".",""),",","."))),0)-IFERROR(VALUE(TRIM(SUBSTITUTE(SUBSTITUTE(SUBSTITUTE(TRIM(Respostas_Brutas!T330),"R$",""),".",""),",","."))),0))/IFERROR(VALUE(TRIM(SUBSTITUTE(SUBSTITUTE(SUBSTITUTE(TRIM(Respostas_Brutas!AS330),"R$",""),".",""),",","."))),0)),""))</f>
        <v/>
      </c>
      <c r="C330" s="4" t="str">
        <f>IF(Respostas_Brutas!B330="","",MIN(1,(IFERROR(VALUE(LEFT(Respostas_Brutas!I330,IFERROR(FIND(" ",Respostas_Brutas!I330)-1,LEN(Respostas_Brutas!I330)))),0)+IFERROR(VALUE(LEFT(Respostas_Brutas!O330,IFERROR(FIND(" ",Respostas_Brutas!O330)-1,LEN(Respostas_Brutas!O330)))),0))/20))</f>
        <v/>
      </c>
      <c r="D330" s="4" t="str">
        <f>IF(Respostas_Brutas!B330="","",IF(Respostas_Brutas!D330="","",MIN(1,MAX(0,(YEAR(TODAY())-N(Respostas_Brutas!D330))/15))))</f>
        <v/>
      </c>
      <c r="E330" s="4" t="str">
        <f>IF(Respostas_Brutas!B330="","",IF(ISNUMBER(SEARCH("Sim",Respostas_Brutas!S330)),1,0))</f>
        <v/>
      </c>
      <c r="F330" s="4" t="str">
        <f>IF(Respostas_Brutas!B330="","",IFERROR(N(Respostas_Brutas!Y330)/N(Respostas_Brutas!Z330),""))</f>
        <v/>
      </c>
      <c r="G330" s="4" t="str">
        <f>IF(Respostas_Brutas!B330="","",IF(Respostas_Brutas!K330&lt;&gt;"",1,0))</f>
        <v/>
      </c>
      <c r="H330" s="4" t="str">
        <f>IF(Respostas_Brutas!B330="","",IF(ISNUMBER(SEARCH("Não",Respostas_Brutas!AH330)),1,0))</f>
        <v/>
      </c>
      <c r="I330" s="4" t="str">
        <f>IF(Respostas_Brutas!B330="","",IF(ISNUMBER(SEARCH("Sim",Respostas_Brutas!AL330)),1,0))</f>
        <v/>
      </c>
      <c r="J330" s="4" t="str">
        <f>IF(Respostas_Brutas!B330="","",IF(Respostas_Brutas!AN330="","",MIN(1,MAX(0,(N(Respostas_Brutas!AN330)-1)/4))))</f>
        <v/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tr">
        <f>IF(Respostas_Brutas!B331="","",Respostas_Brutas!B331)</f>
        <v/>
      </c>
      <c r="B331" s="4" t="str">
        <f>IF(Respostas_Brutas!B331="","",IFERROR(IF(IFERROR(VALUE(TRIM(SUBSTITUTE(SUBSTITUTE(SUBSTITUTE(TRIM(Respostas_Brutas!AS331),"R$",""),".",""),",","."))),0)=0,"",(IFERROR(VALUE(TRIM(SUBSTITUTE(SUBSTITUTE(SUBSTITUTE(TRIM(Respostas_Brutas!AS331),"R$",""),".",""),",","."))),0)-IFERROR(VALUE(TRIM(SUBSTITUTE(SUBSTITUTE(SUBSTITUTE(TRIM(Respostas_Brutas!T331),"R$",""),".",""),",","."))),0))/IFERROR(VALUE(TRIM(SUBSTITUTE(SUBSTITUTE(SUBSTITUTE(TRIM(Respostas_Brutas!AS331),"R$",""),".",""),",","."))),0)),""))</f>
        <v/>
      </c>
      <c r="C331" s="4" t="str">
        <f>IF(Respostas_Brutas!B331="","",MIN(1,(IFERROR(VALUE(LEFT(Respostas_Brutas!I331,IFERROR(FIND(" ",Respostas_Brutas!I331)-1,LEN(Respostas_Brutas!I331)))),0)+IFERROR(VALUE(LEFT(Respostas_Brutas!O331,IFERROR(FIND(" ",Respostas_Brutas!O331)-1,LEN(Respostas_Brutas!O331)))),0))/20))</f>
        <v/>
      </c>
      <c r="D331" s="4" t="str">
        <f>IF(Respostas_Brutas!B331="","",IF(Respostas_Brutas!D331="","",MIN(1,MAX(0,(YEAR(TODAY())-N(Respostas_Brutas!D331))/15))))</f>
        <v/>
      </c>
      <c r="E331" s="4" t="str">
        <f>IF(Respostas_Brutas!B331="","",IF(ISNUMBER(SEARCH("Sim",Respostas_Brutas!S331)),1,0))</f>
        <v/>
      </c>
      <c r="F331" s="4" t="str">
        <f>IF(Respostas_Brutas!B331="","",IFERROR(N(Respostas_Brutas!Y331)/N(Respostas_Brutas!Z331),""))</f>
        <v/>
      </c>
      <c r="G331" s="4" t="str">
        <f>IF(Respostas_Brutas!B331="","",IF(Respostas_Brutas!K331&lt;&gt;"",1,0))</f>
        <v/>
      </c>
      <c r="H331" s="4" t="str">
        <f>IF(Respostas_Brutas!B331="","",IF(ISNUMBER(SEARCH("Não",Respostas_Brutas!AH331)),1,0))</f>
        <v/>
      </c>
      <c r="I331" s="4" t="str">
        <f>IF(Respostas_Brutas!B331="","",IF(ISNUMBER(SEARCH("Sim",Respostas_Brutas!AL331)),1,0))</f>
        <v/>
      </c>
      <c r="J331" s="4" t="str">
        <f>IF(Respostas_Brutas!B331="","",IF(Respostas_Brutas!AN331="","",MIN(1,MAX(0,(N(Respostas_Brutas!AN331)-1)/4))))</f>
        <v/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tr">
        <f>IF(Respostas_Brutas!B332="","",Respostas_Brutas!B332)</f>
        <v/>
      </c>
      <c r="B332" s="4" t="str">
        <f>IF(Respostas_Brutas!B332="","",IFERROR(IF(IFERROR(VALUE(TRIM(SUBSTITUTE(SUBSTITUTE(SUBSTITUTE(TRIM(Respostas_Brutas!AS332),"R$",""),".",""),",","."))),0)=0,"",(IFERROR(VALUE(TRIM(SUBSTITUTE(SUBSTITUTE(SUBSTITUTE(TRIM(Respostas_Brutas!AS332),"R$",""),".",""),",","."))),0)-IFERROR(VALUE(TRIM(SUBSTITUTE(SUBSTITUTE(SUBSTITUTE(TRIM(Respostas_Brutas!T332),"R$",""),".",""),",","."))),0))/IFERROR(VALUE(TRIM(SUBSTITUTE(SUBSTITUTE(SUBSTITUTE(TRIM(Respostas_Brutas!AS332),"R$",""),".",""),",","."))),0)),""))</f>
        <v/>
      </c>
      <c r="C332" s="4" t="str">
        <f>IF(Respostas_Brutas!B332="","",MIN(1,(IFERROR(VALUE(LEFT(Respostas_Brutas!I332,IFERROR(FIND(" ",Respostas_Brutas!I332)-1,LEN(Respostas_Brutas!I332)))),0)+IFERROR(VALUE(LEFT(Respostas_Brutas!O332,IFERROR(FIND(" ",Respostas_Brutas!O332)-1,LEN(Respostas_Brutas!O332)))),0))/20))</f>
        <v/>
      </c>
      <c r="D332" s="4" t="str">
        <f>IF(Respostas_Brutas!B332="","",IF(Respostas_Brutas!D332="","",MIN(1,MAX(0,(YEAR(TODAY())-N(Respostas_Brutas!D332))/15))))</f>
        <v/>
      </c>
      <c r="E332" s="4" t="str">
        <f>IF(Respostas_Brutas!B332="","",IF(ISNUMBER(SEARCH("Sim",Respostas_Brutas!S332)),1,0))</f>
        <v/>
      </c>
      <c r="F332" s="4" t="str">
        <f>IF(Respostas_Brutas!B332="","",IFERROR(N(Respostas_Brutas!Y332)/N(Respostas_Brutas!Z332),""))</f>
        <v/>
      </c>
      <c r="G332" s="4" t="str">
        <f>IF(Respostas_Brutas!B332="","",IF(Respostas_Brutas!K332&lt;&gt;"",1,0))</f>
        <v/>
      </c>
      <c r="H332" s="4" t="str">
        <f>IF(Respostas_Brutas!B332="","",IF(ISNUMBER(SEARCH("Não",Respostas_Brutas!AH332)),1,0))</f>
        <v/>
      </c>
      <c r="I332" s="4" t="str">
        <f>IF(Respostas_Brutas!B332="","",IF(ISNUMBER(SEARCH("Sim",Respostas_Brutas!AL332)),1,0))</f>
        <v/>
      </c>
      <c r="J332" s="4" t="str">
        <f>IF(Respostas_Brutas!B332="","",IF(Respostas_Brutas!AN332="","",MIN(1,MAX(0,(N(Respostas_Brutas!AN332)-1)/4))))</f>
        <v/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tr">
        <f>IF(Respostas_Brutas!B333="","",Respostas_Brutas!B333)</f>
        <v/>
      </c>
      <c r="B333" s="4" t="str">
        <f>IF(Respostas_Brutas!B333="","",IFERROR(IF(IFERROR(VALUE(TRIM(SUBSTITUTE(SUBSTITUTE(SUBSTITUTE(TRIM(Respostas_Brutas!AS333),"R$",""),".",""),",","."))),0)=0,"",(IFERROR(VALUE(TRIM(SUBSTITUTE(SUBSTITUTE(SUBSTITUTE(TRIM(Respostas_Brutas!AS333),"R$",""),".",""),",","."))),0)-IFERROR(VALUE(TRIM(SUBSTITUTE(SUBSTITUTE(SUBSTITUTE(TRIM(Respostas_Brutas!T333),"R$",""),".",""),",","."))),0))/IFERROR(VALUE(TRIM(SUBSTITUTE(SUBSTITUTE(SUBSTITUTE(TRIM(Respostas_Brutas!AS333),"R$",""),".",""),",","."))),0)),""))</f>
        <v/>
      </c>
      <c r="C333" s="4" t="str">
        <f>IF(Respostas_Brutas!B333="","",MIN(1,(IFERROR(VALUE(LEFT(Respostas_Brutas!I333,IFERROR(FIND(" ",Respostas_Brutas!I333)-1,LEN(Respostas_Brutas!I333)))),0)+IFERROR(VALUE(LEFT(Respostas_Brutas!O333,IFERROR(FIND(" ",Respostas_Brutas!O333)-1,LEN(Respostas_Brutas!O333)))),0))/20))</f>
        <v/>
      </c>
      <c r="D333" s="4" t="str">
        <f>IF(Respostas_Brutas!B333="","",IF(Respostas_Brutas!D333="","",MIN(1,MAX(0,(YEAR(TODAY())-N(Respostas_Brutas!D333))/15))))</f>
        <v/>
      </c>
      <c r="E333" s="4" t="str">
        <f>IF(Respostas_Brutas!B333="","",IF(ISNUMBER(SEARCH("Sim",Respostas_Brutas!S333)),1,0))</f>
        <v/>
      </c>
      <c r="F333" s="4" t="str">
        <f>IF(Respostas_Brutas!B333="","",IFERROR(N(Respostas_Brutas!Y333)/N(Respostas_Brutas!Z333),""))</f>
        <v/>
      </c>
      <c r="G333" s="4" t="str">
        <f>IF(Respostas_Brutas!B333="","",IF(Respostas_Brutas!K333&lt;&gt;"",1,0))</f>
        <v/>
      </c>
      <c r="H333" s="4" t="str">
        <f>IF(Respostas_Brutas!B333="","",IF(ISNUMBER(SEARCH("Não",Respostas_Brutas!AH333)),1,0))</f>
        <v/>
      </c>
      <c r="I333" s="4" t="str">
        <f>IF(Respostas_Brutas!B333="","",IF(ISNUMBER(SEARCH("Sim",Respostas_Brutas!AL333)),1,0))</f>
        <v/>
      </c>
      <c r="J333" s="4" t="str">
        <f>IF(Respostas_Brutas!B333="","",IF(Respostas_Brutas!AN333="","",MIN(1,MAX(0,(N(Respostas_Brutas!AN333)-1)/4))))</f>
        <v/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tr">
        <f>IF(Respostas_Brutas!B334="","",Respostas_Brutas!B334)</f>
        <v/>
      </c>
      <c r="B334" s="4" t="str">
        <f>IF(Respostas_Brutas!B334="","",IFERROR(IF(IFERROR(VALUE(TRIM(SUBSTITUTE(SUBSTITUTE(SUBSTITUTE(TRIM(Respostas_Brutas!AS334),"R$",""),".",""),",","."))),0)=0,"",(IFERROR(VALUE(TRIM(SUBSTITUTE(SUBSTITUTE(SUBSTITUTE(TRIM(Respostas_Brutas!AS334),"R$",""),".",""),",","."))),0)-IFERROR(VALUE(TRIM(SUBSTITUTE(SUBSTITUTE(SUBSTITUTE(TRIM(Respostas_Brutas!T334),"R$",""),".",""),",","."))),0))/IFERROR(VALUE(TRIM(SUBSTITUTE(SUBSTITUTE(SUBSTITUTE(TRIM(Respostas_Brutas!AS334),"R$",""),".",""),",","."))),0)),""))</f>
        <v/>
      </c>
      <c r="C334" s="4" t="str">
        <f>IF(Respostas_Brutas!B334="","",MIN(1,(IFERROR(VALUE(LEFT(Respostas_Brutas!I334,IFERROR(FIND(" ",Respostas_Brutas!I334)-1,LEN(Respostas_Brutas!I334)))),0)+IFERROR(VALUE(LEFT(Respostas_Brutas!O334,IFERROR(FIND(" ",Respostas_Brutas!O334)-1,LEN(Respostas_Brutas!O334)))),0))/20))</f>
        <v/>
      </c>
      <c r="D334" s="4" t="str">
        <f>IF(Respostas_Brutas!B334="","",IF(Respostas_Brutas!D334="","",MIN(1,MAX(0,(YEAR(TODAY())-N(Respostas_Brutas!D334))/15))))</f>
        <v/>
      </c>
      <c r="E334" s="4" t="str">
        <f>IF(Respostas_Brutas!B334="","",IF(ISNUMBER(SEARCH("Sim",Respostas_Brutas!S334)),1,0))</f>
        <v/>
      </c>
      <c r="F334" s="4" t="str">
        <f>IF(Respostas_Brutas!B334="","",IFERROR(N(Respostas_Brutas!Y334)/N(Respostas_Brutas!Z334),""))</f>
        <v/>
      </c>
      <c r="G334" s="4" t="str">
        <f>IF(Respostas_Brutas!B334="","",IF(Respostas_Brutas!K334&lt;&gt;"",1,0))</f>
        <v/>
      </c>
      <c r="H334" s="4" t="str">
        <f>IF(Respostas_Brutas!B334="","",IF(ISNUMBER(SEARCH("Não",Respostas_Brutas!AH334)),1,0))</f>
        <v/>
      </c>
      <c r="I334" s="4" t="str">
        <f>IF(Respostas_Brutas!B334="","",IF(ISNUMBER(SEARCH("Sim",Respostas_Brutas!AL334)),1,0))</f>
        <v/>
      </c>
      <c r="J334" s="4" t="str">
        <f>IF(Respostas_Brutas!B334="","",IF(Respostas_Brutas!AN334="","",MIN(1,MAX(0,(N(Respostas_Brutas!AN334)-1)/4))))</f>
        <v/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tr">
        <f>IF(Respostas_Brutas!B335="","",Respostas_Brutas!B335)</f>
        <v/>
      </c>
      <c r="B335" s="4" t="str">
        <f>IF(Respostas_Brutas!B335="","",IFERROR(IF(IFERROR(VALUE(TRIM(SUBSTITUTE(SUBSTITUTE(SUBSTITUTE(TRIM(Respostas_Brutas!AS335),"R$",""),".",""),",","."))),0)=0,"",(IFERROR(VALUE(TRIM(SUBSTITUTE(SUBSTITUTE(SUBSTITUTE(TRIM(Respostas_Brutas!AS335),"R$",""),".",""),",","."))),0)-IFERROR(VALUE(TRIM(SUBSTITUTE(SUBSTITUTE(SUBSTITUTE(TRIM(Respostas_Brutas!T335),"R$",""),".",""),",","."))),0))/IFERROR(VALUE(TRIM(SUBSTITUTE(SUBSTITUTE(SUBSTITUTE(TRIM(Respostas_Brutas!AS335),"R$",""),".",""),",","."))),0)),""))</f>
        <v/>
      </c>
      <c r="C335" s="4" t="str">
        <f>IF(Respostas_Brutas!B335="","",MIN(1,(IFERROR(VALUE(LEFT(Respostas_Brutas!I335,IFERROR(FIND(" ",Respostas_Brutas!I335)-1,LEN(Respostas_Brutas!I335)))),0)+IFERROR(VALUE(LEFT(Respostas_Brutas!O335,IFERROR(FIND(" ",Respostas_Brutas!O335)-1,LEN(Respostas_Brutas!O335)))),0))/20))</f>
        <v/>
      </c>
      <c r="D335" s="4" t="str">
        <f>IF(Respostas_Brutas!B335="","",IF(Respostas_Brutas!D335="","",MIN(1,MAX(0,(YEAR(TODAY())-N(Respostas_Brutas!D335))/15))))</f>
        <v/>
      </c>
      <c r="E335" s="4" t="str">
        <f>IF(Respostas_Brutas!B335="","",IF(ISNUMBER(SEARCH("Sim",Respostas_Brutas!S335)),1,0))</f>
        <v/>
      </c>
      <c r="F335" s="4" t="str">
        <f>IF(Respostas_Brutas!B335="","",IFERROR(N(Respostas_Brutas!Y335)/N(Respostas_Brutas!Z335),""))</f>
        <v/>
      </c>
      <c r="G335" s="4" t="str">
        <f>IF(Respostas_Brutas!B335="","",IF(Respostas_Brutas!K335&lt;&gt;"",1,0))</f>
        <v/>
      </c>
      <c r="H335" s="4" t="str">
        <f>IF(Respostas_Brutas!B335="","",IF(ISNUMBER(SEARCH("Não",Respostas_Brutas!AH335)),1,0))</f>
        <v/>
      </c>
      <c r="I335" s="4" t="str">
        <f>IF(Respostas_Brutas!B335="","",IF(ISNUMBER(SEARCH("Sim",Respostas_Brutas!AL335)),1,0))</f>
        <v/>
      </c>
      <c r="J335" s="4" t="str">
        <f>IF(Respostas_Brutas!B335="","",IF(Respostas_Brutas!AN335="","",MIN(1,MAX(0,(N(Respostas_Brutas!AN335)-1)/4))))</f>
        <v/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tr">
        <f>IF(Respostas_Brutas!B336="","",Respostas_Brutas!B336)</f>
        <v/>
      </c>
      <c r="B336" s="4" t="str">
        <f>IF(Respostas_Brutas!B336="","",IFERROR(IF(IFERROR(VALUE(TRIM(SUBSTITUTE(SUBSTITUTE(SUBSTITUTE(TRIM(Respostas_Brutas!AS336),"R$",""),".",""),",","."))),0)=0,"",(IFERROR(VALUE(TRIM(SUBSTITUTE(SUBSTITUTE(SUBSTITUTE(TRIM(Respostas_Brutas!AS336),"R$",""),".",""),",","."))),0)-IFERROR(VALUE(TRIM(SUBSTITUTE(SUBSTITUTE(SUBSTITUTE(TRIM(Respostas_Brutas!T336),"R$",""),".",""),",","."))),0))/IFERROR(VALUE(TRIM(SUBSTITUTE(SUBSTITUTE(SUBSTITUTE(TRIM(Respostas_Brutas!AS336),"R$",""),".",""),",","."))),0)),""))</f>
        <v/>
      </c>
      <c r="C336" s="4" t="str">
        <f>IF(Respostas_Brutas!B336="","",MIN(1,(IFERROR(VALUE(LEFT(Respostas_Brutas!I336,IFERROR(FIND(" ",Respostas_Brutas!I336)-1,LEN(Respostas_Brutas!I336)))),0)+IFERROR(VALUE(LEFT(Respostas_Brutas!O336,IFERROR(FIND(" ",Respostas_Brutas!O336)-1,LEN(Respostas_Brutas!O336)))),0))/20))</f>
        <v/>
      </c>
      <c r="D336" s="4" t="str">
        <f>IF(Respostas_Brutas!B336="","",IF(Respostas_Brutas!D336="","",MIN(1,MAX(0,(YEAR(TODAY())-N(Respostas_Brutas!D336))/15))))</f>
        <v/>
      </c>
      <c r="E336" s="4" t="str">
        <f>IF(Respostas_Brutas!B336="","",IF(ISNUMBER(SEARCH("Sim",Respostas_Brutas!S336)),1,0))</f>
        <v/>
      </c>
      <c r="F336" s="4" t="str">
        <f>IF(Respostas_Brutas!B336="","",IFERROR(N(Respostas_Brutas!Y336)/N(Respostas_Brutas!Z336),""))</f>
        <v/>
      </c>
      <c r="G336" s="4" t="str">
        <f>IF(Respostas_Brutas!B336="","",IF(Respostas_Brutas!K336&lt;&gt;"",1,0))</f>
        <v/>
      </c>
      <c r="H336" s="4" t="str">
        <f>IF(Respostas_Brutas!B336="","",IF(ISNUMBER(SEARCH("Não",Respostas_Brutas!AH336)),1,0))</f>
        <v/>
      </c>
      <c r="I336" s="4" t="str">
        <f>IF(Respostas_Brutas!B336="","",IF(ISNUMBER(SEARCH("Sim",Respostas_Brutas!AL336)),1,0))</f>
        <v/>
      </c>
      <c r="J336" s="4" t="str">
        <f>IF(Respostas_Brutas!B336="","",IF(Respostas_Brutas!AN336="","",MIN(1,MAX(0,(N(Respostas_Brutas!AN336)-1)/4))))</f>
        <v/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tr">
        <f>IF(Respostas_Brutas!B337="","",Respostas_Brutas!B337)</f>
        <v/>
      </c>
      <c r="B337" s="4" t="str">
        <f>IF(Respostas_Brutas!B337="","",IFERROR(IF(IFERROR(VALUE(TRIM(SUBSTITUTE(SUBSTITUTE(SUBSTITUTE(TRIM(Respostas_Brutas!AS337),"R$",""),".",""),",","."))),0)=0,"",(IFERROR(VALUE(TRIM(SUBSTITUTE(SUBSTITUTE(SUBSTITUTE(TRIM(Respostas_Brutas!AS337),"R$",""),".",""),",","."))),0)-IFERROR(VALUE(TRIM(SUBSTITUTE(SUBSTITUTE(SUBSTITUTE(TRIM(Respostas_Brutas!T337),"R$",""),".",""),",","."))),0))/IFERROR(VALUE(TRIM(SUBSTITUTE(SUBSTITUTE(SUBSTITUTE(TRIM(Respostas_Brutas!AS337),"R$",""),".",""),",","."))),0)),""))</f>
        <v/>
      </c>
      <c r="C337" s="4" t="str">
        <f>IF(Respostas_Brutas!B337="","",MIN(1,(IFERROR(VALUE(LEFT(Respostas_Brutas!I337,IFERROR(FIND(" ",Respostas_Brutas!I337)-1,LEN(Respostas_Brutas!I337)))),0)+IFERROR(VALUE(LEFT(Respostas_Brutas!O337,IFERROR(FIND(" ",Respostas_Brutas!O337)-1,LEN(Respostas_Brutas!O337)))),0))/20))</f>
        <v/>
      </c>
      <c r="D337" s="4" t="str">
        <f>IF(Respostas_Brutas!B337="","",IF(Respostas_Brutas!D337="","",MIN(1,MAX(0,(YEAR(TODAY())-N(Respostas_Brutas!D337))/15))))</f>
        <v/>
      </c>
      <c r="E337" s="4" t="str">
        <f>IF(Respostas_Brutas!B337="","",IF(ISNUMBER(SEARCH("Sim",Respostas_Brutas!S337)),1,0))</f>
        <v/>
      </c>
      <c r="F337" s="4" t="str">
        <f>IF(Respostas_Brutas!B337="","",IFERROR(N(Respostas_Brutas!Y337)/N(Respostas_Brutas!Z337),""))</f>
        <v/>
      </c>
      <c r="G337" s="4" t="str">
        <f>IF(Respostas_Brutas!B337="","",IF(Respostas_Brutas!K337&lt;&gt;"",1,0))</f>
        <v/>
      </c>
      <c r="H337" s="4" t="str">
        <f>IF(Respostas_Brutas!B337="","",IF(ISNUMBER(SEARCH("Não",Respostas_Brutas!AH337)),1,0))</f>
        <v/>
      </c>
      <c r="I337" s="4" t="str">
        <f>IF(Respostas_Brutas!B337="","",IF(ISNUMBER(SEARCH("Sim",Respostas_Brutas!AL337)),1,0))</f>
        <v/>
      </c>
      <c r="J337" s="4" t="str">
        <f>IF(Respostas_Brutas!B337="","",IF(Respostas_Brutas!AN337="","",MIN(1,MAX(0,(N(Respostas_Brutas!AN337)-1)/4))))</f>
        <v/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tr">
        <f>IF(Respostas_Brutas!B338="","",Respostas_Brutas!B338)</f>
        <v/>
      </c>
      <c r="B338" s="4" t="str">
        <f>IF(Respostas_Brutas!B338="","",IFERROR(IF(IFERROR(VALUE(TRIM(SUBSTITUTE(SUBSTITUTE(SUBSTITUTE(TRIM(Respostas_Brutas!AS338),"R$",""),".",""),",","."))),0)=0,"",(IFERROR(VALUE(TRIM(SUBSTITUTE(SUBSTITUTE(SUBSTITUTE(TRIM(Respostas_Brutas!AS338),"R$",""),".",""),",","."))),0)-IFERROR(VALUE(TRIM(SUBSTITUTE(SUBSTITUTE(SUBSTITUTE(TRIM(Respostas_Brutas!T338),"R$",""),".",""),",","."))),0))/IFERROR(VALUE(TRIM(SUBSTITUTE(SUBSTITUTE(SUBSTITUTE(TRIM(Respostas_Brutas!AS338),"R$",""),".",""),",","."))),0)),""))</f>
        <v/>
      </c>
      <c r="C338" s="4" t="str">
        <f>IF(Respostas_Brutas!B338="","",MIN(1,(IFERROR(VALUE(LEFT(Respostas_Brutas!I338,IFERROR(FIND(" ",Respostas_Brutas!I338)-1,LEN(Respostas_Brutas!I338)))),0)+IFERROR(VALUE(LEFT(Respostas_Brutas!O338,IFERROR(FIND(" ",Respostas_Brutas!O338)-1,LEN(Respostas_Brutas!O338)))),0))/20))</f>
        <v/>
      </c>
      <c r="D338" s="4" t="str">
        <f>IF(Respostas_Brutas!B338="","",IF(Respostas_Brutas!D338="","",MIN(1,MAX(0,(YEAR(TODAY())-N(Respostas_Brutas!D338))/15))))</f>
        <v/>
      </c>
      <c r="E338" s="4" t="str">
        <f>IF(Respostas_Brutas!B338="","",IF(ISNUMBER(SEARCH("Sim",Respostas_Brutas!S338)),1,0))</f>
        <v/>
      </c>
      <c r="F338" s="4" t="str">
        <f>IF(Respostas_Brutas!B338="","",IFERROR(N(Respostas_Brutas!Y338)/N(Respostas_Brutas!Z338),""))</f>
        <v/>
      </c>
      <c r="G338" s="4" t="str">
        <f>IF(Respostas_Brutas!B338="","",IF(Respostas_Brutas!K338&lt;&gt;"",1,0))</f>
        <v/>
      </c>
      <c r="H338" s="4" t="str">
        <f>IF(Respostas_Brutas!B338="","",IF(ISNUMBER(SEARCH("Não",Respostas_Brutas!AH338)),1,0))</f>
        <v/>
      </c>
      <c r="I338" s="4" t="str">
        <f>IF(Respostas_Brutas!B338="","",IF(ISNUMBER(SEARCH("Sim",Respostas_Brutas!AL338)),1,0))</f>
        <v/>
      </c>
      <c r="J338" s="4" t="str">
        <f>IF(Respostas_Brutas!B338="","",IF(Respostas_Brutas!AN338="","",MIN(1,MAX(0,(N(Respostas_Brutas!AN338)-1)/4))))</f>
        <v/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tr">
        <f>IF(Respostas_Brutas!B339="","",Respostas_Brutas!B339)</f>
        <v/>
      </c>
      <c r="B339" s="4" t="str">
        <f>IF(Respostas_Brutas!B339="","",IFERROR(IF(IFERROR(VALUE(TRIM(SUBSTITUTE(SUBSTITUTE(SUBSTITUTE(TRIM(Respostas_Brutas!AS339),"R$",""),".",""),",","."))),0)=0,"",(IFERROR(VALUE(TRIM(SUBSTITUTE(SUBSTITUTE(SUBSTITUTE(TRIM(Respostas_Brutas!AS339),"R$",""),".",""),",","."))),0)-IFERROR(VALUE(TRIM(SUBSTITUTE(SUBSTITUTE(SUBSTITUTE(TRIM(Respostas_Brutas!T339),"R$",""),".",""),",","."))),0))/IFERROR(VALUE(TRIM(SUBSTITUTE(SUBSTITUTE(SUBSTITUTE(TRIM(Respostas_Brutas!AS339),"R$",""),".",""),",","."))),0)),""))</f>
        <v/>
      </c>
      <c r="C339" s="4" t="str">
        <f>IF(Respostas_Brutas!B339="","",MIN(1,(IFERROR(VALUE(LEFT(Respostas_Brutas!I339,IFERROR(FIND(" ",Respostas_Brutas!I339)-1,LEN(Respostas_Brutas!I339)))),0)+IFERROR(VALUE(LEFT(Respostas_Brutas!O339,IFERROR(FIND(" ",Respostas_Brutas!O339)-1,LEN(Respostas_Brutas!O339)))),0))/20))</f>
        <v/>
      </c>
      <c r="D339" s="4" t="str">
        <f>IF(Respostas_Brutas!B339="","",IF(Respostas_Brutas!D339="","",MIN(1,MAX(0,(YEAR(TODAY())-N(Respostas_Brutas!D339))/15))))</f>
        <v/>
      </c>
      <c r="E339" s="4" t="str">
        <f>IF(Respostas_Brutas!B339="","",IF(ISNUMBER(SEARCH("Sim",Respostas_Brutas!S339)),1,0))</f>
        <v/>
      </c>
      <c r="F339" s="4" t="str">
        <f>IF(Respostas_Brutas!B339="","",IFERROR(N(Respostas_Brutas!Y339)/N(Respostas_Brutas!Z339),""))</f>
        <v/>
      </c>
      <c r="G339" s="4" t="str">
        <f>IF(Respostas_Brutas!B339="","",IF(Respostas_Brutas!K339&lt;&gt;"",1,0))</f>
        <v/>
      </c>
      <c r="H339" s="4" t="str">
        <f>IF(Respostas_Brutas!B339="","",IF(ISNUMBER(SEARCH("Não",Respostas_Brutas!AH339)),1,0))</f>
        <v/>
      </c>
      <c r="I339" s="4" t="str">
        <f>IF(Respostas_Brutas!B339="","",IF(ISNUMBER(SEARCH("Sim",Respostas_Brutas!AL339)),1,0))</f>
        <v/>
      </c>
      <c r="J339" s="4" t="str">
        <f>IF(Respostas_Brutas!B339="","",IF(Respostas_Brutas!AN339="","",MIN(1,MAX(0,(N(Respostas_Brutas!AN339)-1)/4))))</f>
        <v/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tr">
        <f>IF(Respostas_Brutas!B340="","",Respostas_Brutas!B340)</f>
        <v/>
      </c>
      <c r="B340" s="4" t="str">
        <f>IF(Respostas_Brutas!B340="","",IFERROR(IF(IFERROR(VALUE(TRIM(SUBSTITUTE(SUBSTITUTE(SUBSTITUTE(TRIM(Respostas_Brutas!AS340),"R$",""),".",""),",","."))),0)=0,"",(IFERROR(VALUE(TRIM(SUBSTITUTE(SUBSTITUTE(SUBSTITUTE(TRIM(Respostas_Brutas!AS340),"R$",""),".",""),",","."))),0)-IFERROR(VALUE(TRIM(SUBSTITUTE(SUBSTITUTE(SUBSTITUTE(TRIM(Respostas_Brutas!T340),"R$",""),".",""),",","."))),0))/IFERROR(VALUE(TRIM(SUBSTITUTE(SUBSTITUTE(SUBSTITUTE(TRIM(Respostas_Brutas!AS340),"R$",""),".",""),",","."))),0)),""))</f>
        <v/>
      </c>
      <c r="C340" s="4" t="str">
        <f>IF(Respostas_Brutas!B340="","",MIN(1,(IFERROR(VALUE(LEFT(Respostas_Brutas!I340,IFERROR(FIND(" ",Respostas_Brutas!I340)-1,LEN(Respostas_Brutas!I340)))),0)+IFERROR(VALUE(LEFT(Respostas_Brutas!O340,IFERROR(FIND(" ",Respostas_Brutas!O340)-1,LEN(Respostas_Brutas!O340)))),0))/20))</f>
        <v/>
      </c>
      <c r="D340" s="4" t="str">
        <f>IF(Respostas_Brutas!B340="","",IF(Respostas_Brutas!D340="","",MIN(1,MAX(0,(YEAR(TODAY())-N(Respostas_Brutas!D340))/15))))</f>
        <v/>
      </c>
      <c r="E340" s="4" t="str">
        <f>IF(Respostas_Brutas!B340="","",IF(ISNUMBER(SEARCH("Sim",Respostas_Brutas!S340)),1,0))</f>
        <v/>
      </c>
      <c r="F340" s="4" t="str">
        <f>IF(Respostas_Brutas!B340="","",IFERROR(N(Respostas_Brutas!Y340)/N(Respostas_Brutas!Z340),""))</f>
        <v/>
      </c>
      <c r="G340" s="4" t="str">
        <f>IF(Respostas_Brutas!B340="","",IF(Respostas_Brutas!K340&lt;&gt;"",1,0))</f>
        <v/>
      </c>
      <c r="H340" s="4" t="str">
        <f>IF(Respostas_Brutas!B340="","",IF(ISNUMBER(SEARCH("Não",Respostas_Brutas!AH340)),1,0))</f>
        <v/>
      </c>
      <c r="I340" s="4" t="str">
        <f>IF(Respostas_Brutas!B340="","",IF(ISNUMBER(SEARCH("Sim",Respostas_Brutas!AL340)),1,0))</f>
        <v/>
      </c>
      <c r="J340" s="4" t="str">
        <f>IF(Respostas_Brutas!B340="","",IF(Respostas_Brutas!AN340="","",MIN(1,MAX(0,(N(Respostas_Brutas!AN340)-1)/4))))</f>
        <v/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tr">
        <f>IF(Respostas_Brutas!B341="","",Respostas_Brutas!B341)</f>
        <v/>
      </c>
      <c r="B341" s="4" t="str">
        <f>IF(Respostas_Brutas!B341="","",IFERROR(IF(IFERROR(VALUE(TRIM(SUBSTITUTE(SUBSTITUTE(SUBSTITUTE(TRIM(Respostas_Brutas!AS341),"R$",""),".",""),",","."))),0)=0,"",(IFERROR(VALUE(TRIM(SUBSTITUTE(SUBSTITUTE(SUBSTITUTE(TRIM(Respostas_Brutas!AS341),"R$",""),".",""),",","."))),0)-IFERROR(VALUE(TRIM(SUBSTITUTE(SUBSTITUTE(SUBSTITUTE(TRIM(Respostas_Brutas!T341),"R$",""),".",""),",","."))),0))/IFERROR(VALUE(TRIM(SUBSTITUTE(SUBSTITUTE(SUBSTITUTE(TRIM(Respostas_Brutas!AS341),"R$",""),".",""),",","."))),0)),""))</f>
        <v/>
      </c>
      <c r="C341" s="4" t="str">
        <f>IF(Respostas_Brutas!B341="","",MIN(1,(IFERROR(VALUE(LEFT(Respostas_Brutas!I341,IFERROR(FIND(" ",Respostas_Brutas!I341)-1,LEN(Respostas_Brutas!I341)))),0)+IFERROR(VALUE(LEFT(Respostas_Brutas!O341,IFERROR(FIND(" ",Respostas_Brutas!O341)-1,LEN(Respostas_Brutas!O341)))),0))/20))</f>
        <v/>
      </c>
      <c r="D341" s="4" t="str">
        <f>IF(Respostas_Brutas!B341="","",IF(Respostas_Brutas!D341="","",MIN(1,MAX(0,(YEAR(TODAY())-N(Respostas_Brutas!D341))/15))))</f>
        <v/>
      </c>
      <c r="E341" s="4" t="str">
        <f>IF(Respostas_Brutas!B341="","",IF(ISNUMBER(SEARCH("Sim",Respostas_Brutas!S341)),1,0))</f>
        <v/>
      </c>
      <c r="F341" s="4" t="str">
        <f>IF(Respostas_Brutas!B341="","",IFERROR(N(Respostas_Brutas!Y341)/N(Respostas_Brutas!Z341),""))</f>
        <v/>
      </c>
      <c r="G341" s="4" t="str">
        <f>IF(Respostas_Brutas!B341="","",IF(Respostas_Brutas!K341&lt;&gt;"",1,0))</f>
        <v/>
      </c>
      <c r="H341" s="4" t="str">
        <f>IF(Respostas_Brutas!B341="","",IF(ISNUMBER(SEARCH("Não",Respostas_Brutas!AH341)),1,0))</f>
        <v/>
      </c>
      <c r="I341" s="4" t="str">
        <f>IF(Respostas_Brutas!B341="","",IF(ISNUMBER(SEARCH("Sim",Respostas_Brutas!AL341)),1,0))</f>
        <v/>
      </c>
      <c r="J341" s="4" t="str">
        <f>IF(Respostas_Brutas!B341="","",IF(Respostas_Brutas!AN341="","",MIN(1,MAX(0,(N(Respostas_Brutas!AN341)-1)/4))))</f>
        <v/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tr">
        <f>IF(Respostas_Brutas!B342="","",Respostas_Brutas!B342)</f>
        <v/>
      </c>
      <c r="B342" s="4" t="str">
        <f>IF(Respostas_Brutas!B342="","",IFERROR(IF(IFERROR(VALUE(TRIM(SUBSTITUTE(SUBSTITUTE(SUBSTITUTE(TRIM(Respostas_Brutas!AS342),"R$",""),".",""),",","."))),0)=0,"",(IFERROR(VALUE(TRIM(SUBSTITUTE(SUBSTITUTE(SUBSTITUTE(TRIM(Respostas_Brutas!AS342),"R$",""),".",""),",","."))),0)-IFERROR(VALUE(TRIM(SUBSTITUTE(SUBSTITUTE(SUBSTITUTE(TRIM(Respostas_Brutas!T342),"R$",""),".",""),",","."))),0))/IFERROR(VALUE(TRIM(SUBSTITUTE(SUBSTITUTE(SUBSTITUTE(TRIM(Respostas_Brutas!AS342),"R$",""),".",""),",","."))),0)),""))</f>
        <v/>
      </c>
      <c r="C342" s="4" t="str">
        <f>IF(Respostas_Brutas!B342="","",MIN(1,(IFERROR(VALUE(LEFT(Respostas_Brutas!I342,IFERROR(FIND(" ",Respostas_Brutas!I342)-1,LEN(Respostas_Brutas!I342)))),0)+IFERROR(VALUE(LEFT(Respostas_Brutas!O342,IFERROR(FIND(" ",Respostas_Brutas!O342)-1,LEN(Respostas_Brutas!O342)))),0))/20))</f>
        <v/>
      </c>
      <c r="D342" s="4" t="str">
        <f>IF(Respostas_Brutas!B342="","",IF(Respostas_Brutas!D342="","",MIN(1,MAX(0,(YEAR(TODAY())-N(Respostas_Brutas!D342))/15))))</f>
        <v/>
      </c>
      <c r="E342" s="4" t="str">
        <f>IF(Respostas_Brutas!B342="","",IF(ISNUMBER(SEARCH("Sim",Respostas_Brutas!S342)),1,0))</f>
        <v/>
      </c>
      <c r="F342" s="4" t="str">
        <f>IF(Respostas_Brutas!B342="","",IFERROR(N(Respostas_Brutas!Y342)/N(Respostas_Brutas!Z342),""))</f>
        <v/>
      </c>
      <c r="G342" s="4" t="str">
        <f>IF(Respostas_Brutas!B342="","",IF(Respostas_Brutas!K342&lt;&gt;"",1,0))</f>
        <v/>
      </c>
      <c r="H342" s="4" t="str">
        <f>IF(Respostas_Brutas!B342="","",IF(ISNUMBER(SEARCH("Não",Respostas_Brutas!AH342)),1,0))</f>
        <v/>
      </c>
      <c r="I342" s="4" t="str">
        <f>IF(Respostas_Brutas!B342="","",IF(ISNUMBER(SEARCH("Sim",Respostas_Brutas!AL342)),1,0))</f>
        <v/>
      </c>
      <c r="J342" s="4" t="str">
        <f>IF(Respostas_Brutas!B342="","",IF(Respostas_Brutas!AN342="","",MIN(1,MAX(0,(N(Respostas_Brutas!AN342)-1)/4))))</f>
        <v/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tr">
        <f>IF(Respostas_Brutas!B343="","",Respostas_Brutas!B343)</f>
        <v/>
      </c>
      <c r="B343" s="4" t="str">
        <f>IF(Respostas_Brutas!B343="","",IFERROR(IF(IFERROR(VALUE(TRIM(SUBSTITUTE(SUBSTITUTE(SUBSTITUTE(TRIM(Respostas_Brutas!AS343),"R$",""),".",""),",","."))),0)=0,"",(IFERROR(VALUE(TRIM(SUBSTITUTE(SUBSTITUTE(SUBSTITUTE(TRIM(Respostas_Brutas!AS343),"R$",""),".",""),",","."))),0)-IFERROR(VALUE(TRIM(SUBSTITUTE(SUBSTITUTE(SUBSTITUTE(TRIM(Respostas_Brutas!T343),"R$",""),".",""),",","."))),0))/IFERROR(VALUE(TRIM(SUBSTITUTE(SUBSTITUTE(SUBSTITUTE(TRIM(Respostas_Brutas!AS343),"R$",""),".",""),",","."))),0)),""))</f>
        <v/>
      </c>
      <c r="C343" s="4" t="str">
        <f>IF(Respostas_Brutas!B343="","",MIN(1,(IFERROR(VALUE(LEFT(Respostas_Brutas!I343,IFERROR(FIND(" ",Respostas_Brutas!I343)-1,LEN(Respostas_Brutas!I343)))),0)+IFERROR(VALUE(LEFT(Respostas_Brutas!O343,IFERROR(FIND(" ",Respostas_Brutas!O343)-1,LEN(Respostas_Brutas!O343)))),0))/20))</f>
        <v/>
      </c>
      <c r="D343" s="4" t="str">
        <f>IF(Respostas_Brutas!B343="","",IF(Respostas_Brutas!D343="","",MIN(1,MAX(0,(YEAR(TODAY())-N(Respostas_Brutas!D343))/15))))</f>
        <v/>
      </c>
      <c r="E343" s="4" t="str">
        <f>IF(Respostas_Brutas!B343="","",IF(ISNUMBER(SEARCH("Sim",Respostas_Brutas!S343)),1,0))</f>
        <v/>
      </c>
      <c r="F343" s="4" t="str">
        <f>IF(Respostas_Brutas!B343="","",IFERROR(N(Respostas_Brutas!Y343)/N(Respostas_Brutas!Z343),""))</f>
        <v/>
      </c>
      <c r="G343" s="4" t="str">
        <f>IF(Respostas_Brutas!B343="","",IF(Respostas_Brutas!K343&lt;&gt;"",1,0))</f>
        <v/>
      </c>
      <c r="H343" s="4" t="str">
        <f>IF(Respostas_Brutas!B343="","",IF(ISNUMBER(SEARCH("Não",Respostas_Brutas!AH343)),1,0))</f>
        <v/>
      </c>
      <c r="I343" s="4" t="str">
        <f>IF(Respostas_Brutas!B343="","",IF(ISNUMBER(SEARCH("Sim",Respostas_Brutas!AL343)),1,0))</f>
        <v/>
      </c>
      <c r="J343" s="4" t="str">
        <f>IF(Respostas_Brutas!B343="","",IF(Respostas_Brutas!AN343="","",MIN(1,MAX(0,(N(Respostas_Brutas!AN343)-1)/4))))</f>
        <v/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tr">
        <f>IF(Respostas_Brutas!B344="","",Respostas_Brutas!B344)</f>
        <v/>
      </c>
      <c r="B344" s="4" t="str">
        <f>IF(Respostas_Brutas!B344="","",IFERROR(IF(IFERROR(VALUE(TRIM(SUBSTITUTE(SUBSTITUTE(SUBSTITUTE(TRIM(Respostas_Brutas!AS344),"R$",""),".",""),",","."))),0)=0,"",(IFERROR(VALUE(TRIM(SUBSTITUTE(SUBSTITUTE(SUBSTITUTE(TRIM(Respostas_Brutas!AS344),"R$",""),".",""),",","."))),0)-IFERROR(VALUE(TRIM(SUBSTITUTE(SUBSTITUTE(SUBSTITUTE(TRIM(Respostas_Brutas!T344),"R$",""),".",""),",","."))),0))/IFERROR(VALUE(TRIM(SUBSTITUTE(SUBSTITUTE(SUBSTITUTE(TRIM(Respostas_Brutas!AS344),"R$",""),".",""),",","."))),0)),""))</f>
        <v/>
      </c>
      <c r="C344" s="4" t="str">
        <f>IF(Respostas_Brutas!B344="","",MIN(1,(IFERROR(VALUE(LEFT(Respostas_Brutas!I344,IFERROR(FIND(" ",Respostas_Brutas!I344)-1,LEN(Respostas_Brutas!I344)))),0)+IFERROR(VALUE(LEFT(Respostas_Brutas!O344,IFERROR(FIND(" ",Respostas_Brutas!O344)-1,LEN(Respostas_Brutas!O344)))),0))/20))</f>
        <v/>
      </c>
      <c r="D344" s="4" t="str">
        <f>IF(Respostas_Brutas!B344="","",IF(Respostas_Brutas!D344="","",MIN(1,MAX(0,(YEAR(TODAY())-N(Respostas_Brutas!D344))/15))))</f>
        <v/>
      </c>
      <c r="E344" s="4" t="str">
        <f>IF(Respostas_Brutas!B344="","",IF(ISNUMBER(SEARCH("Sim",Respostas_Brutas!S344)),1,0))</f>
        <v/>
      </c>
      <c r="F344" s="4" t="str">
        <f>IF(Respostas_Brutas!B344="","",IFERROR(N(Respostas_Brutas!Y344)/N(Respostas_Brutas!Z344),""))</f>
        <v/>
      </c>
      <c r="G344" s="4" t="str">
        <f>IF(Respostas_Brutas!B344="","",IF(Respostas_Brutas!K344&lt;&gt;"",1,0))</f>
        <v/>
      </c>
      <c r="H344" s="4" t="str">
        <f>IF(Respostas_Brutas!B344="","",IF(ISNUMBER(SEARCH("Não",Respostas_Brutas!AH344)),1,0))</f>
        <v/>
      </c>
      <c r="I344" s="4" t="str">
        <f>IF(Respostas_Brutas!B344="","",IF(ISNUMBER(SEARCH("Sim",Respostas_Brutas!AL344)),1,0))</f>
        <v/>
      </c>
      <c r="J344" s="4" t="str">
        <f>IF(Respostas_Brutas!B344="","",IF(Respostas_Brutas!AN344="","",MIN(1,MAX(0,(N(Respostas_Brutas!AN344)-1)/4))))</f>
        <v/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tr">
        <f>IF(Respostas_Brutas!B345="","",Respostas_Brutas!B345)</f>
        <v/>
      </c>
      <c r="B345" s="4" t="str">
        <f>IF(Respostas_Brutas!B345="","",IFERROR(IF(IFERROR(VALUE(TRIM(SUBSTITUTE(SUBSTITUTE(SUBSTITUTE(TRIM(Respostas_Brutas!AS345),"R$",""),".",""),",","."))),0)=0,"",(IFERROR(VALUE(TRIM(SUBSTITUTE(SUBSTITUTE(SUBSTITUTE(TRIM(Respostas_Brutas!AS345),"R$",""),".",""),",","."))),0)-IFERROR(VALUE(TRIM(SUBSTITUTE(SUBSTITUTE(SUBSTITUTE(TRIM(Respostas_Brutas!T345),"R$",""),".",""),",","."))),0))/IFERROR(VALUE(TRIM(SUBSTITUTE(SUBSTITUTE(SUBSTITUTE(TRIM(Respostas_Brutas!AS345),"R$",""),".",""),",","."))),0)),""))</f>
        <v/>
      </c>
      <c r="C345" s="4" t="str">
        <f>IF(Respostas_Brutas!B345="","",MIN(1,(IFERROR(VALUE(LEFT(Respostas_Brutas!I345,IFERROR(FIND(" ",Respostas_Brutas!I345)-1,LEN(Respostas_Brutas!I345)))),0)+IFERROR(VALUE(LEFT(Respostas_Brutas!O345,IFERROR(FIND(" ",Respostas_Brutas!O345)-1,LEN(Respostas_Brutas!O345)))),0))/20))</f>
        <v/>
      </c>
      <c r="D345" s="4" t="str">
        <f>IF(Respostas_Brutas!B345="","",IF(Respostas_Brutas!D345="","",MIN(1,MAX(0,(YEAR(TODAY())-N(Respostas_Brutas!D345))/15))))</f>
        <v/>
      </c>
      <c r="E345" s="4" t="str">
        <f>IF(Respostas_Brutas!B345="","",IF(ISNUMBER(SEARCH("Sim",Respostas_Brutas!S345)),1,0))</f>
        <v/>
      </c>
      <c r="F345" s="4" t="str">
        <f>IF(Respostas_Brutas!B345="","",IFERROR(N(Respostas_Brutas!Y345)/N(Respostas_Brutas!Z345),""))</f>
        <v/>
      </c>
      <c r="G345" s="4" t="str">
        <f>IF(Respostas_Brutas!B345="","",IF(Respostas_Brutas!K345&lt;&gt;"",1,0))</f>
        <v/>
      </c>
      <c r="H345" s="4" t="str">
        <f>IF(Respostas_Brutas!B345="","",IF(ISNUMBER(SEARCH("Não",Respostas_Brutas!AH345)),1,0))</f>
        <v/>
      </c>
      <c r="I345" s="4" t="str">
        <f>IF(Respostas_Brutas!B345="","",IF(ISNUMBER(SEARCH("Sim",Respostas_Brutas!AL345)),1,0))</f>
        <v/>
      </c>
      <c r="J345" s="4" t="str">
        <f>IF(Respostas_Brutas!B345="","",IF(Respostas_Brutas!AN345="","",MIN(1,MAX(0,(N(Respostas_Brutas!AN345)-1)/4))))</f>
        <v/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tr">
        <f>IF(Respostas_Brutas!B346="","",Respostas_Brutas!B346)</f>
        <v/>
      </c>
      <c r="B346" s="4" t="str">
        <f>IF(Respostas_Brutas!B346="","",IFERROR(IF(IFERROR(VALUE(TRIM(SUBSTITUTE(SUBSTITUTE(SUBSTITUTE(TRIM(Respostas_Brutas!AS346),"R$",""),".",""),",","."))),0)=0,"",(IFERROR(VALUE(TRIM(SUBSTITUTE(SUBSTITUTE(SUBSTITUTE(TRIM(Respostas_Brutas!AS346),"R$",""),".",""),",","."))),0)-IFERROR(VALUE(TRIM(SUBSTITUTE(SUBSTITUTE(SUBSTITUTE(TRIM(Respostas_Brutas!T346),"R$",""),".",""),",","."))),0))/IFERROR(VALUE(TRIM(SUBSTITUTE(SUBSTITUTE(SUBSTITUTE(TRIM(Respostas_Brutas!AS346),"R$",""),".",""),",","."))),0)),""))</f>
        <v/>
      </c>
      <c r="C346" s="4" t="str">
        <f>IF(Respostas_Brutas!B346="","",MIN(1,(IFERROR(VALUE(LEFT(Respostas_Brutas!I346,IFERROR(FIND(" ",Respostas_Brutas!I346)-1,LEN(Respostas_Brutas!I346)))),0)+IFERROR(VALUE(LEFT(Respostas_Brutas!O346,IFERROR(FIND(" ",Respostas_Brutas!O346)-1,LEN(Respostas_Brutas!O346)))),0))/20))</f>
        <v/>
      </c>
      <c r="D346" s="4" t="str">
        <f>IF(Respostas_Brutas!B346="","",IF(Respostas_Brutas!D346="","",MIN(1,MAX(0,(YEAR(TODAY())-N(Respostas_Brutas!D346))/15))))</f>
        <v/>
      </c>
      <c r="E346" s="4" t="str">
        <f>IF(Respostas_Brutas!B346="","",IF(ISNUMBER(SEARCH("Sim",Respostas_Brutas!S346)),1,0))</f>
        <v/>
      </c>
      <c r="F346" s="4" t="str">
        <f>IF(Respostas_Brutas!B346="","",IFERROR(N(Respostas_Brutas!Y346)/N(Respostas_Brutas!Z346),""))</f>
        <v/>
      </c>
      <c r="G346" s="4" t="str">
        <f>IF(Respostas_Brutas!B346="","",IF(Respostas_Brutas!K346&lt;&gt;"",1,0))</f>
        <v/>
      </c>
      <c r="H346" s="4" t="str">
        <f>IF(Respostas_Brutas!B346="","",IF(ISNUMBER(SEARCH("Não",Respostas_Brutas!AH346)),1,0))</f>
        <v/>
      </c>
      <c r="I346" s="4" t="str">
        <f>IF(Respostas_Brutas!B346="","",IF(ISNUMBER(SEARCH("Sim",Respostas_Brutas!AL346)),1,0))</f>
        <v/>
      </c>
      <c r="J346" s="4" t="str">
        <f>IF(Respostas_Brutas!B346="","",IF(Respostas_Brutas!AN346="","",MIN(1,MAX(0,(N(Respostas_Brutas!AN346)-1)/4))))</f>
        <v/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tr">
        <f>IF(Respostas_Brutas!B347="","",Respostas_Brutas!B347)</f>
        <v/>
      </c>
      <c r="B347" s="4" t="str">
        <f>IF(Respostas_Brutas!B347="","",IFERROR(IF(IFERROR(VALUE(TRIM(SUBSTITUTE(SUBSTITUTE(SUBSTITUTE(TRIM(Respostas_Brutas!AS347),"R$",""),".",""),",","."))),0)=0,"",(IFERROR(VALUE(TRIM(SUBSTITUTE(SUBSTITUTE(SUBSTITUTE(TRIM(Respostas_Brutas!AS347),"R$",""),".",""),",","."))),0)-IFERROR(VALUE(TRIM(SUBSTITUTE(SUBSTITUTE(SUBSTITUTE(TRIM(Respostas_Brutas!T347),"R$",""),".",""),",","."))),0))/IFERROR(VALUE(TRIM(SUBSTITUTE(SUBSTITUTE(SUBSTITUTE(TRIM(Respostas_Brutas!AS347),"R$",""),".",""),",","."))),0)),""))</f>
        <v/>
      </c>
      <c r="C347" s="4" t="str">
        <f>IF(Respostas_Brutas!B347="","",MIN(1,(IFERROR(VALUE(LEFT(Respostas_Brutas!I347,IFERROR(FIND(" ",Respostas_Brutas!I347)-1,LEN(Respostas_Brutas!I347)))),0)+IFERROR(VALUE(LEFT(Respostas_Brutas!O347,IFERROR(FIND(" ",Respostas_Brutas!O347)-1,LEN(Respostas_Brutas!O347)))),0))/20))</f>
        <v/>
      </c>
      <c r="D347" s="4" t="str">
        <f>IF(Respostas_Brutas!B347="","",IF(Respostas_Brutas!D347="","",MIN(1,MAX(0,(YEAR(TODAY())-N(Respostas_Brutas!D347))/15))))</f>
        <v/>
      </c>
      <c r="E347" s="4" t="str">
        <f>IF(Respostas_Brutas!B347="","",IF(ISNUMBER(SEARCH("Sim",Respostas_Brutas!S347)),1,0))</f>
        <v/>
      </c>
      <c r="F347" s="4" t="str">
        <f>IF(Respostas_Brutas!B347="","",IFERROR(N(Respostas_Brutas!Y347)/N(Respostas_Brutas!Z347),""))</f>
        <v/>
      </c>
      <c r="G347" s="4" t="str">
        <f>IF(Respostas_Brutas!B347="","",IF(Respostas_Brutas!K347&lt;&gt;"",1,0))</f>
        <v/>
      </c>
      <c r="H347" s="4" t="str">
        <f>IF(Respostas_Brutas!B347="","",IF(ISNUMBER(SEARCH("Não",Respostas_Brutas!AH347)),1,0))</f>
        <v/>
      </c>
      <c r="I347" s="4" t="str">
        <f>IF(Respostas_Brutas!B347="","",IF(ISNUMBER(SEARCH("Sim",Respostas_Brutas!AL347)),1,0))</f>
        <v/>
      </c>
      <c r="J347" s="4" t="str">
        <f>IF(Respostas_Brutas!B347="","",IF(Respostas_Brutas!AN347="","",MIN(1,MAX(0,(N(Respostas_Brutas!AN347)-1)/4))))</f>
        <v/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tr">
        <f>IF(Respostas_Brutas!B348="","",Respostas_Brutas!B348)</f>
        <v/>
      </c>
      <c r="B348" s="4" t="str">
        <f>IF(Respostas_Brutas!B348="","",IFERROR(IF(IFERROR(VALUE(TRIM(SUBSTITUTE(SUBSTITUTE(SUBSTITUTE(TRIM(Respostas_Brutas!AS348),"R$",""),".",""),",","."))),0)=0,"",(IFERROR(VALUE(TRIM(SUBSTITUTE(SUBSTITUTE(SUBSTITUTE(TRIM(Respostas_Brutas!AS348),"R$",""),".",""),",","."))),0)-IFERROR(VALUE(TRIM(SUBSTITUTE(SUBSTITUTE(SUBSTITUTE(TRIM(Respostas_Brutas!T348),"R$",""),".",""),",","."))),0))/IFERROR(VALUE(TRIM(SUBSTITUTE(SUBSTITUTE(SUBSTITUTE(TRIM(Respostas_Brutas!AS348),"R$",""),".",""),",","."))),0)),""))</f>
        <v/>
      </c>
      <c r="C348" s="4" t="str">
        <f>IF(Respostas_Brutas!B348="","",MIN(1,(IFERROR(VALUE(LEFT(Respostas_Brutas!I348,IFERROR(FIND(" ",Respostas_Brutas!I348)-1,LEN(Respostas_Brutas!I348)))),0)+IFERROR(VALUE(LEFT(Respostas_Brutas!O348,IFERROR(FIND(" ",Respostas_Brutas!O348)-1,LEN(Respostas_Brutas!O348)))),0))/20))</f>
        <v/>
      </c>
      <c r="D348" s="4" t="str">
        <f>IF(Respostas_Brutas!B348="","",IF(Respostas_Brutas!D348="","",MIN(1,MAX(0,(YEAR(TODAY())-N(Respostas_Brutas!D348))/15))))</f>
        <v/>
      </c>
      <c r="E348" s="4" t="str">
        <f>IF(Respostas_Brutas!B348="","",IF(ISNUMBER(SEARCH("Sim",Respostas_Brutas!S348)),1,0))</f>
        <v/>
      </c>
      <c r="F348" s="4" t="str">
        <f>IF(Respostas_Brutas!B348="","",IFERROR(N(Respostas_Brutas!Y348)/N(Respostas_Brutas!Z348),""))</f>
        <v/>
      </c>
      <c r="G348" s="4" t="str">
        <f>IF(Respostas_Brutas!B348="","",IF(Respostas_Brutas!K348&lt;&gt;"",1,0))</f>
        <v/>
      </c>
      <c r="H348" s="4" t="str">
        <f>IF(Respostas_Brutas!B348="","",IF(ISNUMBER(SEARCH("Não",Respostas_Brutas!AH348)),1,0))</f>
        <v/>
      </c>
      <c r="I348" s="4" t="str">
        <f>IF(Respostas_Brutas!B348="","",IF(ISNUMBER(SEARCH("Sim",Respostas_Brutas!AL348)),1,0))</f>
        <v/>
      </c>
      <c r="J348" s="4" t="str">
        <f>IF(Respostas_Brutas!B348="","",IF(Respostas_Brutas!AN348="","",MIN(1,MAX(0,(N(Respostas_Brutas!AN348)-1)/4))))</f>
        <v/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tr">
        <f>IF(Respostas_Brutas!B349="","",Respostas_Brutas!B349)</f>
        <v/>
      </c>
      <c r="B349" s="4" t="str">
        <f>IF(Respostas_Brutas!B349="","",IFERROR(IF(IFERROR(VALUE(TRIM(SUBSTITUTE(SUBSTITUTE(SUBSTITUTE(TRIM(Respostas_Brutas!AS349),"R$",""),".",""),",","."))),0)=0,"",(IFERROR(VALUE(TRIM(SUBSTITUTE(SUBSTITUTE(SUBSTITUTE(TRIM(Respostas_Brutas!AS349),"R$",""),".",""),",","."))),0)-IFERROR(VALUE(TRIM(SUBSTITUTE(SUBSTITUTE(SUBSTITUTE(TRIM(Respostas_Brutas!T349),"R$",""),".",""),",","."))),0))/IFERROR(VALUE(TRIM(SUBSTITUTE(SUBSTITUTE(SUBSTITUTE(TRIM(Respostas_Brutas!AS349),"R$",""),".",""),",","."))),0)),""))</f>
        <v/>
      </c>
      <c r="C349" s="4" t="str">
        <f>IF(Respostas_Brutas!B349="","",MIN(1,(IFERROR(VALUE(LEFT(Respostas_Brutas!I349,IFERROR(FIND(" ",Respostas_Brutas!I349)-1,LEN(Respostas_Brutas!I349)))),0)+IFERROR(VALUE(LEFT(Respostas_Brutas!O349,IFERROR(FIND(" ",Respostas_Brutas!O349)-1,LEN(Respostas_Brutas!O349)))),0))/20))</f>
        <v/>
      </c>
      <c r="D349" s="4" t="str">
        <f>IF(Respostas_Brutas!B349="","",IF(Respostas_Brutas!D349="","",MIN(1,MAX(0,(YEAR(TODAY())-N(Respostas_Brutas!D349))/15))))</f>
        <v/>
      </c>
      <c r="E349" s="4" t="str">
        <f>IF(Respostas_Brutas!B349="","",IF(ISNUMBER(SEARCH("Sim",Respostas_Brutas!S349)),1,0))</f>
        <v/>
      </c>
      <c r="F349" s="4" t="str">
        <f>IF(Respostas_Brutas!B349="","",IFERROR(N(Respostas_Brutas!Y349)/N(Respostas_Brutas!Z349),""))</f>
        <v/>
      </c>
      <c r="G349" s="4" t="str">
        <f>IF(Respostas_Brutas!B349="","",IF(Respostas_Brutas!K349&lt;&gt;"",1,0))</f>
        <v/>
      </c>
      <c r="H349" s="4" t="str">
        <f>IF(Respostas_Brutas!B349="","",IF(ISNUMBER(SEARCH("Não",Respostas_Brutas!AH349)),1,0))</f>
        <v/>
      </c>
      <c r="I349" s="4" t="str">
        <f>IF(Respostas_Brutas!B349="","",IF(ISNUMBER(SEARCH("Sim",Respostas_Brutas!AL349)),1,0))</f>
        <v/>
      </c>
      <c r="J349" s="4" t="str">
        <f>IF(Respostas_Brutas!B349="","",IF(Respostas_Brutas!AN349="","",MIN(1,MAX(0,(N(Respostas_Brutas!AN349)-1)/4))))</f>
        <v/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tr">
        <f>IF(Respostas_Brutas!B350="","",Respostas_Brutas!B350)</f>
        <v/>
      </c>
      <c r="B350" s="4" t="str">
        <f>IF(Respostas_Brutas!B350="","",IFERROR(IF(IFERROR(VALUE(TRIM(SUBSTITUTE(SUBSTITUTE(SUBSTITUTE(TRIM(Respostas_Brutas!AS350),"R$",""),".",""),",","."))),0)=0,"",(IFERROR(VALUE(TRIM(SUBSTITUTE(SUBSTITUTE(SUBSTITUTE(TRIM(Respostas_Brutas!AS350),"R$",""),".",""),",","."))),0)-IFERROR(VALUE(TRIM(SUBSTITUTE(SUBSTITUTE(SUBSTITUTE(TRIM(Respostas_Brutas!T350),"R$",""),".",""),",","."))),0))/IFERROR(VALUE(TRIM(SUBSTITUTE(SUBSTITUTE(SUBSTITUTE(TRIM(Respostas_Brutas!AS350),"R$",""),".",""),",","."))),0)),""))</f>
        <v/>
      </c>
      <c r="C350" s="4" t="str">
        <f>IF(Respostas_Brutas!B350="","",MIN(1,(IFERROR(VALUE(LEFT(Respostas_Brutas!I350,IFERROR(FIND(" ",Respostas_Brutas!I350)-1,LEN(Respostas_Brutas!I350)))),0)+IFERROR(VALUE(LEFT(Respostas_Brutas!O350,IFERROR(FIND(" ",Respostas_Brutas!O350)-1,LEN(Respostas_Brutas!O350)))),0))/20))</f>
        <v/>
      </c>
      <c r="D350" s="4" t="str">
        <f>IF(Respostas_Brutas!B350="","",IF(Respostas_Brutas!D350="","",MIN(1,MAX(0,(YEAR(TODAY())-N(Respostas_Brutas!D350))/15))))</f>
        <v/>
      </c>
      <c r="E350" s="4" t="str">
        <f>IF(Respostas_Brutas!B350="","",IF(ISNUMBER(SEARCH("Sim",Respostas_Brutas!S350)),1,0))</f>
        <v/>
      </c>
      <c r="F350" s="4" t="str">
        <f>IF(Respostas_Brutas!B350="","",IFERROR(N(Respostas_Brutas!Y350)/N(Respostas_Brutas!Z350),""))</f>
        <v/>
      </c>
      <c r="G350" s="4" t="str">
        <f>IF(Respostas_Brutas!B350="","",IF(Respostas_Brutas!K350&lt;&gt;"",1,0))</f>
        <v/>
      </c>
      <c r="H350" s="4" t="str">
        <f>IF(Respostas_Brutas!B350="","",IF(ISNUMBER(SEARCH("Não",Respostas_Brutas!AH350)),1,0))</f>
        <v/>
      </c>
      <c r="I350" s="4" t="str">
        <f>IF(Respostas_Brutas!B350="","",IF(ISNUMBER(SEARCH("Sim",Respostas_Brutas!AL350)),1,0))</f>
        <v/>
      </c>
      <c r="J350" s="4" t="str">
        <f>IF(Respostas_Brutas!B350="","",IF(Respostas_Brutas!AN350="","",MIN(1,MAX(0,(N(Respostas_Brutas!AN350)-1)/4))))</f>
        <v/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tr">
        <f>IF(Respostas_Brutas!B351="","",Respostas_Brutas!B351)</f>
        <v/>
      </c>
      <c r="B351" s="4" t="str">
        <f>IF(Respostas_Brutas!B351="","",IFERROR(IF(IFERROR(VALUE(TRIM(SUBSTITUTE(SUBSTITUTE(SUBSTITUTE(TRIM(Respostas_Brutas!AS351),"R$",""),".",""),",","."))),0)=0,"",(IFERROR(VALUE(TRIM(SUBSTITUTE(SUBSTITUTE(SUBSTITUTE(TRIM(Respostas_Brutas!AS351),"R$",""),".",""),",","."))),0)-IFERROR(VALUE(TRIM(SUBSTITUTE(SUBSTITUTE(SUBSTITUTE(TRIM(Respostas_Brutas!T351),"R$",""),".",""),",","."))),0))/IFERROR(VALUE(TRIM(SUBSTITUTE(SUBSTITUTE(SUBSTITUTE(TRIM(Respostas_Brutas!AS351),"R$",""),".",""),",","."))),0)),""))</f>
        <v/>
      </c>
      <c r="C351" s="4" t="str">
        <f>IF(Respostas_Brutas!B351="","",MIN(1,(IFERROR(VALUE(LEFT(Respostas_Brutas!I351,IFERROR(FIND(" ",Respostas_Brutas!I351)-1,LEN(Respostas_Brutas!I351)))),0)+IFERROR(VALUE(LEFT(Respostas_Brutas!O351,IFERROR(FIND(" ",Respostas_Brutas!O351)-1,LEN(Respostas_Brutas!O351)))),0))/20))</f>
        <v/>
      </c>
      <c r="D351" s="4" t="str">
        <f>IF(Respostas_Brutas!B351="","",IF(Respostas_Brutas!D351="","",MIN(1,MAX(0,(YEAR(TODAY())-N(Respostas_Brutas!D351))/15))))</f>
        <v/>
      </c>
      <c r="E351" s="4" t="str">
        <f>IF(Respostas_Brutas!B351="","",IF(ISNUMBER(SEARCH("Sim",Respostas_Brutas!S351)),1,0))</f>
        <v/>
      </c>
      <c r="F351" s="4" t="str">
        <f>IF(Respostas_Brutas!B351="","",IFERROR(N(Respostas_Brutas!Y351)/N(Respostas_Brutas!Z351),""))</f>
        <v/>
      </c>
      <c r="G351" s="4" t="str">
        <f>IF(Respostas_Brutas!B351="","",IF(Respostas_Brutas!K351&lt;&gt;"",1,0))</f>
        <v/>
      </c>
      <c r="H351" s="4" t="str">
        <f>IF(Respostas_Brutas!B351="","",IF(ISNUMBER(SEARCH("Não",Respostas_Brutas!AH351)),1,0))</f>
        <v/>
      </c>
      <c r="I351" s="4" t="str">
        <f>IF(Respostas_Brutas!B351="","",IF(ISNUMBER(SEARCH("Sim",Respostas_Brutas!AL351)),1,0))</f>
        <v/>
      </c>
      <c r="J351" s="4" t="str">
        <f>IF(Respostas_Brutas!B351="","",IF(Respostas_Brutas!AN351="","",MIN(1,MAX(0,(N(Respostas_Brutas!AN351)-1)/4))))</f>
        <v/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tr">
        <f>IF(Respostas_Brutas!B352="","",Respostas_Brutas!B352)</f>
        <v/>
      </c>
      <c r="B352" s="4" t="str">
        <f>IF(Respostas_Brutas!B352="","",IFERROR(IF(IFERROR(VALUE(TRIM(SUBSTITUTE(SUBSTITUTE(SUBSTITUTE(TRIM(Respostas_Brutas!AS352),"R$",""),".",""),",","."))),0)=0,"",(IFERROR(VALUE(TRIM(SUBSTITUTE(SUBSTITUTE(SUBSTITUTE(TRIM(Respostas_Brutas!AS352),"R$",""),".",""),",","."))),0)-IFERROR(VALUE(TRIM(SUBSTITUTE(SUBSTITUTE(SUBSTITUTE(TRIM(Respostas_Brutas!T352),"R$",""),".",""),",","."))),0))/IFERROR(VALUE(TRIM(SUBSTITUTE(SUBSTITUTE(SUBSTITUTE(TRIM(Respostas_Brutas!AS352),"R$",""),".",""),",","."))),0)),""))</f>
        <v/>
      </c>
      <c r="C352" s="4" t="str">
        <f>IF(Respostas_Brutas!B352="","",MIN(1,(IFERROR(VALUE(LEFT(Respostas_Brutas!I352,IFERROR(FIND(" ",Respostas_Brutas!I352)-1,LEN(Respostas_Brutas!I352)))),0)+IFERROR(VALUE(LEFT(Respostas_Brutas!O352,IFERROR(FIND(" ",Respostas_Brutas!O352)-1,LEN(Respostas_Brutas!O352)))),0))/20))</f>
        <v/>
      </c>
      <c r="D352" s="4" t="str">
        <f>IF(Respostas_Brutas!B352="","",IF(Respostas_Brutas!D352="","",MIN(1,MAX(0,(YEAR(TODAY())-N(Respostas_Brutas!D352))/15))))</f>
        <v/>
      </c>
      <c r="E352" s="4" t="str">
        <f>IF(Respostas_Brutas!B352="","",IF(ISNUMBER(SEARCH("Sim",Respostas_Brutas!S352)),1,0))</f>
        <v/>
      </c>
      <c r="F352" s="4" t="str">
        <f>IF(Respostas_Brutas!B352="","",IFERROR(N(Respostas_Brutas!Y352)/N(Respostas_Brutas!Z352),""))</f>
        <v/>
      </c>
      <c r="G352" s="4" t="str">
        <f>IF(Respostas_Brutas!B352="","",IF(Respostas_Brutas!K352&lt;&gt;"",1,0))</f>
        <v/>
      </c>
      <c r="H352" s="4" t="str">
        <f>IF(Respostas_Brutas!B352="","",IF(ISNUMBER(SEARCH("Não",Respostas_Brutas!AH352)),1,0))</f>
        <v/>
      </c>
      <c r="I352" s="4" t="str">
        <f>IF(Respostas_Brutas!B352="","",IF(ISNUMBER(SEARCH("Sim",Respostas_Brutas!AL352)),1,0))</f>
        <v/>
      </c>
      <c r="J352" s="4" t="str">
        <f>IF(Respostas_Brutas!B352="","",IF(Respostas_Brutas!AN352="","",MIN(1,MAX(0,(N(Respostas_Brutas!AN352)-1)/4))))</f>
        <v/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tr">
        <f>IF(Respostas_Brutas!B353="","",Respostas_Brutas!B353)</f>
        <v/>
      </c>
      <c r="B353" s="4" t="str">
        <f>IF(Respostas_Brutas!B353="","",IFERROR(IF(IFERROR(VALUE(TRIM(SUBSTITUTE(SUBSTITUTE(SUBSTITUTE(TRIM(Respostas_Brutas!AS353),"R$",""),".",""),",","."))),0)=0,"",(IFERROR(VALUE(TRIM(SUBSTITUTE(SUBSTITUTE(SUBSTITUTE(TRIM(Respostas_Brutas!AS353),"R$",""),".",""),",","."))),0)-IFERROR(VALUE(TRIM(SUBSTITUTE(SUBSTITUTE(SUBSTITUTE(TRIM(Respostas_Brutas!T353),"R$",""),".",""),",","."))),0))/IFERROR(VALUE(TRIM(SUBSTITUTE(SUBSTITUTE(SUBSTITUTE(TRIM(Respostas_Brutas!AS353),"R$",""),".",""),",","."))),0)),""))</f>
        <v/>
      </c>
      <c r="C353" s="4" t="str">
        <f>IF(Respostas_Brutas!B353="","",MIN(1,(IFERROR(VALUE(LEFT(Respostas_Brutas!I353,IFERROR(FIND(" ",Respostas_Brutas!I353)-1,LEN(Respostas_Brutas!I353)))),0)+IFERROR(VALUE(LEFT(Respostas_Brutas!O353,IFERROR(FIND(" ",Respostas_Brutas!O353)-1,LEN(Respostas_Brutas!O353)))),0))/20))</f>
        <v/>
      </c>
      <c r="D353" s="4" t="str">
        <f>IF(Respostas_Brutas!B353="","",IF(Respostas_Brutas!D353="","",MIN(1,MAX(0,(YEAR(TODAY())-N(Respostas_Brutas!D353))/15))))</f>
        <v/>
      </c>
      <c r="E353" s="4" t="str">
        <f>IF(Respostas_Brutas!B353="","",IF(ISNUMBER(SEARCH("Sim",Respostas_Brutas!S353)),1,0))</f>
        <v/>
      </c>
      <c r="F353" s="4" t="str">
        <f>IF(Respostas_Brutas!B353="","",IFERROR(N(Respostas_Brutas!Y353)/N(Respostas_Brutas!Z353),""))</f>
        <v/>
      </c>
      <c r="G353" s="4" t="str">
        <f>IF(Respostas_Brutas!B353="","",IF(Respostas_Brutas!K353&lt;&gt;"",1,0))</f>
        <v/>
      </c>
      <c r="H353" s="4" t="str">
        <f>IF(Respostas_Brutas!B353="","",IF(ISNUMBER(SEARCH("Não",Respostas_Brutas!AH353)),1,0))</f>
        <v/>
      </c>
      <c r="I353" s="4" t="str">
        <f>IF(Respostas_Brutas!B353="","",IF(ISNUMBER(SEARCH("Sim",Respostas_Brutas!AL353)),1,0))</f>
        <v/>
      </c>
      <c r="J353" s="4" t="str">
        <f>IF(Respostas_Brutas!B353="","",IF(Respostas_Brutas!AN353="","",MIN(1,MAX(0,(N(Respostas_Brutas!AN353)-1)/4))))</f>
        <v/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tr">
        <f>IF(Respostas_Brutas!B354="","",Respostas_Brutas!B354)</f>
        <v/>
      </c>
      <c r="B354" s="4" t="str">
        <f>IF(Respostas_Brutas!B354="","",IFERROR(IF(IFERROR(VALUE(TRIM(SUBSTITUTE(SUBSTITUTE(SUBSTITUTE(TRIM(Respostas_Brutas!AS354),"R$",""),".",""),",","."))),0)=0,"",(IFERROR(VALUE(TRIM(SUBSTITUTE(SUBSTITUTE(SUBSTITUTE(TRIM(Respostas_Brutas!AS354),"R$",""),".",""),",","."))),0)-IFERROR(VALUE(TRIM(SUBSTITUTE(SUBSTITUTE(SUBSTITUTE(TRIM(Respostas_Brutas!T354),"R$",""),".",""),",","."))),0))/IFERROR(VALUE(TRIM(SUBSTITUTE(SUBSTITUTE(SUBSTITUTE(TRIM(Respostas_Brutas!AS354),"R$",""),".",""),",","."))),0)),""))</f>
        <v/>
      </c>
      <c r="C354" s="4" t="str">
        <f>IF(Respostas_Brutas!B354="","",MIN(1,(IFERROR(VALUE(LEFT(Respostas_Brutas!I354,IFERROR(FIND(" ",Respostas_Brutas!I354)-1,LEN(Respostas_Brutas!I354)))),0)+IFERROR(VALUE(LEFT(Respostas_Brutas!O354,IFERROR(FIND(" ",Respostas_Brutas!O354)-1,LEN(Respostas_Brutas!O354)))),0))/20))</f>
        <v/>
      </c>
      <c r="D354" s="4" t="str">
        <f>IF(Respostas_Brutas!B354="","",IF(Respostas_Brutas!D354="","",MIN(1,MAX(0,(YEAR(TODAY())-N(Respostas_Brutas!D354))/15))))</f>
        <v/>
      </c>
      <c r="E354" s="4" t="str">
        <f>IF(Respostas_Brutas!B354="","",IF(ISNUMBER(SEARCH("Sim",Respostas_Brutas!S354)),1,0))</f>
        <v/>
      </c>
      <c r="F354" s="4" t="str">
        <f>IF(Respostas_Brutas!B354="","",IFERROR(N(Respostas_Brutas!Y354)/N(Respostas_Brutas!Z354),""))</f>
        <v/>
      </c>
      <c r="G354" s="4" t="str">
        <f>IF(Respostas_Brutas!B354="","",IF(Respostas_Brutas!K354&lt;&gt;"",1,0))</f>
        <v/>
      </c>
      <c r="H354" s="4" t="str">
        <f>IF(Respostas_Brutas!B354="","",IF(ISNUMBER(SEARCH("Não",Respostas_Brutas!AH354)),1,0))</f>
        <v/>
      </c>
      <c r="I354" s="4" t="str">
        <f>IF(Respostas_Brutas!B354="","",IF(ISNUMBER(SEARCH("Sim",Respostas_Brutas!AL354)),1,0))</f>
        <v/>
      </c>
      <c r="J354" s="4" t="str">
        <f>IF(Respostas_Brutas!B354="","",IF(Respostas_Brutas!AN354="","",MIN(1,MAX(0,(N(Respostas_Brutas!AN354)-1)/4))))</f>
        <v/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tr">
        <f>IF(Respostas_Brutas!B355="","",Respostas_Brutas!B355)</f>
        <v/>
      </c>
      <c r="B355" s="4" t="str">
        <f>IF(Respostas_Brutas!B355="","",IFERROR(IF(IFERROR(VALUE(TRIM(SUBSTITUTE(SUBSTITUTE(SUBSTITUTE(TRIM(Respostas_Brutas!AS355),"R$",""),".",""),",","."))),0)=0,"",(IFERROR(VALUE(TRIM(SUBSTITUTE(SUBSTITUTE(SUBSTITUTE(TRIM(Respostas_Brutas!AS355),"R$",""),".",""),",","."))),0)-IFERROR(VALUE(TRIM(SUBSTITUTE(SUBSTITUTE(SUBSTITUTE(TRIM(Respostas_Brutas!T355),"R$",""),".",""),",","."))),0))/IFERROR(VALUE(TRIM(SUBSTITUTE(SUBSTITUTE(SUBSTITUTE(TRIM(Respostas_Brutas!AS355),"R$",""),".",""),",","."))),0)),""))</f>
        <v/>
      </c>
      <c r="C355" s="4" t="str">
        <f>IF(Respostas_Brutas!B355="","",MIN(1,(IFERROR(VALUE(LEFT(Respostas_Brutas!I355,IFERROR(FIND(" ",Respostas_Brutas!I355)-1,LEN(Respostas_Brutas!I355)))),0)+IFERROR(VALUE(LEFT(Respostas_Brutas!O355,IFERROR(FIND(" ",Respostas_Brutas!O355)-1,LEN(Respostas_Brutas!O355)))),0))/20))</f>
        <v/>
      </c>
      <c r="D355" s="4" t="str">
        <f>IF(Respostas_Brutas!B355="","",IF(Respostas_Brutas!D355="","",MIN(1,MAX(0,(YEAR(TODAY())-N(Respostas_Brutas!D355))/15))))</f>
        <v/>
      </c>
      <c r="E355" s="4" t="str">
        <f>IF(Respostas_Brutas!B355="","",IF(ISNUMBER(SEARCH("Sim",Respostas_Brutas!S355)),1,0))</f>
        <v/>
      </c>
      <c r="F355" s="4" t="str">
        <f>IF(Respostas_Brutas!B355="","",IFERROR(N(Respostas_Brutas!Y355)/N(Respostas_Brutas!Z355),""))</f>
        <v/>
      </c>
      <c r="G355" s="4" t="str">
        <f>IF(Respostas_Brutas!B355="","",IF(Respostas_Brutas!K355&lt;&gt;"",1,0))</f>
        <v/>
      </c>
      <c r="H355" s="4" t="str">
        <f>IF(Respostas_Brutas!B355="","",IF(ISNUMBER(SEARCH("Não",Respostas_Brutas!AH355)),1,0))</f>
        <v/>
      </c>
      <c r="I355" s="4" t="str">
        <f>IF(Respostas_Brutas!B355="","",IF(ISNUMBER(SEARCH("Sim",Respostas_Brutas!AL355)),1,0))</f>
        <v/>
      </c>
      <c r="J355" s="4" t="str">
        <f>IF(Respostas_Brutas!B355="","",IF(Respostas_Brutas!AN355="","",MIN(1,MAX(0,(N(Respostas_Brutas!AN355)-1)/4))))</f>
        <v/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tr">
        <f>IF(Respostas_Brutas!B356="","",Respostas_Brutas!B356)</f>
        <v/>
      </c>
      <c r="B356" s="4" t="str">
        <f>IF(Respostas_Brutas!B356="","",IFERROR(IF(IFERROR(VALUE(TRIM(SUBSTITUTE(SUBSTITUTE(SUBSTITUTE(TRIM(Respostas_Brutas!AS356),"R$",""),".",""),",","."))),0)=0,"",(IFERROR(VALUE(TRIM(SUBSTITUTE(SUBSTITUTE(SUBSTITUTE(TRIM(Respostas_Brutas!AS356),"R$",""),".",""),",","."))),0)-IFERROR(VALUE(TRIM(SUBSTITUTE(SUBSTITUTE(SUBSTITUTE(TRIM(Respostas_Brutas!T356),"R$",""),".",""),",","."))),0))/IFERROR(VALUE(TRIM(SUBSTITUTE(SUBSTITUTE(SUBSTITUTE(TRIM(Respostas_Brutas!AS356),"R$",""),".",""),",","."))),0)),""))</f>
        <v/>
      </c>
      <c r="C356" s="4" t="str">
        <f>IF(Respostas_Brutas!B356="","",MIN(1,(IFERROR(VALUE(LEFT(Respostas_Brutas!I356,IFERROR(FIND(" ",Respostas_Brutas!I356)-1,LEN(Respostas_Brutas!I356)))),0)+IFERROR(VALUE(LEFT(Respostas_Brutas!O356,IFERROR(FIND(" ",Respostas_Brutas!O356)-1,LEN(Respostas_Brutas!O356)))),0))/20))</f>
        <v/>
      </c>
      <c r="D356" s="4" t="str">
        <f>IF(Respostas_Brutas!B356="","",IF(Respostas_Brutas!D356="","",MIN(1,MAX(0,(YEAR(TODAY())-N(Respostas_Brutas!D356))/15))))</f>
        <v/>
      </c>
      <c r="E356" s="4" t="str">
        <f>IF(Respostas_Brutas!B356="","",IF(ISNUMBER(SEARCH("Sim",Respostas_Brutas!S356)),1,0))</f>
        <v/>
      </c>
      <c r="F356" s="4" t="str">
        <f>IF(Respostas_Brutas!B356="","",IFERROR(N(Respostas_Brutas!Y356)/N(Respostas_Brutas!Z356),""))</f>
        <v/>
      </c>
      <c r="G356" s="4" t="str">
        <f>IF(Respostas_Brutas!B356="","",IF(Respostas_Brutas!K356&lt;&gt;"",1,0))</f>
        <v/>
      </c>
      <c r="H356" s="4" t="str">
        <f>IF(Respostas_Brutas!B356="","",IF(ISNUMBER(SEARCH("Não",Respostas_Brutas!AH356)),1,0))</f>
        <v/>
      </c>
      <c r="I356" s="4" t="str">
        <f>IF(Respostas_Brutas!B356="","",IF(ISNUMBER(SEARCH("Sim",Respostas_Brutas!AL356)),1,0))</f>
        <v/>
      </c>
      <c r="J356" s="4" t="str">
        <f>IF(Respostas_Brutas!B356="","",IF(Respostas_Brutas!AN356="","",MIN(1,MAX(0,(N(Respostas_Brutas!AN356)-1)/4))))</f>
        <v/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tr">
        <f>IF(Respostas_Brutas!B357="","",Respostas_Brutas!B357)</f>
        <v/>
      </c>
      <c r="B357" s="4" t="str">
        <f>IF(Respostas_Brutas!B357="","",IFERROR(IF(IFERROR(VALUE(TRIM(SUBSTITUTE(SUBSTITUTE(SUBSTITUTE(TRIM(Respostas_Brutas!AS357),"R$",""),".",""),",","."))),0)=0,"",(IFERROR(VALUE(TRIM(SUBSTITUTE(SUBSTITUTE(SUBSTITUTE(TRIM(Respostas_Brutas!AS357),"R$",""),".",""),",","."))),0)-IFERROR(VALUE(TRIM(SUBSTITUTE(SUBSTITUTE(SUBSTITUTE(TRIM(Respostas_Brutas!T357),"R$",""),".",""),",","."))),0))/IFERROR(VALUE(TRIM(SUBSTITUTE(SUBSTITUTE(SUBSTITUTE(TRIM(Respostas_Brutas!AS357),"R$",""),".",""),",","."))),0)),""))</f>
        <v/>
      </c>
      <c r="C357" s="4" t="str">
        <f>IF(Respostas_Brutas!B357="","",MIN(1,(IFERROR(VALUE(LEFT(Respostas_Brutas!I357,IFERROR(FIND(" ",Respostas_Brutas!I357)-1,LEN(Respostas_Brutas!I357)))),0)+IFERROR(VALUE(LEFT(Respostas_Brutas!O357,IFERROR(FIND(" ",Respostas_Brutas!O357)-1,LEN(Respostas_Brutas!O357)))),0))/20))</f>
        <v/>
      </c>
      <c r="D357" s="4" t="str">
        <f>IF(Respostas_Brutas!B357="","",IF(Respostas_Brutas!D357="","",MIN(1,MAX(0,(YEAR(TODAY())-N(Respostas_Brutas!D357))/15))))</f>
        <v/>
      </c>
      <c r="E357" s="4" t="str">
        <f>IF(Respostas_Brutas!B357="","",IF(ISNUMBER(SEARCH("Sim",Respostas_Brutas!S357)),1,0))</f>
        <v/>
      </c>
      <c r="F357" s="4" t="str">
        <f>IF(Respostas_Brutas!B357="","",IFERROR(N(Respostas_Brutas!Y357)/N(Respostas_Brutas!Z357),""))</f>
        <v/>
      </c>
      <c r="G357" s="4" t="str">
        <f>IF(Respostas_Brutas!B357="","",IF(Respostas_Brutas!K357&lt;&gt;"",1,0))</f>
        <v/>
      </c>
      <c r="H357" s="4" t="str">
        <f>IF(Respostas_Brutas!B357="","",IF(ISNUMBER(SEARCH("Não",Respostas_Brutas!AH357)),1,0))</f>
        <v/>
      </c>
      <c r="I357" s="4" t="str">
        <f>IF(Respostas_Brutas!B357="","",IF(ISNUMBER(SEARCH("Sim",Respostas_Brutas!AL357)),1,0))</f>
        <v/>
      </c>
      <c r="J357" s="4" t="str">
        <f>IF(Respostas_Brutas!B357="","",IF(Respostas_Brutas!AN357="","",MIN(1,MAX(0,(N(Respostas_Brutas!AN357)-1)/4))))</f>
        <v/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tr">
        <f>IF(Respostas_Brutas!B358="","",Respostas_Brutas!B358)</f>
        <v/>
      </c>
      <c r="B358" s="4" t="str">
        <f>IF(Respostas_Brutas!B358="","",IFERROR(IF(IFERROR(VALUE(TRIM(SUBSTITUTE(SUBSTITUTE(SUBSTITUTE(TRIM(Respostas_Brutas!AS358),"R$",""),".",""),",","."))),0)=0,"",(IFERROR(VALUE(TRIM(SUBSTITUTE(SUBSTITUTE(SUBSTITUTE(TRIM(Respostas_Brutas!AS358),"R$",""),".",""),",","."))),0)-IFERROR(VALUE(TRIM(SUBSTITUTE(SUBSTITUTE(SUBSTITUTE(TRIM(Respostas_Brutas!T358),"R$",""),".",""),",","."))),0))/IFERROR(VALUE(TRIM(SUBSTITUTE(SUBSTITUTE(SUBSTITUTE(TRIM(Respostas_Brutas!AS358),"R$",""),".",""),",","."))),0)),""))</f>
        <v/>
      </c>
      <c r="C358" s="4" t="str">
        <f>IF(Respostas_Brutas!B358="","",MIN(1,(IFERROR(VALUE(LEFT(Respostas_Brutas!I358,IFERROR(FIND(" ",Respostas_Brutas!I358)-1,LEN(Respostas_Brutas!I358)))),0)+IFERROR(VALUE(LEFT(Respostas_Brutas!O358,IFERROR(FIND(" ",Respostas_Brutas!O358)-1,LEN(Respostas_Brutas!O358)))),0))/20))</f>
        <v/>
      </c>
      <c r="D358" s="4" t="str">
        <f>IF(Respostas_Brutas!B358="","",IF(Respostas_Brutas!D358="","",MIN(1,MAX(0,(YEAR(TODAY())-N(Respostas_Brutas!D358))/15))))</f>
        <v/>
      </c>
      <c r="E358" s="4" t="str">
        <f>IF(Respostas_Brutas!B358="","",IF(ISNUMBER(SEARCH("Sim",Respostas_Brutas!S358)),1,0))</f>
        <v/>
      </c>
      <c r="F358" s="4" t="str">
        <f>IF(Respostas_Brutas!B358="","",IFERROR(N(Respostas_Brutas!Y358)/N(Respostas_Brutas!Z358),""))</f>
        <v/>
      </c>
      <c r="G358" s="4" t="str">
        <f>IF(Respostas_Brutas!B358="","",IF(Respostas_Brutas!K358&lt;&gt;"",1,0))</f>
        <v/>
      </c>
      <c r="H358" s="4" t="str">
        <f>IF(Respostas_Brutas!B358="","",IF(ISNUMBER(SEARCH("Não",Respostas_Brutas!AH358)),1,0))</f>
        <v/>
      </c>
      <c r="I358" s="4" t="str">
        <f>IF(Respostas_Brutas!B358="","",IF(ISNUMBER(SEARCH("Sim",Respostas_Brutas!AL358)),1,0))</f>
        <v/>
      </c>
      <c r="J358" s="4" t="str">
        <f>IF(Respostas_Brutas!B358="","",IF(Respostas_Brutas!AN358="","",MIN(1,MAX(0,(N(Respostas_Brutas!AN358)-1)/4))))</f>
        <v/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tr">
        <f>IF(Respostas_Brutas!B359="","",Respostas_Brutas!B359)</f>
        <v/>
      </c>
      <c r="B359" s="4" t="str">
        <f>IF(Respostas_Brutas!B359="","",IFERROR(IF(IFERROR(VALUE(TRIM(SUBSTITUTE(SUBSTITUTE(SUBSTITUTE(TRIM(Respostas_Brutas!AS359),"R$",""),".",""),",","."))),0)=0,"",(IFERROR(VALUE(TRIM(SUBSTITUTE(SUBSTITUTE(SUBSTITUTE(TRIM(Respostas_Brutas!AS359),"R$",""),".",""),",","."))),0)-IFERROR(VALUE(TRIM(SUBSTITUTE(SUBSTITUTE(SUBSTITUTE(TRIM(Respostas_Brutas!T359),"R$",""),".",""),",","."))),0))/IFERROR(VALUE(TRIM(SUBSTITUTE(SUBSTITUTE(SUBSTITUTE(TRIM(Respostas_Brutas!AS359),"R$",""),".",""),",","."))),0)),""))</f>
        <v/>
      </c>
      <c r="C359" s="4" t="str">
        <f>IF(Respostas_Brutas!B359="","",MIN(1,(IFERROR(VALUE(LEFT(Respostas_Brutas!I359,IFERROR(FIND(" ",Respostas_Brutas!I359)-1,LEN(Respostas_Brutas!I359)))),0)+IFERROR(VALUE(LEFT(Respostas_Brutas!O359,IFERROR(FIND(" ",Respostas_Brutas!O359)-1,LEN(Respostas_Brutas!O359)))),0))/20))</f>
        <v/>
      </c>
      <c r="D359" s="4" t="str">
        <f>IF(Respostas_Brutas!B359="","",IF(Respostas_Brutas!D359="","",MIN(1,MAX(0,(YEAR(TODAY())-N(Respostas_Brutas!D359))/15))))</f>
        <v/>
      </c>
      <c r="E359" s="4" t="str">
        <f>IF(Respostas_Brutas!B359="","",IF(ISNUMBER(SEARCH("Sim",Respostas_Brutas!S359)),1,0))</f>
        <v/>
      </c>
      <c r="F359" s="4" t="str">
        <f>IF(Respostas_Brutas!B359="","",IFERROR(N(Respostas_Brutas!Y359)/N(Respostas_Brutas!Z359),""))</f>
        <v/>
      </c>
      <c r="G359" s="4" t="str">
        <f>IF(Respostas_Brutas!B359="","",IF(Respostas_Brutas!K359&lt;&gt;"",1,0))</f>
        <v/>
      </c>
      <c r="H359" s="4" t="str">
        <f>IF(Respostas_Brutas!B359="","",IF(ISNUMBER(SEARCH("Não",Respostas_Brutas!AH359)),1,0))</f>
        <v/>
      </c>
      <c r="I359" s="4" t="str">
        <f>IF(Respostas_Brutas!B359="","",IF(ISNUMBER(SEARCH("Sim",Respostas_Brutas!AL359)),1,0))</f>
        <v/>
      </c>
      <c r="J359" s="4" t="str">
        <f>IF(Respostas_Brutas!B359="","",IF(Respostas_Brutas!AN359="","",MIN(1,MAX(0,(N(Respostas_Brutas!AN359)-1)/4))))</f>
        <v/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tr">
        <f>IF(Respostas_Brutas!B360="","",Respostas_Brutas!B360)</f>
        <v/>
      </c>
      <c r="B360" s="4" t="str">
        <f>IF(Respostas_Brutas!B360="","",IFERROR(IF(IFERROR(VALUE(TRIM(SUBSTITUTE(SUBSTITUTE(SUBSTITUTE(TRIM(Respostas_Brutas!AS360),"R$",""),".",""),",","."))),0)=0,"",(IFERROR(VALUE(TRIM(SUBSTITUTE(SUBSTITUTE(SUBSTITUTE(TRIM(Respostas_Brutas!AS360),"R$",""),".",""),",","."))),0)-IFERROR(VALUE(TRIM(SUBSTITUTE(SUBSTITUTE(SUBSTITUTE(TRIM(Respostas_Brutas!T360),"R$",""),".",""),",","."))),0))/IFERROR(VALUE(TRIM(SUBSTITUTE(SUBSTITUTE(SUBSTITUTE(TRIM(Respostas_Brutas!AS360),"R$",""),".",""),",","."))),0)),""))</f>
        <v/>
      </c>
      <c r="C360" s="4" t="str">
        <f>IF(Respostas_Brutas!B360="","",MIN(1,(IFERROR(VALUE(LEFT(Respostas_Brutas!I360,IFERROR(FIND(" ",Respostas_Brutas!I360)-1,LEN(Respostas_Brutas!I360)))),0)+IFERROR(VALUE(LEFT(Respostas_Brutas!O360,IFERROR(FIND(" ",Respostas_Brutas!O360)-1,LEN(Respostas_Brutas!O360)))),0))/20))</f>
        <v/>
      </c>
      <c r="D360" s="4" t="str">
        <f>IF(Respostas_Brutas!B360="","",IF(Respostas_Brutas!D360="","",MIN(1,MAX(0,(YEAR(TODAY())-N(Respostas_Brutas!D360))/15))))</f>
        <v/>
      </c>
      <c r="E360" s="4" t="str">
        <f>IF(Respostas_Brutas!B360="","",IF(ISNUMBER(SEARCH("Sim",Respostas_Brutas!S360)),1,0))</f>
        <v/>
      </c>
      <c r="F360" s="4" t="str">
        <f>IF(Respostas_Brutas!B360="","",IFERROR(N(Respostas_Brutas!Y360)/N(Respostas_Brutas!Z360),""))</f>
        <v/>
      </c>
      <c r="G360" s="4" t="str">
        <f>IF(Respostas_Brutas!B360="","",IF(Respostas_Brutas!K360&lt;&gt;"",1,0))</f>
        <v/>
      </c>
      <c r="H360" s="4" t="str">
        <f>IF(Respostas_Brutas!B360="","",IF(ISNUMBER(SEARCH("Não",Respostas_Brutas!AH360)),1,0))</f>
        <v/>
      </c>
      <c r="I360" s="4" t="str">
        <f>IF(Respostas_Brutas!B360="","",IF(ISNUMBER(SEARCH("Sim",Respostas_Brutas!AL360)),1,0))</f>
        <v/>
      </c>
      <c r="J360" s="4" t="str">
        <f>IF(Respostas_Brutas!B360="","",IF(Respostas_Brutas!AN360="","",MIN(1,MAX(0,(N(Respostas_Brutas!AN360)-1)/4))))</f>
        <v/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tr">
        <f>IF(Respostas_Brutas!B361="","",Respostas_Brutas!B361)</f>
        <v/>
      </c>
      <c r="B361" s="4" t="str">
        <f>IF(Respostas_Brutas!B361="","",IFERROR(IF(IFERROR(VALUE(TRIM(SUBSTITUTE(SUBSTITUTE(SUBSTITUTE(TRIM(Respostas_Brutas!AS361),"R$",""),".",""),",","."))),0)=0,"",(IFERROR(VALUE(TRIM(SUBSTITUTE(SUBSTITUTE(SUBSTITUTE(TRIM(Respostas_Brutas!AS361),"R$",""),".",""),",","."))),0)-IFERROR(VALUE(TRIM(SUBSTITUTE(SUBSTITUTE(SUBSTITUTE(TRIM(Respostas_Brutas!T361),"R$",""),".",""),",","."))),0))/IFERROR(VALUE(TRIM(SUBSTITUTE(SUBSTITUTE(SUBSTITUTE(TRIM(Respostas_Brutas!AS361),"R$",""),".",""),",","."))),0)),""))</f>
        <v/>
      </c>
      <c r="C361" s="4" t="str">
        <f>IF(Respostas_Brutas!B361="","",MIN(1,(IFERROR(VALUE(LEFT(Respostas_Brutas!I361,IFERROR(FIND(" ",Respostas_Brutas!I361)-1,LEN(Respostas_Brutas!I361)))),0)+IFERROR(VALUE(LEFT(Respostas_Brutas!O361,IFERROR(FIND(" ",Respostas_Brutas!O361)-1,LEN(Respostas_Brutas!O361)))),0))/20))</f>
        <v/>
      </c>
      <c r="D361" s="4" t="str">
        <f>IF(Respostas_Brutas!B361="","",IF(Respostas_Brutas!D361="","",MIN(1,MAX(0,(YEAR(TODAY())-N(Respostas_Brutas!D361))/15))))</f>
        <v/>
      </c>
      <c r="E361" s="4" t="str">
        <f>IF(Respostas_Brutas!B361="","",IF(ISNUMBER(SEARCH("Sim",Respostas_Brutas!S361)),1,0))</f>
        <v/>
      </c>
      <c r="F361" s="4" t="str">
        <f>IF(Respostas_Brutas!B361="","",IFERROR(N(Respostas_Brutas!Y361)/N(Respostas_Brutas!Z361),""))</f>
        <v/>
      </c>
      <c r="G361" s="4" t="str">
        <f>IF(Respostas_Brutas!B361="","",IF(Respostas_Brutas!K361&lt;&gt;"",1,0))</f>
        <v/>
      </c>
      <c r="H361" s="4" t="str">
        <f>IF(Respostas_Brutas!B361="","",IF(ISNUMBER(SEARCH("Não",Respostas_Brutas!AH361)),1,0))</f>
        <v/>
      </c>
      <c r="I361" s="4" t="str">
        <f>IF(Respostas_Brutas!B361="","",IF(ISNUMBER(SEARCH("Sim",Respostas_Brutas!AL361)),1,0))</f>
        <v/>
      </c>
      <c r="J361" s="4" t="str">
        <f>IF(Respostas_Brutas!B361="","",IF(Respostas_Brutas!AN361="","",MIN(1,MAX(0,(N(Respostas_Brutas!AN361)-1)/4))))</f>
        <v/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tr">
        <f>IF(Respostas_Brutas!B362="","",Respostas_Brutas!B362)</f>
        <v/>
      </c>
      <c r="B362" s="4" t="str">
        <f>IF(Respostas_Brutas!B362="","",IFERROR(IF(IFERROR(VALUE(TRIM(SUBSTITUTE(SUBSTITUTE(SUBSTITUTE(TRIM(Respostas_Brutas!AS362),"R$",""),".",""),",","."))),0)=0,"",(IFERROR(VALUE(TRIM(SUBSTITUTE(SUBSTITUTE(SUBSTITUTE(TRIM(Respostas_Brutas!AS362),"R$",""),".",""),",","."))),0)-IFERROR(VALUE(TRIM(SUBSTITUTE(SUBSTITUTE(SUBSTITUTE(TRIM(Respostas_Brutas!T362),"R$",""),".",""),",","."))),0))/IFERROR(VALUE(TRIM(SUBSTITUTE(SUBSTITUTE(SUBSTITUTE(TRIM(Respostas_Brutas!AS362),"R$",""),".",""),",","."))),0)),""))</f>
        <v/>
      </c>
      <c r="C362" s="4" t="str">
        <f>IF(Respostas_Brutas!B362="","",MIN(1,(IFERROR(VALUE(LEFT(Respostas_Brutas!I362,IFERROR(FIND(" ",Respostas_Brutas!I362)-1,LEN(Respostas_Brutas!I362)))),0)+IFERROR(VALUE(LEFT(Respostas_Brutas!O362,IFERROR(FIND(" ",Respostas_Brutas!O362)-1,LEN(Respostas_Brutas!O362)))),0))/20))</f>
        <v/>
      </c>
      <c r="D362" s="4" t="str">
        <f>IF(Respostas_Brutas!B362="","",IF(Respostas_Brutas!D362="","",MIN(1,MAX(0,(YEAR(TODAY())-N(Respostas_Brutas!D362))/15))))</f>
        <v/>
      </c>
      <c r="E362" s="4" t="str">
        <f>IF(Respostas_Brutas!B362="","",IF(ISNUMBER(SEARCH("Sim",Respostas_Brutas!S362)),1,0))</f>
        <v/>
      </c>
      <c r="F362" s="4" t="str">
        <f>IF(Respostas_Brutas!B362="","",IFERROR(N(Respostas_Brutas!Y362)/N(Respostas_Brutas!Z362),""))</f>
        <v/>
      </c>
      <c r="G362" s="4" t="str">
        <f>IF(Respostas_Brutas!B362="","",IF(Respostas_Brutas!K362&lt;&gt;"",1,0))</f>
        <v/>
      </c>
      <c r="H362" s="4" t="str">
        <f>IF(Respostas_Brutas!B362="","",IF(ISNUMBER(SEARCH("Não",Respostas_Brutas!AH362)),1,0))</f>
        <v/>
      </c>
      <c r="I362" s="4" t="str">
        <f>IF(Respostas_Brutas!B362="","",IF(ISNUMBER(SEARCH("Sim",Respostas_Brutas!AL362)),1,0))</f>
        <v/>
      </c>
      <c r="J362" s="4" t="str">
        <f>IF(Respostas_Brutas!B362="","",IF(Respostas_Brutas!AN362="","",MIN(1,MAX(0,(N(Respostas_Brutas!AN362)-1)/4))))</f>
        <v/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tr">
        <f>IF(Respostas_Brutas!B363="","",Respostas_Brutas!B363)</f>
        <v/>
      </c>
      <c r="B363" s="4" t="str">
        <f>IF(Respostas_Brutas!B363="","",IFERROR(IF(IFERROR(VALUE(TRIM(SUBSTITUTE(SUBSTITUTE(SUBSTITUTE(TRIM(Respostas_Brutas!AS363),"R$",""),".",""),",","."))),0)=0,"",(IFERROR(VALUE(TRIM(SUBSTITUTE(SUBSTITUTE(SUBSTITUTE(TRIM(Respostas_Brutas!AS363),"R$",""),".",""),",","."))),0)-IFERROR(VALUE(TRIM(SUBSTITUTE(SUBSTITUTE(SUBSTITUTE(TRIM(Respostas_Brutas!T363),"R$",""),".",""),",","."))),0))/IFERROR(VALUE(TRIM(SUBSTITUTE(SUBSTITUTE(SUBSTITUTE(TRIM(Respostas_Brutas!AS363),"R$",""),".",""),",","."))),0)),""))</f>
        <v/>
      </c>
      <c r="C363" s="4" t="str">
        <f>IF(Respostas_Brutas!B363="","",MIN(1,(IFERROR(VALUE(LEFT(Respostas_Brutas!I363,IFERROR(FIND(" ",Respostas_Brutas!I363)-1,LEN(Respostas_Brutas!I363)))),0)+IFERROR(VALUE(LEFT(Respostas_Brutas!O363,IFERROR(FIND(" ",Respostas_Brutas!O363)-1,LEN(Respostas_Brutas!O363)))),0))/20))</f>
        <v/>
      </c>
      <c r="D363" s="4" t="str">
        <f>IF(Respostas_Brutas!B363="","",IF(Respostas_Brutas!D363="","",MIN(1,MAX(0,(YEAR(TODAY())-N(Respostas_Brutas!D363))/15))))</f>
        <v/>
      </c>
      <c r="E363" s="4" t="str">
        <f>IF(Respostas_Brutas!B363="","",IF(ISNUMBER(SEARCH("Sim",Respostas_Brutas!S363)),1,0))</f>
        <v/>
      </c>
      <c r="F363" s="4" t="str">
        <f>IF(Respostas_Brutas!B363="","",IFERROR(N(Respostas_Brutas!Y363)/N(Respostas_Brutas!Z363),""))</f>
        <v/>
      </c>
      <c r="G363" s="4" t="str">
        <f>IF(Respostas_Brutas!B363="","",IF(Respostas_Brutas!K363&lt;&gt;"",1,0))</f>
        <v/>
      </c>
      <c r="H363" s="4" t="str">
        <f>IF(Respostas_Brutas!B363="","",IF(ISNUMBER(SEARCH("Não",Respostas_Brutas!AH363)),1,0))</f>
        <v/>
      </c>
      <c r="I363" s="4" t="str">
        <f>IF(Respostas_Brutas!B363="","",IF(ISNUMBER(SEARCH("Sim",Respostas_Brutas!AL363)),1,0))</f>
        <v/>
      </c>
      <c r="J363" s="4" t="str">
        <f>IF(Respostas_Brutas!B363="","",IF(Respostas_Brutas!AN363="","",MIN(1,MAX(0,(N(Respostas_Brutas!AN363)-1)/4))))</f>
        <v/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tr">
        <f>IF(Respostas_Brutas!B364="","",Respostas_Brutas!B364)</f>
        <v/>
      </c>
      <c r="B364" s="4" t="str">
        <f>IF(Respostas_Brutas!B364="","",IFERROR(IF(IFERROR(VALUE(TRIM(SUBSTITUTE(SUBSTITUTE(SUBSTITUTE(TRIM(Respostas_Brutas!AS364),"R$",""),".",""),",","."))),0)=0,"",(IFERROR(VALUE(TRIM(SUBSTITUTE(SUBSTITUTE(SUBSTITUTE(TRIM(Respostas_Brutas!AS364),"R$",""),".",""),",","."))),0)-IFERROR(VALUE(TRIM(SUBSTITUTE(SUBSTITUTE(SUBSTITUTE(TRIM(Respostas_Brutas!T364),"R$",""),".",""),",","."))),0))/IFERROR(VALUE(TRIM(SUBSTITUTE(SUBSTITUTE(SUBSTITUTE(TRIM(Respostas_Brutas!AS364),"R$",""),".",""),",","."))),0)),""))</f>
        <v/>
      </c>
      <c r="C364" s="4" t="str">
        <f>IF(Respostas_Brutas!B364="","",MIN(1,(IFERROR(VALUE(LEFT(Respostas_Brutas!I364,IFERROR(FIND(" ",Respostas_Brutas!I364)-1,LEN(Respostas_Brutas!I364)))),0)+IFERROR(VALUE(LEFT(Respostas_Brutas!O364,IFERROR(FIND(" ",Respostas_Brutas!O364)-1,LEN(Respostas_Brutas!O364)))),0))/20))</f>
        <v/>
      </c>
      <c r="D364" s="4" t="str">
        <f>IF(Respostas_Brutas!B364="","",IF(Respostas_Brutas!D364="","",MIN(1,MAX(0,(YEAR(TODAY())-N(Respostas_Brutas!D364))/15))))</f>
        <v/>
      </c>
      <c r="E364" s="4" t="str">
        <f>IF(Respostas_Brutas!B364="","",IF(ISNUMBER(SEARCH("Sim",Respostas_Brutas!S364)),1,0))</f>
        <v/>
      </c>
      <c r="F364" s="4" t="str">
        <f>IF(Respostas_Brutas!B364="","",IFERROR(N(Respostas_Brutas!Y364)/N(Respostas_Brutas!Z364),""))</f>
        <v/>
      </c>
      <c r="G364" s="4" t="str">
        <f>IF(Respostas_Brutas!B364="","",IF(Respostas_Brutas!K364&lt;&gt;"",1,0))</f>
        <v/>
      </c>
      <c r="H364" s="4" t="str">
        <f>IF(Respostas_Brutas!B364="","",IF(ISNUMBER(SEARCH("Não",Respostas_Brutas!AH364)),1,0))</f>
        <v/>
      </c>
      <c r="I364" s="4" t="str">
        <f>IF(Respostas_Brutas!B364="","",IF(ISNUMBER(SEARCH("Sim",Respostas_Brutas!AL364)),1,0))</f>
        <v/>
      </c>
      <c r="J364" s="4" t="str">
        <f>IF(Respostas_Brutas!B364="","",IF(Respostas_Brutas!AN364="","",MIN(1,MAX(0,(N(Respostas_Brutas!AN364)-1)/4))))</f>
        <v/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tr">
        <f>IF(Respostas_Brutas!B365="","",Respostas_Brutas!B365)</f>
        <v/>
      </c>
      <c r="B365" s="4" t="str">
        <f>IF(Respostas_Brutas!B365="","",IFERROR(IF(IFERROR(VALUE(TRIM(SUBSTITUTE(SUBSTITUTE(SUBSTITUTE(TRIM(Respostas_Brutas!AS365),"R$",""),".",""),",","."))),0)=0,"",(IFERROR(VALUE(TRIM(SUBSTITUTE(SUBSTITUTE(SUBSTITUTE(TRIM(Respostas_Brutas!AS365),"R$",""),".",""),",","."))),0)-IFERROR(VALUE(TRIM(SUBSTITUTE(SUBSTITUTE(SUBSTITUTE(TRIM(Respostas_Brutas!T365),"R$",""),".",""),",","."))),0))/IFERROR(VALUE(TRIM(SUBSTITUTE(SUBSTITUTE(SUBSTITUTE(TRIM(Respostas_Brutas!AS365),"R$",""),".",""),",","."))),0)),""))</f>
        <v/>
      </c>
      <c r="C365" s="4" t="str">
        <f>IF(Respostas_Brutas!B365="","",MIN(1,(IFERROR(VALUE(LEFT(Respostas_Brutas!I365,IFERROR(FIND(" ",Respostas_Brutas!I365)-1,LEN(Respostas_Brutas!I365)))),0)+IFERROR(VALUE(LEFT(Respostas_Brutas!O365,IFERROR(FIND(" ",Respostas_Brutas!O365)-1,LEN(Respostas_Brutas!O365)))),0))/20))</f>
        <v/>
      </c>
      <c r="D365" s="4" t="str">
        <f>IF(Respostas_Brutas!B365="","",IF(Respostas_Brutas!D365="","",MIN(1,MAX(0,(YEAR(TODAY())-N(Respostas_Brutas!D365))/15))))</f>
        <v/>
      </c>
      <c r="E365" s="4" t="str">
        <f>IF(Respostas_Brutas!B365="","",IF(ISNUMBER(SEARCH("Sim",Respostas_Brutas!S365)),1,0))</f>
        <v/>
      </c>
      <c r="F365" s="4" t="str">
        <f>IF(Respostas_Brutas!B365="","",IFERROR(N(Respostas_Brutas!Y365)/N(Respostas_Brutas!Z365),""))</f>
        <v/>
      </c>
      <c r="G365" s="4" t="str">
        <f>IF(Respostas_Brutas!B365="","",IF(Respostas_Brutas!K365&lt;&gt;"",1,0))</f>
        <v/>
      </c>
      <c r="H365" s="4" t="str">
        <f>IF(Respostas_Brutas!B365="","",IF(ISNUMBER(SEARCH("Não",Respostas_Brutas!AH365)),1,0))</f>
        <v/>
      </c>
      <c r="I365" s="4" t="str">
        <f>IF(Respostas_Brutas!B365="","",IF(ISNUMBER(SEARCH("Sim",Respostas_Brutas!AL365)),1,0))</f>
        <v/>
      </c>
      <c r="J365" s="4" t="str">
        <f>IF(Respostas_Brutas!B365="","",IF(Respostas_Brutas!AN365="","",MIN(1,MAX(0,(N(Respostas_Brutas!AN365)-1)/4))))</f>
        <v/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tr">
        <f>IF(Respostas_Brutas!B366="","",Respostas_Brutas!B366)</f>
        <v/>
      </c>
      <c r="B366" s="4" t="str">
        <f>IF(Respostas_Brutas!B366="","",IFERROR(IF(IFERROR(VALUE(TRIM(SUBSTITUTE(SUBSTITUTE(SUBSTITUTE(TRIM(Respostas_Brutas!AS366),"R$",""),".",""),",","."))),0)=0,"",(IFERROR(VALUE(TRIM(SUBSTITUTE(SUBSTITUTE(SUBSTITUTE(TRIM(Respostas_Brutas!AS366),"R$",""),".",""),",","."))),0)-IFERROR(VALUE(TRIM(SUBSTITUTE(SUBSTITUTE(SUBSTITUTE(TRIM(Respostas_Brutas!T366),"R$",""),".",""),",","."))),0))/IFERROR(VALUE(TRIM(SUBSTITUTE(SUBSTITUTE(SUBSTITUTE(TRIM(Respostas_Brutas!AS366),"R$",""),".",""),",","."))),0)),""))</f>
        <v/>
      </c>
      <c r="C366" s="4" t="str">
        <f>IF(Respostas_Brutas!B366="","",MIN(1,(IFERROR(VALUE(LEFT(Respostas_Brutas!I366,IFERROR(FIND(" ",Respostas_Brutas!I366)-1,LEN(Respostas_Brutas!I366)))),0)+IFERROR(VALUE(LEFT(Respostas_Brutas!O366,IFERROR(FIND(" ",Respostas_Brutas!O366)-1,LEN(Respostas_Brutas!O366)))),0))/20))</f>
        <v/>
      </c>
      <c r="D366" s="4" t="str">
        <f>IF(Respostas_Brutas!B366="","",IF(Respostas_Brutas!D366="","",MIN(1,MAX(0,(YEAR(TODAY())-N(Respostas_Brutas!D366))/15))))</f>
        <v/>
      </c>
      <c r="E366" s="4" t="str">
        <f>IF(Respostas_Brutas!B366="","",IF(ISNUMBER(SEARCH("Sim",Respostas_Brutas!S366)),1,0))</f>
        <v/>
      </c>
      <c r="F366" s="4" t="str">
        <f>IF(Respostas_Brutas!B366="","",IFERROR(N(Respostas_Brutas!Y366)/N(Respostas_Brutas!Z366),""))</f>
        <v/>
      </c>
      <c r="G366" s="4" t="str">
        <f>IF(Respostas_Brutas!B366="","",IF(Respostas_Brutas!K366&lt;&gt;"",1,0))</f>
        <v/>
      </c>
      <c r="H366" s="4" t="str">
        <f>IF(Respostas_Brutas!B366="","",IF(ISNUMBER(SEARCH("Não",Respostas_Brutas!AH366)),1,0))</f>
        <v/>
      </c>
      <c r="I366" s="4" t="str">
        <f>IF(Respostas_Brutas!B366="","",IF(ISNUMBER(SEARCH("Sim",Respostas_Brutas!AL366)),1,0))</f>
        <v/>
      </c>
      <c r="J366" s="4" t="str">
        <f>IF(Respostas_Brutas!B366="","",IF(Respostas_Brutas!AN366="","",MIN(1,MAX(0,(N(Respostas_Brutas!AN366)-1)/4))))</f>
        <v/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tr">
        <f>IF(Respostas_Brutas!B367="","",Respostas_Brutas!B367)</f>
        <v/>
      </c>
      <c r="B367" s="4" t="str">
        <f>IF(Respostas_Brutas!B367="","",IFERROR(IF(IFERROR(VALUE(TRIM(SUBSTITUTE(SUBSTITUTE(SUBSTITUTE(TRIM(Respostas_Brutas!AS367),"R$",""),".",""),",","."))),0)=0,"",(IFERROR(VALUE(TRIM(SUBSTITUTE(SUBSTITUTE(SUBSTITUTE(TRIM(Respostas_Brutas!AS367),"R$",""),".",""),",","."))),0)-IFERROR(VALUE(TRIM(SUBSTITUTE(SUBSTITUTE(SUBSTITUTE(TRIM(Respostas_Brutas!T367),"R$",""),".",""),",","."))),0))/IFERROR(VALUE(TRIM(SUBSTITUTE(SUBSTITUTE(SUBSTITUTE(TRIM(Respostas_Brutas!AS367),"R$",""),".",""),",","."))),0)),""))</f>
        <v/>
      </c>
      <c r="C367" s="4" t="str">
        <f>IF(Respostas_Brutas!B367="","",MIN(1,(IFERROR(VALUE(LEFT(Respostas_Brutas!I367,IFERROR(FIND(" ",Respostas_Brutas!I367)-1,LEN(Respostas_Brutas!I367)))),0)+IFERROR(VALUE(LEFT(Respostas_Brutas!O367,IFERROR(FIND(" ",Respostas_Brutas!O367)-1,LEN(Respostas_Brutas!O367)))),0))/20))</f>
        <v/>
      </c>
      <c r="D367" s="4" t="str">
        <f>IF(Respostas_Brutas!B367="","",IF(Respostas_Brutas!D367="","",MIN(1,MAX(0,(YEAR(TODAY())-N(Respostas_Brutas!D367))/15))))</f>
        <v/>
      </c>
      <c r="E367" s="4" t="str">
        <f>IF(Respostas_Brutas!B367="","",IF(ISNUMBER(SEARCH("Sim",Respostas_Brutas!S367)),1,0))</f>
        <v/>
      </c>
      <c r="F367" s="4" t="str">
        <f>IF(Respostas_Brutas!B367="","",IFERROR(N(Respostas_Brutas!Y367)/N(Respostas_Brutas!Z367),""))</f>
        <v/>
      </c>
      <c r="G367" s="4" t="str">
        <f>IF(Respostas_Brutas!B367="","",IF(Respostas_Brutas!K367&lt;&gt;"",1,0))</f>
        <v/>
      </c>
      <c r="H367" s="4" t="str">
        <f>IF(Respostas_Brutas!B367="","",IF(ISNUMBER(SEARCH("Não",Respostas_Brutas!AH367)),1,0))</f>
        <v/>
      </c>
      <c r="I367" s="4" t="str">
        <f>IF(Respostas_Brutas!B367="","",IF(ISNUMBER(SEARCH("Sim",Respostas_Brutas!AL367)),1,0))</f>
        <v/>
      </c>
      <c r="J367" s="4" t="str">
        <f>IF(Respostas_Brutas!B367="","",IF(Respostas_Brutas!AN367="","",MIN(1,MAX(0,(N(Respostas_Brutas!AN367)-1)/4))))</f>
        <v/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tr">
        <f>IF(Respostas_Brutas!B368="","",Respostas_Brutas!B368)</f>
        <v/>
      </c>
      <c r="B368" s="4" t="str">
        <f>IF(Respostas_Brutas!B368="","",IFERROR(IF(IFERROR(VALUE(TRIM(SUBSTITUTE(SUBSTITUTE(SUBSTITUTE(TRIM(Respostas_Brutas!AS368),"R$",""),".",""),",","."))),0)=0,"",(IFERROR(VALUE(TRIM(SUBSTITUTE(SUBSTITUTE(SUBSTITUTE(TRIM(Respostas_Brutas!AS368),"R$",""),".",""),",","."))),0)-IFERROR(VALUE(TRIM(SUBSTITUTE(SUBSTITUTE(SUBSTITUTE(TRIM(Respostas_Brutas!T368),"R$",""),".",""),",","."))),0))/IFERROR(VALUE(TRIM(SUBSTITUTE(SUBSTITUTE(SUBSTITUTE(TRIM(Respostas_Brutas!AS368),"R$",""),".",""),",","."))),0)),""))</f>
        <v/>
      </c>
      <c r="C368" s="4" t="str">
        <f>IF(Respostas_Brutas!B368="","",MIN(1,(IFERROR(VALUE(LEFT(Respostas_Brutas!I368,IFERROR(FIND(" ",Respostas_Brutas!I368)-1,LEN(Respostas_Brutas!I368)))),0)+IFERROR(VALUE(LEFT(Respostas_Brutas!O368,IFERROR(FIND(" ",Respostas_Brutas!O368)-1,LEN(Respostas_Brutas!O368)))),0))/20))</f>
        <v/>
      </c>
      <c r="D368" s="4" t="str">
        <f>IF(Respostas_Brutas!B368="","",IF(Respostas_Brutas!D368="","",MIN(1,MAX(0,(YEAR(TODAY())-N(Respostas_Brutas!D368))/15))))</f>
        <v/>
      </c>
      <c r="E368" s="4" t="str">
        <f>IF(Respostas_Brutas!B368="","",IF(ISNUMBER(SEARCH("Sim",Respostas_Brutas!S368)),1,0))</f>
        <v/>
      </c>
      <c r="F368" s="4" t="str">
        <f>IF(Respostas_Brutas!B368="","",IFERROR(N(Respostas_Brutas!Y368)/N(Respostas_Brutas!Z368),""))</f>
        <v/>
      </c>
      <c r="G368" s="4" t="str">
        <f>IF(Respostas_Brutas!B368="","",IF(Respostas_Brutas!K368&lt;&gt;"",1,0))</f>
        <v/>
      </c>
      <c r="H368" s="4" t="str">
        <f>IF(Respostas_Brutas!B368="","",IF(ISNUMBER(SEARCH("Não",Respostas_Brutas!AH368)),1,0))</f>
        <v/>
      </c>
      <c r="I368" s="4" t="str">
        <f>IF(Respostas_Brutas!B368="","",IF(ISNUMBER(SEARCH("Sim",Respostas_Brutas!AL368)),1,0))</f>
        <v/>
      </c>
      <c r="J368" s="4" t="str">
        <f>IF(Respostas_Brutas!B368="","",IF(Respostas_Brutas!AN368="","",MIN(1,MAX(0,(N(Respostas_Brutas!AN368)-1)/4))))</f>
        <v/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tr">
        <f>IF(Respostas_Brutas!B369="","",Respostas_Brutas!B369)</f>
        <v/>
      </c>
      <c r="B369" s="4" t="str">
        <f>IF(Respostas_Brutas!B369="","",IFERROR(IF(IFERROR(VALUE(TRIM(SUBSTITUTE(SUBSTITUTE(SUBSTITUTE(TRIM(Respostas_Brutas!AS369),"R$",""),".",""),",","."))),0)=0,"",(IFERROR(VALUE(TRIM(SUBSTITUTE(SUBSTITUTE(SUBSTITUTE(TRIM(Respostas_Brutas!AS369),"R$",""),".",""),",","."))),0)-IFERROR(VALUE(TRIM(SUBSTITUTE(SUBSTITUTE(SUBSTITUTE(TRIM(Respostas_Brutas!T369),"R$",""),".",""),",","."))),0))/IFERROR(VALUE(TRIM(SUBSTITUTE(SUBSTITUTE(SUBSTITUTE(TRIM(Respostas_Brutas!AS369),"R$",""),".",""),",","."))),0)),""))</f>
        <v/>
      </c>
      <c r="C369" s="4" t="str">
        <f>IF(Respostas_Brutas!B369="","",MIN(1,(IFERROR(VALUE(LEFT(Respostas_Brutas!I369,IFERROR(FIND(" ",Respostas_Brutas!I369)-1,LEN(Respostas_Brutas!I369)))),0)+IFERROR(VALUE(LEFT(Respostas_Brutas!O369,IFERROR(FIND(" ",Respostas_Brutas!O369)-1,LEN(Respostas_Brutas!O369)))),0))/20))</f>
        <v/>
      </c>
      <c r="D369" s="4" t="str">
        <f>IF(Respostas_Brutas!B369="","",IF(Respostas_Brutas!D369="","",MIN(1,MAX(0,(YEAR(TODAY())-N(Respostas_Brutas!D369))/15))))</f>
        <v/>
      </c>
      <c r="E369" s="4" t="str">
        <f>IF(Respostas_Brutas!B369="","",IF(ISNUMBER(SEARCH("Sim",Respostas_Brutas!S369)),1,0))</f>
        <v/>
      </c>
      <c r="F369" s="4" t="str">
        <f>IF(Respostas_Brutas!B369="","",IFERROR(N(Respostas_Brutas!Y369)/N(Respostas_Brutas!Z369),""))</f>
        <v/>
      </c>
      <c r="G369" s="4" t="str">
        <f>IF(Respostas_Brutas!B369="","",IF(Respostas_Brutas!K369&lt;&gt;"",1,0))</f>
        <v/>
      </c>
      <c r="H369" s="4" t="str">
        <f>IF(Respostas_Brutas!B369="","",IF(ISNUMBER(SEARCH("Não",Respostas_Brutas!AH369)),1,0))</f>
        <v/>
      </c>
      <c r="I369" s="4" t="str">
        <f>IF(Respostas_Brutas!B369="","",IF(ISNUMBER(SEARCH("Sim",Respostas_Brutas!AL369)),1,0))</f>
        <v/>
      </c>
      <c r="J369" s="4" t="str">
        <f>IF(Respostas_Brutas!B369="","",IF(Respostas_Brutas!AN369="","",MIN(1,MAX(0,(N(Respostas_Brutas!AN369)-1)/4))))</f>
        <v/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tr">
        <f>IF(Respostas_Brutas!B370="","",Respostas_Brutas!B370)</f>
        <v/>
      </c>
      <c r="B370" s="4" t="str">
        <f>IF(Respostas_Brutas!B370="","",IFERROR(IF(IFERROR(VALUE(TRIM(SUBSTITUTE(SUBSTITUTE(SUBSTITUTE(TRIM(Respostas_Brutas!AS370),"R$",""),".",""),",","."))),0)=0,"",(IFERROR(VALUE(TRIM(SUBSTITUTE(SUBSTITUTE(SUBSTITUTE(TRIM(Respostas_Brutas!AS370),"R$",""),".",""),",","."))),0)-IFERROR(VALUE(TRIM(SUBSTITUTE(SUBSTITUTE(SUBSTITUTE(TRIM(Respostas_Brutas!T370),"R$",""),".",""),",","."))),0))/IFERROR(VALUE(TRIM(SUBSTITUTE(SUBSTITUTE(SUBSTITUTE(TRIM(Respostas_Brutas!AS370),"R$",""),".",""),",","."))),0)),""))</f>
        <v/>
      </c>
      <c r="C370" s="4" t="str">
        <f>IF(Respostas_Brutas!B370="","",MIN(1,(IFERROR(VALUE(LEFT(Respostas_Brutas!I370,IFERROR(FIND(" ",Respostas_Brutas!I370)-1,LEN(Respostas_Brutas!I370)))),0)+IFERROR(VALUE(LEFT(Respostas_Brutas!O370,IFERROR(FIND(" ",Respostas_Brutas!O370)-1,LEN(Respostas_Brutas!O370)))),0))/20))</f>
        <v/>
      </c>
      <c r="D370" s="4" t="str">
        <f>IF(Respostas_Brutas!B370="","",IF(Respostas_Brutas!D370="","",MIN(1,MAX(0,(YEAR(TODAY())-N(Respostas_Brutas!D370))/15))))</f>
        <v/>
      </c>
      <c r="E370" s="4" t="str">
        <f>IF(Respostas_Brutas!B370="","",IF(ISNUMBER(SEARCH("Sim",Respostas_Brutas!S370)),1,0))</f>
        <v/>
      </c>
      <c r="F370" s="4" t="str">
        <f>IF(Respostas_Brutas!B370="","",IFERROR(N(Respostas_Brutas!Y370)/N(Respostas_Brutas!Z370),""))</f>
        <v/>
      </c>
      <c r="G370" s="4" t="str">
        <f>IF(Respostas_Brutas!B370="","",IF(Respostas_Brutas!K370&lt;&gt;"",1,0))</f>
        <v/>
      </c>
      <c r="H370" s="4" t="str">
        <f>IF(Respostas_Brutas!B370="","",IF(ISNUMBER(SEARCH("Não",Respostas_Brutas!AH370)),1,0))</f>
        <v/>
      </c>
      <c r="I370" s="4" t="str">
        <f>IF(Respostas_Brutas!B370="","",IF(ISNUMBER(SEARCH("Sim",Respostas_Brutas!AL370)),1,0))</f>
        <v/>
      </c>
      <c r="J370" s="4" t="str">
        <f>IF(Respostas_Brutas!B370="","",IF(Respostas_Brutas!AN370="","",MIN(1,MAX(0,(N(Respostas_Brutas!AN370)-1)/4))))</f>
        <v/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tr">
        <f>IF(Respostas_Brutas!B371="","",Respostas_Brutas!B371)</f>
        <v/>
      </c>
      <c r="B371" s="4" t="str">
        <f>IF(Respostas_Brutas!B371="","",IFERROR(IF(IFERROR(VALUE(TRIM(SUBSTITUTE(SUBSTITUTE(SUBSTITUTE(TRIM(Respostas_Brutas!AS371),"R$",""),".",""),",","."))),0)=0,"",(IFERROR(VALUE(TRIM(SUBSTITUTE(SUBSTITUTE(SUBSTITUTE(TRIM(Respostas_Brutas!AS371),"R$",""),".",""),",","."))),0)-IFERROR(VALUE(TRIM(SUBSTITUTE(SUBSTITUTE(SUBSTITUTE(TRIM(Respostas_Brutas!T371),"R$",""),".",""),",","."))),0))/IFERROR(VALUE(TRIM(SUBSTITUTE(SUBSTITUTE(SUBSTITUTE(TRIM(Respostas_Brutas!AS371),"R$",""),".",""),",","."))),0)),""))</f>
        <v/>
      </c>
      <c r="C371" s="4" t="str">
        <f>IF(Respostas_Brutas!B371="","",MIN(1,(IFERROR(VALUE(LEFT(Respostas_Brutas!I371,IFERROR(FIND(" ",Respostas_Brutas!I371)-1,LEN(Respostas_Brutas!I371)))),0)+IFERROR(VALUE(LEFT(Respostas_Brutas!O371,IFERROR(FIND(" ",Respostas_Brutas!O371)-1,LEN(Respostas_Brutas!O371)))),0))/20))</f>
        <v/>
      </c>
      <c r="D371" s="4" t="str">
        <f>IF(Respostas_Brutas!B371="","",IF(Respostas_Brutas!D371="","",MIN(1,MAX(0,(YEAR(TODAY())-N(Respostas_Brutas!D371))/15))))</f>
        <v/>
      </c>
      <c r="E371" s="4" t="str">
        <f>IF(Respostas_Brutas!B371="","",IF(ISNUMBER(SEARCH("Sim",Respostas_Brutas!S371)),1,0))</f>
        <v/>
      </c>
      <c r="F371" s="4" t="str">
        <f>IF(Respostas_Brutas!B371="","",IFERROR(N(Respostas_Brutas!Y371)/N(Respostas_Brutas!Z371),""))</f>
        <v/>
      </c>
      <c r="G371" s="4" t="str">
        <f>IF(Respostas_Brutas!B371="","",IF(Respostas_Brutas!K371&lt;&gt;"",1,0))</f>
        <v/>
      </c>
      <c r="H371" s="4" t="str">
        <f>IF(Respostas_Brutas!B371="","",IF(ISNUMBER(SEARCH("Não",Respostas_Brutas!AH371)),1,0))</f>
        <v/>
      </c>
      <c r="I371" s="4" t="str">
        <f>IF(Respostas_Brutas!B371="","",IF(ISNUMBER(SEARCH("Sim",Respostas_Brutas!AL371)),1,0))</f>
        <v/>
      </c>
      <c r="J371" s="4" t="str">
        <f>IF(Respostas_Brutas!B371="","",IF(Respostas_Brutas!AN371="","",MIN(1,MAX(0,(N(Respostas_Brutas!AN371)-1)/4))))</f>
        <v/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tr">
        <f>IF(Respostas_Brutas!B372="","",Respostas_Brutas!B372)</f>
        <v/>
      </c>
      <c r="B372" s="4" t="str">
        <f>IF(Respostas_Brutas!B372="","",IFERROR(IF(IFERROR(VALUE(TRIM(SUBSTITUTE(SUBSTITUTE(SUBSTITUTE(TRIM(Respostas_Brutas!AS372),"R$",""),".",""),",","."))),0)=0,"",(IFERROR(VALUE(TRIM(SUBSTITUTE(SUBSTITUTE(SUBSTITUTE(TRIM(Respostas_Brutas!AS372),"R$",""),".",""),",","."))),0)-IFERROR(VALUE(TRIM(SUBSTITUTE(SUBSTITUTE(SUBSTITUTE(TRIM(Respostas_Brutas!T372),"R$",""),".",""),",","."))),0))/IFERROR(VALUE(TRIM(SUBSTITUTE(SUBSTITUTE(SUBSTITUTE(TRIM(Respostas_Brutas!AS372),"R$",""),".",""),",","."))),0)),""))</f>
        <v/>
      </c>
      <c r="C372" s="4" t="str">
        <f>IF(Respostas_Brutas!B372="","",MIN(1,(IFERROR(VALUE(LEFT(Respostas_Brutas!I372,IFERROR(FIND(" ",Respostas_Brutas!I372)-1,LEN(Respostas_Brutas!I372)))),0)+IFERROR(VALUE(LEFT(Respostas_Brutas!O372,IFERROR(FIND(" ",Respostas_Brutas!O372)-1,LEN(Respostas_Brutas!O372)))),0))/20))</f>
        <v/>
      </c>
      <c r="D372" s="4" t="str">
        <f>IF(Respostas_Brutas!B372="","",IF(Respostas_Brutas!D372="","",MIN(1,MAX(0,(YEAR(TODAY())-N(Respostas_Brutas!D372))/15))))</f>
        <v/>
      </c>
      <c r="E372" s="4" t="str">
        <f>IF(Respostas_Brutas!B372="","",IF(ISNUMBER(SEARCH("Sim",Respostas_Brutas!S372)),1,0))</f>
        <v/>
      </c>
      <c r="F372" s="4" t="str">
        <f>IF(Respostas_Brutas!B372="","",IFERROR(N(Respostas_Brutas!Y372)/N(Respostas_Brutas!Z372),""))</f>
        <v/>
      </c>
      <c r="G372" s="4" t="str">
        <f>IF(Respostas_Brutas!B372="","",IF(Respostas_Brutas!K372&lt;&gt;"",1,0))</f>
        <v/>
      </c>
      <c r="H372" s="4" t="str">
        <f>IF(Respostas_Brutas!B372="","",IF(ISNUMBER(SEARCH("Não",Respostas_Brutas!AH372)),1,0))</f>
        <v/>
      </c>
      <c r="I372" s="4" t="str">
        <f>IF(Respostas_Brutas!B372="","",IF(ISNUMBER(SEARCH("Sim",Respostas_Brutas!AL372)),1,0))</f>
        <v/>
      </c>
      <c r="J372" s="4" t="str">
        <f>IF(Respostas_Brutas!B372="","",IF(Respostas_Brutas!AN372="","",MIN(1,MAX(0,(N(Respostas_Brutas!AN372)-1)/4))))</f>
        <v/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tr">
        <f>IF(Respostas_Brutas!B373="","",Respostas_Brutas!B373)</f>
        <v/>
      </c>
      <c r="B373" s="4" t="str">
        <f>IF(Respostas_Brutas!B373="","",IFERROR(IF(IFERROR(VALUE(TRIM(SUBSTITUTE(SUBSTITUTE(SUBSTITUTE(TRIM(Respostas_Brutas!AS373),"R$",""),".",""),",","."))),0)=0,"",(IFERROR(VALUE(TRIM(SUBSTITUTE(SUBSTITUTE(SUBSTITUTE(TRIM(Respostas_Brutas!AS373),"R$",""),".",""),",","."))),0)-IFERROR(VALUE(TRIM(SUBSTITUTE(SUBSTITUTE(SUBSTITUTE(TRIM(Respostas_Brutas!T373),"R$",""),".",""),",","."))),0))/IFERROR(VALUE(TRIM(SUBSTITUTE(SUBSTITUTE(SUBSTITUTE(TRIM(Respostas_Brutas!AS373),"R$",""),".",""),",","."))),0)),""))</f>
        <v/>
      </c>
      <c r="C373" s="4" t="str">
        <f>IF(Respostas_Brutas!B373="","",MIN(1,(IFERROR(VALUE(LEFT(Respostas_Brutas!I373,IFERROR(FIND(" ",Respostas_Brutas!I373)-1,LEN(Respostas_Brutas!I373)))),0)+IFERROR(VALUE(LEFT(Respostas_Brutas!O373,IFERROR(FIND(" ",Respostas_Brutas!O373)-1,LEN(Respostas_Brutas!O373)))),0))/20))</f>
        <v/>
      </c>
      <c r="D373" s="4" t="str">
        <f>IF(Respostas_Brutas!B373="","",IF(Respostas_Brutas!D373="","",MIN(1,MAX(0,(YEAR(TODAY())-N(Respostas_Brutas!D373))/15))))</f>
        <v/>
      </c>
      <c r="E373" s="4" t="str">
        <f>IF(Respostas_Brutas!B373="","",IF(ISNUMBER(SEARCH("Sim",Respostas_Brutas!S373)),1,0))</f>
        <v/>
      </c>
      <c r="F373" s="4" t="str">
        <f>IF(Respostas_Brutas!B373="","",IFERROR(N(Respostas_Brutas!Y373)/N(Respostas_Brutas!Z373),""))</f>
        <v/>
      </c>
      <c r="G373" s="4" t="str">
        <f>IF(Respostas_Brutas!B373="","",IF(Respostas_Brutas!K373&lt;&gt;"",1,0))</f>
        <v/>
      </c>
      <c r="H373" s="4" t="str">
        <f>IF(Respostas_Brutas!B373="","",IF(ISNUMBER(SEARCH("Não",Respostas_Brutas!AH373)),1,0))</f>
        <v/>
      </c>
      <c r="I373" s="4" t="str">
        <f>IF(Respostas_Brutas!B373="","",IF(ISNUMBER(SEARCH("Sim",Respostas_Brutas!AL373)),1,0))</f>
        <v/>
      </c>
      <c r="J373" s="4" t="str">
        <f>IF(Respostas_Brutas!B373="","",IF(Respostas_Brutas!AN373="","",MIN(1,MAX(0,(N(Respostas_Brutas!AN373)-1)/4))))</f>
        <v/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tr">
        <f>IF(Respostas_Brutas!B374="","",Respostas_Brutas!B374)</f>
        <v/>
      </c>
      <c r="B374" s="4" t="str">
        <f>IF(Respostas_Brutas!B374="","",IFERROR(IF(IFERROR(VALUE(TRIM(SUBSTITUTE(SUBSTITUTE(SUBSTITUTE(TRIM(Respostas_Brutas!AS374),"R$",""),".",""),",","."))),0)=0,"",(IFERROR(VALUE(TRIM(SUBSTITUTE(SUBSTITUTE(SUBSTITUTE(TRIM(Respostas_Brutas!AS374),"R$",""),".",""),",","."))),0)-IFERROR(VALUE(TRIM(SUBSTITUTE(SUBSTITUTE(SUBSTITUTE(TRIM(Respostas_Brutas!T374),"R$",""),".",""),",","."))),0))/IFERROR(VALUE(TRIM(SUBSTITUTE(SUBSTITUTE(SUBSTITUTE(TRIM(Respostas_Brutas!AS374),"R$",""),".",""),",","."))),0)),""))</f>
        <v/>
      </c>
      <c r="C374" s="4" t="str">
        <f>IF(Respostas_Brutas!B374="","",MIN(1,(IFERROR(VALUE(LEFT(Respostas_Brutas!I374,IFERROR(FIND(" ",Respostas_Brutas!I374)-1,LEN(Respostas_Brutas!I374)))),0)+IFERROR(VALUE(LEFT(Respostas_Brutas!O374,IFERROR(FIND(" ",Respostas_Brutas!O374)-1,LEN(Respostas_Brutas!O374)))),0))/20))</f>
        <v/>
      </c>
      <c r="D374" s="4" t="str">
        <f>IF(Respostas_Brutas!B374="","",IF(Respostas_Brutas!D374="","",MIN(1,MAX(0,(YEAR(TODAY())-N(Respostas_Brutas!D374))/15))))</f>
        <v/>
      </c>
      <c r="E374" s="4" t="str">
        <f>IF(Respostas_Brutas!B374="","",IF(ISNUMBER(SEARCH("Sim",Respostas_Brutas!S374)),1,0))</f>
        <v/>
      </c>
      <c r="F374" s="4" t="str">
        <f>IF(Respostas_Brutas!B374="","",IFERROR(N(Respostas_Brutas!Y374)/N(Respostas_Brutas!Z374),""))</f>
        <v/>
      </c>
      <c r="G374" s="4" t="str">
        <f>IF(Respostas_Brutas!B374="","",IF(Respostas_Brutas!K374&lt;&gt;"",1,0))</f>
        <v/>
      </c>
      <c r="H374" s="4" t="str">
        <f>IF(Respostas_Brutas!B374="","",IF(ISNUMBER(SEARCH("Não",Respostas_Brutas!AH374)),1,0))</f>
        <v/>
      </c>
      <c r="I374" s="4" t="str">
        <f>IF(Respostas_Brutas!B374="","",IF(ISNUMBER(SEARCH("Sim",Respostas_Brutas!AL374)),1,0))</f>
        <v/>
      </c>
      <c r="J374" s="4" t="str">
        <f>IF(Respostas_Brutas!B374="","",IF(Respostas_Brutas!AN374="","",MIN(1,MAX(0,(N(Respostas_Brutas!AN374)-1)/4))))</f>
        <v/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tr">
        <f>IF(Respostas_Brutas!B375="","",Respostas_Brutas!B375)</f>
        <v/>
      </c>
      <c r="B375" s="4" t="str">
        <f>IF(Respostas_Brutas!B375="","",IFERROR(IF(IFERROR(VALUE(TRIM(SUBSTITUTE(SUBSTITUTE(SUBSTITUTE(TRIM(Respostas_Brutas!AS375),"R$",""),".",""),",","."))),0)=0,"",(IFERROR(VALUE(TRIM(SUBSTITUTE(SUBSTITUTE(SUBSTITUTE(TRIM(Respostas_Brutas!AS375),"R$",""),".",""),",","."))),0)-IFERROR(VALUE(TRIM(SUBSTITUTE(SUBSTITUTE(SUBSTITUTE(TRIM(Respostas_Brutas!T375),"R$",""),".",""),",","."))),0))/IFERROR(VALUE(TRIM(SUBSTITUTE(SUBSTITUTE(SUBSTITUTE(TRIM(Respostas_Brutas!AS375),"R$",""),".",""),",","."))),0)),""))</f>
        <v/>
      </c>
      <c r="C375" s="4" t="str">
        <f>IF(Respostas_Brutas!B375="","",MIN(1,(IFERROR(VALUE(LEFT(Respostas_Brutas!I375,IFERROR(FIND(" ",Respostas_Brutas!I375)-1,LEN(Respostas_Brutas!I375)))),0)+IFERROR(VALUE(LEFT(Respostas_Brutas!O375,IFERROR(FIND(" ",Respostas_Brutas!O375)-1,LEN(Respostas_Brutas!O375)))),0))/20))</f>
        <v/>
      </c>
      <c r="D375" s="4" t="str">
        <f>IF(Respostas_Brutas!B375="","",IF(Respostas_Brutas!D375="","",MIN(1,MAX(0,(YEAR(TODAY())-N(Respostas_Brutas!D375))/15))))</f>
        <v/>
      </c>
      <c r="E375" s="4" t="str">
        <f>IF(Respostas_Brutas!B375="","",IF(ISNUMBER(SEARCH("Sim",Respostas_Brutas!S375)),1,0))</f>
        <v/>
      </c>
      <c r="F375" s="4" t="str">
        <f>IF(Respostas_Brutas!B375="","",IFERROR(N(Respostas_Brutas!Y375)/N(Respostas_Brutas!Z375),""))</f>
        <v/>
      </c>
      <c r="G375" s="4" t="str">
        <f>IF(Respostas_Brutas!B375="","",IF(Respostas_Brutas!K375&lt;&gt;"",1,0))</f>
        <v/>
      </c>
      <c r="H375" s="4" t="str">
        <f>IF(Respostas_Brutas!B375="","",IF(ISNUMBER(SEARCH("Não",Respostas_Brutas!AH375)),1,0))</f>
        <v/>
      </c>
      <c r="I375" s="4" t="str">
        <f>IF(Respostas_Brutas!B375="","",IF(ISNUMBER(SEARCH("Sim",Respostas_Brutas!AL375)),1,0))</f>
        <v/>
      </c>
      <c r="J375" s="4" t="str">
        <f>IF(Respostas_Brutas!B375="","",IF(Respostas_Brutas!AN375="","",MIN(1,MAX(0,(N(Respostas_Brutas!AN375)-1)/4))))</f>
        <v/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tr">
        <f>IF(Respostas_Brutas!B376="","",Respostas_Brutas!B376)</f>
        <v/>
      </c>
      <c r="B376" s="4" t="str">
        <f>IF(Respostas_Brutas!B376="","",IFERROR(IF(IFERROR(VALUE(TRIM(SUBSTITUTE(SUBSTITUTE(SUBSTITUTE(TRIM(Respostas_Brutas!AS376),"R$",""),".",""),",","."))),0)=0,"",(IFERROR(VALUE(TRIM(SUBSTITUTE(SUBSTITUTE(SUBSTITUTE(TRIM(Respostas_Brutas!AS376),"R$",""),".",""),",","."))),0)-IFERROR(VALUE(TRIM(SUBSTITUTE(SUBSTITUTE(SUBSTITUTE(TRIM(Respostas_Brutas!T376),"R$",""),".",""),",","."))),0))/IFERROR(VALUE(TRIM(SUBSTITUTE(SUBSTITUTE(SUBSTITUTE(TRIM(Respostas_Brutas!AS376),"R$",""),".",""),",","."))),0)),""))</f>
        <v/>
      </c>
      <c r="C376" s="4" t="str">
        <f>IF(Respostas_Brutas!B376="","",MIN(1,(IFERROR(VALUE(LEFT(Respostas_Brutas!I376,IFERROR(FIND(" ",Respostas_Brutas!I376)-1,LEN(Respostas_Brutas!I376)))),0)+IFERROR(VALUE(LEFT(Respostas_Brutas!O376,IFERROR(FIND(" ",Respostas_Brutas!O376)-1,LEN(Respostas_Brutas!O376)))),0))/20))</f>
        <v/>
      </c>
      <c r="D376" s="4" t="str">
        <f>IF(Respostas_Brutas!B376="","",IF(Respostas_Brutas!D376="","",MIN(1,MAX(0,(YEAR(TODAY())-N(Respostas_Brutas!D376))/15))))</f>
        <v/>
      </c>
      <c r="E376" s="4" t="str">
        <f>IF(Respostas_Brutas!B376="","",IF(ISNUMBER(SEARCH("Sim",Respostas_Brutas!S376)),1,0))</f>
        <v/>
      </c>
      <c r="F376" s="4" t="str">
        <f>IF(Respostas_Brutas!B376="","",IFERROR(N(Respostas_Brutas!Y376)/N(Respostas_Brutas!Z376),""))</f>
        <v/>
      </c>
      <c r="G376" s="4" t="str">
        <f>IF(Respostas_Brutas!B376="","",IF(Respostas_Brutas!K376&lt;&gt;"",1,0))</f>
        <v/>
      </c>
      <c r="H376" s="4" t="str">
        <f>IF(Respostas_Brutas!B376="","",IF(ISNUMBER(SEARCH("Não",Respostas_Brutas!AH376)),1,0))</f>
        <v/>
      </c>
      <c r="I376" s="4" t="str">
        <f>IF(Respostas_Brutas!B376="","",IF(ISNUMBER(SEARCH("Sim",Respostas_Brutas!AL376)),1,0))</f>
        <v/>
      </c>
      <c r="J376" s="4" t="str">
        <f>IF(Respostas_Brutas!B376="","",IF(Respostas_Brutas!AN376="","",MIN(1,MAX(0,(N(Respostas_Brutas!AN376)-1)/4))))</f>
        <v/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tr">
        <f>IF(Respostas_Brutas!B377="","",Respostas_Brutas!B377)</f>
        <v/>
      </c>
      <c r="B377" s="4" t="str">
        <f>IF(Respostas_Brutas!B377="","",IFERROR(IF(IFERROR(VALUE(TRIM(SUBSTITUTE(SUBSTITUTE(SUBSTITUTE(TRIM(Respostas_Brutas!AS377),"R$",""),".",""),",","."))),0)=0,"",(IFERROR(VALUE(TRIM(SUBSTITUTE(SUBSTITUTE(SUBSTITUTE(TRIM(Respostas_Brutas!AS377),"R$",""),".",""),",","."))),0)-IFERROR(VALUE(TRIM(SUBSTITUTE(SUBSTITUTE(SUBSTITUTE(TRIM(Respostas_Brutas!T377),"R$",""),".",""),",","."))),0))/IFERROR(VALUE(TRIM(SUBSTITUTE(SUBSTITUTE(SUBSTITUTE(TRIM(Respostas_Brutas!AS377),"R$",""),".",""),",","."))),0)),""))</f>
        <v/>
      </c>
      <c r="C377" s="4" t="str">
        <f>IF(Respostas_Brutas!B377="","",MIN(1,(IFERROR(VALUE(LEFT(Respostas_Brutas!I377,IFERROR(FIND(" ",Respostas_Brutas!I377)-1,LEN(Respostas_Brutas!I377)))),0)+IFERROR(VALUE(LEFT(Respostas_Brutas!O377,IFERROR(FIND(" ",Respostas_Brutas!O377)-1,LEN(Respostas_Brutas!O377)))),0))/20))</f>
        <v/>
      </c>
      <c r="D377" s="4" t="str">
        <f>IF(Respostas_Brutas!B377="","",IF(Respostas_Brutas!D377="","",MIN(1,MAX(0,(YEAR(TODAY())-N(Respostas_Brutas!D377))/15))))</f>
        <v/>
      </c>
      <c r="E377" s="4" t="str">
        <f>IF(Respostas_Brutas!B377="","",IF(ISNUMBER(SEARCH("Sim",Respostas_Brutas!S377)),1,0))</f>
        <v/>
      </c>
      <c r="F377" s="4" t="str">
        <f>IF(Respostas_Brutas!B377="","",IFERROR(N(Respostas_Brutas!Y377)/N(Respostas_Brutas!Z377),""))</f>
        <v/>
      </c>
      <c r="G377" s="4" t="str">
        <f>IF(Respostas_Brutas!B377="","",IF(Respostas_Brutas!K377&lt;&gt;"",1,0))</f>
        <v/>
      </c>
      <c r="H377" s="4" t="str">
        <f>IF(Respostas_Brutas!B377="","",IF(ISNUMBER(SEARCH("Não",Respostas_Brutas!AH377)),1,0))</f>
        <v/>
      </c>
      <c r="I377" s="4" t="str">
        <f>IF(Respostas_Brutas!B377="","",IF(ISNUMBER(SEARCH("Sim",Respostas_Brutas!AL377)),1,0))</f>
        <v/>
      </c>
      <c r="J377" s="4" t="str">
        <f>IF(Respostas_Brutas!B377="","",IF(Respostas_Brutas!AN377="","",MIN(1,MAX(0,(N(Respostas_Brutas!AN377)-1)/4))))</f>
        <v/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tr">
        <f>IF(Respostas_Brutas!B378="","",Respostas_Brutas!B378)</f>
        <v/>
      </c>
      <c r="B378" s="4" t="str">
        <f>IF(Respostas_Brutas!B378="","",IFERROR(IF(IFERROR(VALUE(TRIM(SUBSTITUTE(SUBSTITUTE(SUBSTITUTE(TRIM(Respostas_Brutas!AS378),"R$",""),".",""),",","."))),0)=0,"",(IFERROR(VALUE(TRIM(SUBSTITUTE(SUBSTITUTE(SUBSTITUTE(TRIM(Respostas_Brutas!AS378),"R$",""),".",""),",","."))),0)-IFERROR(VALUE(TRIM(SUBSTITUTE(SUBSTITUTE(SUBSTITUTE(TRIM(Respostas_Brutas!T378),"R$",""),".",""),",","."))),0))/IFERROR(VALUE(TRIM(SUBSTITUTE(SUBSTITUTE(SUBSTITUTE(TRIM(Respostas_Brutas!AS378),"R$",""),".",""),",","."))),0)),""))</f>
        <v/>
      </c>
      <c r="C378" s="4" t="str">
        <f>IF(Respostas_Brutas!B378="","",MIN(1,(IFERROR(VALUE(LEFT(Respostas_Brutas!I378,IFERROR(FIND(" ",Respostas_Brutas!I378)-1,LEN(Respostas_Brutas!I378)))),0)+IFERROR(VALUE(LEFT(Respostas_Brutas!O378,IFERROR(FIND(" ",Respostas_Brutas!O378)-1,LEN(Respostas_Brutas!O378)))),0))/20))</f>
        <v/>
      </c>
      <c r="D378" s="4" t="str">
        <f>IF(Respostas_Brutas!B378="","",IF(Respostas_Brutas!D378="","",MIN(1,MAX(0,(YEAR(TODAY())-N(Respostas_Brutas!D378))/15))))</f>
        <v/>
      </c>
      <c r="E378" s="4" t="str">
        <f>IF(Respostas_Brutas!B378="","",IF(ISNUMBER(SEARCH("Sim",Respostas_Brutas!S378)),1,0))</f>
        <v/>
      </c>
      <c r="F378" s="4" t="str">
        <f>IF(Respostas_Brutas!B378="","",IFERROR(N(Respostas_Brutas!Y378)/N(Respostas_Brutas!Z378),""))</f>
        <v/>
      </c>
      <c r="G378" s="4" t="str">
        <f>IF(Respostas_Brutas!B378="","",IF(Respostas_Brutas!K378&lt;&gt;"",1,0))</f>
        <v/>
      </c>
      <c r="H378" s="4" t="str">
        <f>IF(Respostas_Brutas!B378="","",IF(ISNUMBER(SEARCH("Não",Respostas_Brutas!AH378)),1,0))</f>
        <v/>
      </c>
      <c r="I378" s="4" t="str">
        <f>IF(Respostas_Brutas!B378="","",IF(ISNUMBER(SEARCH("Sim",Respostas_Brutas!AL378)),1,0))</f>
        <v/>
      </c>
      <c r="J378" s="4" t="str">
        <f>IF(Respostas_Brutas!B378="","",IF(Respostas_Brutas!AN378="","",MIN(1,MAX(0,(N(Respostas_Brutas!AN378)-1)/4))))</f>
        <v/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tr">
        <f>IF(Respostas_Brutas!B379="","",Respostas_Brutas!B379)</f>
        <v/>
      </c>
      <c r="B379" s="4" t="str">
        <f>IF(Respostas_Brutas!B379="","",IFERROR(IF(IFERROR(VALUE(TRIM(SUBSTITUTE(SUBSTITUTE(SUBSTITUTE(TRIM(Respostas_Brutas!AS379),"R$",""),".",""),",","."))),0)=0,"",(IFERROR(VALUE(TRIM(SUBSTITUTE(SUBSTITUTE(SUBSTITUTE(TRIM(Respostas_Brutas!AS379),"R$",""),".",""),",","."))),0)-IFERROR(VALUE(TRIM(SUBSTITUTE(SUBSTITUTE(SUBSTITUTE(TRIM(Respostas_Brutas!T379),"R$",""),".",""),",","."))),0))/IFERROR(VALUE(TRIM(SUBSTITUTE(SUBSTITUTE(SUBSTITUTE(TRIM(Respostas_Brutas!AS379),"R$",""),".",""),",","."))),0)),""))</f>
        <v/>
      </c>
      <c r="C379" s="4" t="str">
        <f>IF(Respostas_Brutas!B379="","",MIN(1,(IFERROR(VALUE(LEFT(Respostas_Brutas!I379,IFERROR(FIND(" ",Respostas_Brutas!I379)-1,LEN(Respostas_Brutas!I379)))),0)+IFERROR(VALUE(LEFT(Respostas_Brutas!O379,IFERROR(FIND(" ",Respostas_Brutas!O379)-1,LEN(Respostas_Brutas!O379)))),0))/20))</f>
        <v/>
      </c>
      <c r="D379" s="4" t="str">
        <f>IF(Respostas_Brutas!B379="","",IF(Respostas_Brutas!D379="","",MIN(1,MAX(0,(YEAR(TODAY())-N(Respostas_Brutas!D379))/15))))</f>
        <v/>
      </c>
      <c r="E379" s="4" t="str">
        <f>IF(Respostas_Brutas!B379="","",IF(ISNUMBER(SEARCH("Sim",Respostas_Brutas!S379)),1,0))</f>
        <v/>
      </c>
      <c r="F379" s="4" t="str">
        <f>IF(Respostas_Brutas!B379="","",IFERROR(N(Respostas_Brutas!Y379)/N(Respostas_Brutas!Z379),""))</f>
        <v/>
      </c>
      <c r="G379" s="4" t="str">
        <f>IF(Respostas_Brutas!B379="","",IF(Respostas_Brutas!K379&lt;&gt;"",1,0))</f>
        <v/>
      </c>
      <c r="H379" s="4" t="str">
        <f>IF(Respostas_Brutas!B379="","",IF(ISNUMBER(SEARCH("Não",Respostas_Brutas!AH379)),1,0))</f>
        <v/>
      </c>
      <c r="I379" s="4" t="str">
        <f>IF(Respostas_Brutas!B379="","",IF(ISNUMBER(SEARCH("Sim",Respostas_Brutas!AL379)),1,0))</f>
        <v/>
      </c>
      <c r="J379" s="4" t="str">
        <f>IF(Respostas_Brutas!B379="","",IF(Respostas_Brutas!AN379="","",MIN(1,MAX(0,(N(Respostas_Brutas!AN379)-1)/4))))</f>
        <v/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tr">
        <f>IF(Respostas_Brutas!B380="","",Respostas_Brutas!B380)</f>
        <v/>
      </c>
      <c r="B380" s="4" t="str">
        <f>IF(Respostas_Brutas!B380="","",IFERROR(IF(IFERROR(VALUE(TRIM(SUBSTITUTE(SUBSTITUTE(SUBSTITUTE(TRIM(Respostas_Brutas!AS380),"R$",""),".",""),",","."))),0)=0,"",(IFERROR(VALUE(TRIM(SUBSTITUTE(SUBSTITUTE(SUBSTITUTE(TRIM(Respostas_Brutas!AS380),"R$",""),".",""),",","."))),0)-IFERROR(VALUE(TRIM(SUBSTITUTE(SUBSTITUTE(SUBSTITUTE(TRIM(Respostas_Brutas!T380),"R$",""),".",""),",","."))),0))/IFERROR(VALUE(TRIM(SUBSTITUTE(SUBSTITUTE(SUBSTITUTE(TRIM(Respostas_Brutas!AS380),"R$",""),".",""),",","."))),0)),""))</f>
        <v/>
      </c>
      <c r="C380" s="4" t="str">
        <f>IF(Respostas_Brutas!B380="","",MIN(1,(IFERROR(VALUE(LEFT(Respostas_Brutas!I380,IFERROR(FIND(" ",Respostas_Brutas!I380)-1,LEN(Respostas_Brutas!I380)))),0)+IFERROR(VALUE(LEFT(Respostas_Brutas!O380,IFERROR(FIND(" ",Respostas_Brutas!O380)-1,LEN(Respostas_Brutas!O380)))),0))/20))</f>
        <v/>
      </c>
      <c r="D380" s="4" t="str">
        <f>IF(Respostas_Brutas!B380="","",IF(Respostas_Brutas!D380="","",MIN(1,MAX(0,(YEAR(TODAY())-N(Respostas_Brutas!D380))/15))))</f>
        <v/>
      </c>
      <c r="E380" s="4" t="str">
        <f>IF(Respostas_Brutas!B380="","",IF(ISNUMBER(SEARCH("Sim",Respostas_Brutas!S380)),1,0))</f>
        <v/>
      </c>
      <c r="F380" s="4" t="str">
        <f>IF(Respostas_Brutas!B380="","",IFERROR(N(Respostas_Brutas!Y380)/N(Respostas_Brutas!Z380),""))</f>
        <v/>
      </c>
      <c r="G380" s="4" t="str">
        <f>IF(Respostas_Brutas!B380="","",IF(Respostas_Brutas!K380&lt;&gt;"",1,0))</f>
        <v/>
      </c>
      <c r="H380" s="4" t="str">
        <f>IF(Respostas_Brutas!B380="","",IF(ISNUMBER(SEARCH("Não",Respostas_Brutas!AH380)),1,0))</f>
        <v/>
      </c>
      <c r="I380" s="4" t="str">
        <f>IF(Respostas_Brutas!B380="","",IF(ISNUMBER(SEARCH("Sim",Respostas_Brutas!AL380)),1,0))</f>
        <v/>
      </c>
      <c r="J380" s="4" t="str">
        <f>IF(Respostas_Brutas!B380="","",IF(Respostas_Brutas!AN380="","",MIN(1,MAX(0,(N(Respostas_Brutas!AN380)-1)/4))))</f>
        <v/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tr">
        <f>IF(Respostas_Brutas!B381="","",Respostas_Brutas!B381)</f>
        <v/>
      </c>
      <c r="B381" s="4" t="str">
        <f>IF(Respostas_Brutas!B381="","",IFERROR(IF(IFERROR(VALUE(TRIM(SUBSTITUTE(SUBSTITUTE(SUBSTITUTE(TRIM(Respostas_Brutas!AS381),"R$",""),".",""),",","."))),0)=0,"",(IFERROR(VALUE(TRIM(SUBSTITUTE(SUBSTITUTE(SUBSTITUTE(TRIM(Respostas_Brutas!AS381),"R$",""),".",""),",","."))),0)-IFERROR(VALUE(TRIM(SUBSTITUTE(SUBSTITUTE(SUBSTITUTE(TRIM(Respostas_Brutas!T381),"R$",""),".",""),",","."))),0))/IFERROR(VALUE(TRIM(SUBSTITUTE(SUBSTITUTE(SUBSTITUTE(TRIM(Respostas_Brutas!AS381),"R$",""),".",""),",","."))),0)),""))</f>
        <v/>
      </c>
      <c r="C381" s="4" t="str">
        <f>IF(Respostas_Brutas!B381="","",MIN(1,(IFERROR(VALUE(LEFT(Respostas_Brutas!I381,IFERROR(FIND(" ",Respostas_Brutas!I381)-1,LEN(Respostas_Brutas!I381)))),0)+IFERROR(VALUE(LEFT(Respostas_Brutas!O381,IFERROR(FIND(" ",Respostas_Brutas!O381)-1,LEN(Respostas_Brutas!O381)))),0))/20))</f>
        <v/>
      </c>
      <c r="D381" s="4" t="str">
        <f>IF(Respostas_Brutas!B381="","",IF(Respostas_Brutas!D381="","",MIN(1,MAX(0,(YEAR(TODAY())-N(Respostas_Brutas!D381))/15))))</f>
        <v/>
      </c>
      <c r="E381" s="4" t="str">
        <f>IF(Respostas_Brutas!B381="","",IF(ISNUMBER(SEARCH("Sim",Respostas_Brutas!S381)),1,0))</f>
        <v/>
      </c>
      <c r="F381" s="4" t="str">
        <f>IF(Respostas_Brutas!B381="","",IFERROR(N(Respostas_Brutas!Y381)/N(Respostas_Brutas!Z381),""))</f>
        <v/>
      </c>
      <c r="G381" s="4" t="str">
        <f>IF(Respostas_Brutas!B381="","",IF(Respostas_Brutas!K381&lt;&gt;"",1,0))</f>
        <v/>
      </c>
      <c r="H381" s="4" t="str">
        <f>IF(Respostas_Brutas!B381="","",IF(ISNUMBER(SEARCH("Não",Respostas_Brutas!AH381)),1,0))</f>
        <v/>
      </c>
      <c r="I381" s="4" t="str">
        <f>IF(Respostas_Brutas!B381="","",IF(ISNUMBER(SEARCH("Sim",Respostas_Brutas!AL381)),1,0))</f>
        <v/>
      </c>
      <c r="J381" s="4" t="str">
        <f>IF(Respostas_Brutas!B381="","",IF(Respostas_Brutas!AN381="","",MIN(1,MAX(0,(N(Respostas_Brutas!AN381)-1)/4))))</f>
        <v/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tr">
        <f>IF(Respostas_Brutas!B382="","",Respostas_Brutas!B382)</f>
        <v/>
      </c>
      <c r="B382" s="4" t="str">
        <f>IF(Respostas_Brutas!B382="","",IFERROR(IF(IFERROR(VALUE(TRIM(SUBSTITUTE(SUBSTITUTE(SUBSTITUTE(TRIM(Respostas_Brutas!AS382),"R$",""),".",""),",","."))),0)=0,"",(IFERROR(VALUE(TRIM(SUBSTITUTE(SUBSTITUTE(SUBSTITUTE(TRIM(Respostas_Brutas!AS382),"R$",""),".",""),",","."))),0)-IFERROR(VALUE(TRIM(SUBSTITUTE(SUBSTITUTE(SUBSTITUTE(TRIM(Respostas_Brutas!T382),"R$",""),".",""),",","."))),0))/IFERROR(VALUE(TRIM(SUBSTITUTE(SUBSTITUTE(SUBSTITUTE(TRIM(Respostas_Brutas!AS382),"R$",""),".",""),",","."))),0)),""))</f>
        <v/>
      </c>
      <c r="C382" s="4" t="str">
        <f>IF(Respostas_Brutas!B382="","",MIN(1,(IFERROR(VALUE(LEFT(Respostas_Brutas!I382,IFERROR(FIND(" ",Respostas_Brutas!I382)-1,LEN(Respostas_Brutas!I382)))),0)+IFERROR(VALUE(LEFT(Respostas_Brutas!O382,IFERROR(FIND(" ",Respostas_Brutas!O382)-1,LEN(Respostas_Brutas!O382)))),0))/20))</f>
        <v/>
      </c>
      <c r="D382" s="4" t="str">
        <f>IF(Respostas_Brutas!B382="","",IF(Respostas_Brutas!D382="","",MIN(1,MAX(0,(YEAR(TODAY())-N(Respostas_Brutas!D382))/15))))</f>
        <v/>
      </c>
      <c r="E382" s="4" t="str">
        <f>IF(Respostas_Brutas!B382="","",IF(ISNUMBER(SEARCH("Sim",Respostas_Brutas!S382)),1,0))</f>
        <v/>
      </c>
      <c r="F382" s="4" t="str">
        <f>IF(Respostas_Brutas!B382="","",IFERROR(N(Respostas_Brutas!Y382)/N(Respostas_Brutas!Z382),""))</f>
        <v/>
      </c>
      <c r="G382" s="4" t="str">
        <f>IF(Respostas_Brutas!B382="","",IF(Respostas_Brutas!K382&lt;&gt;"",1,0))</f>
        <v/>
      </c>
      <c r="H382" s="4" t="str">
        <f>IF(Respostas_Brutas!B382="","",IF(ISNUMBER(SEARCH("Não",Respostas_Brutas!AH382)),1,0))</f>
        <v/>
      </c>
      <c r="I382" s="4" t="str">
        <f>IF(Respostas_Brutas!B382="","",IF(ISNUMBER(SEARCH("Sim",Respostas_Brutas!AL382)),1,0))</f>
        <v/>
      </c>
      <c r="J382" s="4" t="str">
        <f>IF(Respostas_Brutas!B382="","",IF(Respostas_Brutas!AN382="","",MIN(1,MAX(0,(N(Respostas_Brutas!AN382)-1)/4))))</f>
        <v/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tr">
        <f>IF(Respostas_Brutas!B383="","",Respostas_Brutas!B383)</f>
        <v/>
      </c>
      <c r="B383" s="4" t="str">
        <f>IF(Respostas_Brutas!B383="","",IFERROR(IF(IFERROR(VALUE(TRIM(SUBSTITUTE(SUBSTITUTE(SUBSTITUTE(TRIM(Respostas_Brutas!AS383),"R$",""),".",""),",","."))),0)=0,"",(IFERROR(VALUE(TRIM(SUBSTITUTE(SUBSTITUTE(SUBSTITUTE(TRIM(Respostas_Brutas!AS383),"R$",""),".",""),",","."))),0)-IFERROR(VALUE(TRIM(SUBSTITUTE(SUBSTITUTE(SUBSTITUTE(TRIM(Respostas_Brutas!T383),"R$",""),".",""),",","."))),0))/IFERROR(VALUE(TRIM(SUBSTITUTE(SUBSTITUTE(SUBSTITUTE(TRIM(Respostas_Brutas!AS383),"R$",""),".",""),",","."))),0)),""))</f>
        <v/>
      </c>
      <c r="C383" s="4" t="str">
        <f>IF(Respostas_Brutas!B383="","",MIN(1,(IFERROR(VALUE(LEFT(Respostas_Brutas!I383,IFERROR(FIND(" ",Respostas_Brutas!I383)-1,LEN(Respostas_Brutas!I383)))),0)+IFERROR(VALUE(LEFT(Respostas_Brutas!O383,IFERROR(FIND(" ",Respostas_Brutas!O383)-1,LEN(Respostas_Brutas!O383)))),0))/20))</f>
        <v/>
      </c>
      <c r="D383" s="4" t="str">
        <f>IF(Respostas_Brutas!B383="","",IF(Respostas_Brutas!D383="","",MIN(1,MAX(0,(YEAR(TODAY())-N(Respostas_Brutas!D383))/15))))</f>
        <v/>
      </c>
      <c r="E383" s="4" t="str">
        <f>IF(Respostas_Brutas!B383="","",IF(ISNUMBER(SEARCH("Sim",Respostas_Brutas!S383)),1,0))</f>
        <v/>
      </c>
      <c r="F383" s="4" t="str">
        <f>IF(Respostas_Brutas!B383="","",IFERROR(N(Respostas_Brutas!Y383)/N(Respostas_Brutas!Z383),""))</f>
        <v/>
      </c>
      <c r="G383" s="4" t="str">
        <f>IF(Respostas_Brutas!B383="","",IF(Respostas_Brutas!K383&lt;&gt;"",1,0))</f>
        <v/>
      </c>
      <c r="H383" s="4" t="str">
        <f>IF(Respostas_Brutas!B383="","",IF(ISNUMBER(SEARCH("Não",Respostas_Brutas!AH383)),1,0))</f>
        <v/>
      </c>
      <c r="I383" s="4" t="str">
        <f>IF(Respostas_Brutas!B383="","",IF(ISNUMBER(SEARCH("Sim",Respostas_Brutas!AL383)),1,0))</f>
        <v/>
      </c>
      <c r="J383" s="4" t="str">
        <f>IF(Respostas_Brutas!B383="","",IF(Respostas_Brutas!AN383="","",MIN(1,MAX(0,(N(Respostas_Brutas!AN383)-1)/4))))</f>
        <v/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tr">
        <f>IF(Respostas_Brutas!B384="","",Respostas_Brutas!B384)</f>
        <v/>
      </c>
      <c r="B384" s="4" t="str">
        <f>IF(Respostas_Brutas!B384="","",IFERROR(IF(IFERROR(VALUE(TRIM(SUBSTITUTE(SUBSTITUTE(SUBSTITUTE(TRIM(Respostas_Brutas!AS384),"R$",""),".",""),",","."))),0)=0,"",(IFERROR(VALUE(TRIM(SUBSTITUTE(SUBSTITUTE(SUBSTITUTE(TRIM(Respostas_Brutas!AS384),"R$",""),".",""),",","."))),0)-IFERROR(VALUE(TRIM(SUBSTITUTE(SUBSTITUTE(SUBSTITUTE(TRIM(Respostas_Brutas!T384),"R$",""),".",""),",","."))),0))/IFERROR(VALUE(TRIM(SUBSTITUTE(SUBSTITUTE(SUBSTITUTE(TRIM(Respostas_Brutas!AS384),"R$",""),".",""),",","."))),0)),""))</f>
        <v/>
      </c>
      <c r="C384" s="4" t="str">
        <f>IF(Respostas_Brutas!B384="","",MIN(1,(IFERROR(VALUE(LEFT(Respostas_Brutas!I384,IFERROR(FIND(" ",Respostas_Brutas!I384)-1,LEN(Respostas_Brutas!I384)))),0)+IFERROR(VALUE(LEFT(Respostas_Brutas!O384,IFERROR(FIND(" ",Respostas_Brutas!O384)-1,LEN(Respostas_Brutas!O384)))),0))/20))</f>
        <v/>
      </c>
      <c r="D384" s="4" t="str">
        <f>IF(Respostas_Brutas!B384="","",IF(Respostas_Brutas!D384="","",MIN(1,MAX(0,(YEAR(TODAY())-N(Respostas_Brutas!D384))/15))))</f>
        <v/>
      </c>
      <c r="E384" s="4" t="str">
        <f>IF(Respostas_Brutas!B384="","",IF(ISNUMBER(SEARCH("Sim",Respostas_Brutas!S384)),1,0))</f>
        <v/>
      </c>
      <c r="F384" s="4" t="str">
        <f>IF(Respostas_Brutas!B384="","",IFERROR(N(Respostas_Brutas!Y384)/N(Respostas_Brutas!Z384),""))</f>
        <v/>
      </c>
      <c r="G384" s="4" t="str">
        <f>IF(Respostas_Brutas!B384="","",IF(Respostas_Brutas!K384&lt;&gt;"",1,0))</f>
        <v/>
      </c>
      <c r="H384" s="4" t="str">
        <f>IF(Respostas_Brutas!B384="","",IF(ISNUMBER(SEARCH("Não",Respostas_Brutas!AH384)),1,0))</f>
        <v/>
      </c>
      <c r="I384" s="4" t="str">
        <f>IF(Respostas_Brutas!B384="","",IF(ISNUMBER(SEARCH("Sim",Respostas_Brutas!AL384)),1,0))</f>
        <v/>
      </c>
      <c r="J384" s="4" t="str">
        <f>IF(Respostas_Brutas!B384="","",IF(Respostas_Brutas!AN384="","",MIN(1,MAX(0,(N(Respostas_Brutas!AN384)-1)/4))))</f>
        <v/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tr">
        <f>IF(Respostas_Brutas!B385="","",Respostas_Brutas!B385)</f>
        <v/>
      </c>
      <c r="B385" s="4" t="str">
        <f>IF(Respostas_Brutas!B385="","",IFERROR(IF(IFERROR(VALUE(TRIM(SUBSTITUTE(SUBSTITUTE(SUBSTITUTE(TRIM(Respostas_Brutas!AS385),"R$",""),".",""),",","."))),0)=0,"",(IFERROR(VALUE(TRIM(SUBSTITUTE(SUBSTITUTE(SUBSTITUTE(TRIM(Respostas_Brutas!AS385),"R$",""),".",""),",","."))),0)-IFERROR(VALUE(TRIM(SUBSTITUTE(SUBSTITUTE(SUBSTITUTE(TRIM(Respostas_Brutas!T385),"R$",""),".",""),",","."))),0))/IFERROR(VALUE(TRIM(SUBSTITUTE(SUBSTITUTE(SUBSTITUTE(TRIM(Respostas_Brutas!AS385),"R$",""),".",""),",","."))),0)),""))</f>
        <v/>
      </c>
      <c r="C385" s="4" t="str">
        <f>IF(Respostas_Brutas!B385="","",MIN(1,(IFERROR(VALUE(LEFT(Respostas_Brutas!I385,IFERROR(FIND(" ",Respostas_Brutas!I385)-1,LEN(Respostas_Brutas!I385)))),0)+IFERROR(VALUE(LEFT(Respostas_Brutas!O385,IFERROR(FIND(" ",Respostas_Brutas!O385)-1,LEN(Respostas_Brutas!O385)))),0))/20))</f>
        <v/>
      </c>
      <c r="D385" s="4" t="str">
        <f>IF(Respostas_Brutas!B385="","",IF(Respostas_Brutas!D385="","",MIN(1,MAX(0,(YEAR(TODAY())-N(Respostas_Brutas!D385))/15))))</f>
        <v/>
      </c>
      <c r="E385" s="4" t="str">
        <f>IF(Respostas_Brutas!B385="","",IF(ISNUMBER(SEARCH("Sim",Respostas_Brutas!S385)),1,0))</f>
        <v/>
      </c>
      <c r="F385" s="4" t="str">
        <f>IF(Respostas_Brutas!B385="","",IFERROR(N(Respostas_Brutas!Y385)/N(Respostas_Brutas!Z385),""))</f>
        <v/>
      </c>
      <c r="G385" s="4" t="str">
        <f>IF(Respostas_Brutas!B385="","",IF(Respostas_Brutas!K385&lt;&gt;"",1,0))</f>
        <v/>
      </c>
      <c r="H385" s="4" t="str">
        <f>IF(Respostas_Brutas!B385="","",IF(ISNUMBER(SEARCH("Não",Respostas_Brutas!AH385)),1,0))</f>
        <v/>
      </c>
      <c r="I385" s="4" t="str">
        <f>IF(Respostas_Brutas!B385="","",IF(ISNUMBER(SEARCH("Sim",Respostas_Brutas!AL385)),1,0))</f>
        <v/>
      </c>
      <c r="J385" s="4" t="str">
        <f>IF(Respostas_Brutas!B385="","",IF(Respostas_Brutas!AN385="","",MIN(1,MAX(0,(N(Respostas_Brutas!AN385)-1)/4))))</f>
        <v/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tr">
        <f>IF(Respostas_Brutas!B386="","",Respostas_Brutas!B386)</f>
        <v/>
      </c>
      <c r="B386" s="4" t="str">
        <f>IF(Respostas_Brutas!B386="","",IFERROR(IF(IFERROR(VALUE(TRIM(SUBSTITUTE(SUBSTITUTE(SUBSTITUTE(TRIM(Respostas_Brutas!AS386),"R$",""),".",""),",","."))),0)=0,"",(IFERROR(VALUE(TRIM(SUBSTITUTE(SUBSTITUTE(SUBSTITUTE(TRIM(Respostas_Brutas!AS386),"R$",""),".",""),",","."))),0)-IFERROR(VALUE(TRIM(SUBSTITUTE(SUBSTITUTE(SUBSTITUTE(TRIM(Respostas_Brutas!T386),"R$",""),".",""),",","."))),0))/IFERROR(VALUE(TRIM(SUBSTITUTE(SUBSTITUTE(SUBSTITUTE(TRIM(Respostas_Brutas!AS386),"R$",""),".",""),",","."))),0)),""))</f>
        <v/>
      </c>
      <c r="C386" s="4" t="str">
        <f>IF(Respostas_Brutas!B386="","",MIN(1,(IFERROR(VALUE(LEFT(Respostas_Brutas!I386,IFERROR(FIND(" ",Respostas_Brutas!I386)-1,LEN(Respostas_Brutas!I386)))),0)+IFERROR(VALUE(LEFT(Respostas_Brutas!O386,IFERROR(FIND(" ",Respostas_Brutas!O386)-1,LEN(Respostas_Brutas!O386)))),0))/20))</f>
        <v/>
      </c>
      <c r="D386" s="4" t="str">
        <f>IF(Respostas_Brutas!B386="","",IF(Respostas_Brutas!D386="","",MIN(1,MAX(0,(YEAR(TODAY())-N(Respostas_Brutas!D386))/15))))</f>
        <v/>
      </c>
      <c r="E386" s="4" t="str">
        <f>IF(Respostas_Brutas!B386="","",IF(ISNUMBER(SEARCH("Sim",Respostas_Brutas!S386)),1,0))</f>
        <v/>
      </c>
      <c r="F386" s="4" t="str">
        <f>IF(Respostas_Brutas!B386="","",IFERROR(N(Respostas_Brutas!Y386)/N(Respostas_Brutas!Z386),""))</f>
        <v/>
      </c>
      <c r="G386" s="4" t="str">
        <f>IF(Respostas_Brutas!B386="","",IF(Respostas_Brutas!K386&lt;&gt;"",1,0))</f>
        <v/>
      </c>
      <c r="H386" s="4" t="str">
        <f>IF(Respostas_Brutas!B386="","",IF(ISNUMBER(SEARCH("Não",Respostas_Brutas!AH386)),1,0))</f>
        <v/>
      </c>
      <c r="I386" s="4" t="str">
        <f>IF(Respostas_Brutas!B386="","",IF(ISNUMBER(SEARCH("Sim",Respostas_Brutas!AL386)),1,0))</f>
        <v/>
      </c>
      <c r="J386" s="4" t="str">
        <f>IF(Respostas_Brutas!B386="","",IF(Respostas_Brutas!AN386="","",MIN(1,MAX(0,(N(Respostas_Brutas!AN386)-1)/4))))</f>
        <v/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tr">
        <f>IF(Respostas_Brutas!B387="","",Respostas_Brutas!B387)</f>
        <v/>
      </c>
      <c r="B387" s="4" t="str">
        <f>IF(Respostas_Brutas!B387="","",IFERROR(IF(IFERROR(VALUE(TRIM(SUBSTITUTE(SUBSTITUTE(SUBSTITUTE(TRIM(Respostas_Brutas!AS387),"R$",""),".",""),",","."))),0)=0,"",(IFERROR(VALUE(TRIM(SUBSTITUTE(SUBSTITUTE(SUBSTITUTE(TRIM(Respostas_Brutas!AS387),"R$",""),".",""),",","."))),0)-IFERROR(VALUE(TRIM(SUBSTITUTE(SUBSTITUTE(SUBSTITUTE(TRIM(Respostas_Brutas!T387),"R$",""),".",""),",","."))),0))/IFERROR(VALUE(TRIM(SUBSTITUTE(SUBSTITUTE(SUBSTITUTE(TRIM(Respostas_Brutas!AS387),"R$",""),".",""),",","."))),0)),""))</f>
        <v/>
      </c>
      <c r="C387" s="4" t="str">
        <f>IF(Respostas_Brutas!B387="","",MIN(1,(IFERROR(VALUE(LEFT(Respostas_Brutas!I387,IFERROR(FIND(" ",Respostas_Brutas!I387)-1,LEN(Respostas_Brutas!I387)))),0)+IFERROR(VALUE(LEFT(Respostas_Brutas!O387,IFERROR(FIND(" ",Respostas_Brutas!O387)-1,LEN(Respostas_Brutas!O387)))),0))/20))</f>
        <v/>
      </c>
      <c r="D387" s="4" t="str">
        <f>IF(Respostas_Brutas!B387="","",IF(Respostas_Brutas!D387="","",MIN(1,MAX(0,(YEAR(TODAY())-N(Respostas_Brutas!D387))/15))))</f>
        <v/>
      </c>
      <c r="E387" s="4" t="str">
        <f>IF(Respostas_Brutas!B387="","",IF(ISNUMBER(SEARCH("Sim",Respostas_Brutas!S387)),1,0))</f>
        <v/>
      </c>
      <c r="F387" s="4" t="str">
        <f>IF(Respostas_Brutas!B387="","",IFERROR(N(Respostas_Brutas!Y387)/N(Respostas_Brutas!Z387),""))</f>
        <v/>
      </c>
      <c r="G387" s="4" t="str">
        <f>IF(Respostas_Brutas!B387="","",IF(Respostas_Brutas!K387&lt;&gt;"",1,0))</f>
        <v/>
      </c>
      <c r="H387" s="4" t="str">
        <f>IF(Respostas_Brutas!B387="","",IF(ISNUMBER(SEARCH("Não",Respostas_Brutas!AH387)),1,0))</f>
        <v/>
      </c>
      <c r="I387" s="4" t="str">
        <f>IF(Respostas_Brutas!B387="","",IF(ISNUMBER(SEARCH("Sim",Respostas_Brutas!AL387)),1,0))</f>
        <v/>
      </c>
      <c r="J387" s="4" t="str">
        <f>IF(Respostas_Brutas!B387="","",IF(Respostas_Brutas!AN387="","",MIN(1,MAX(0,(N(Respostas_Brutas!AN387)-1)/4))))</f>
        <v/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tr">
        <f>IF(Respostas_Brutas!B388="","",Respostas_Brutas!B388)</f>
        <v/>
      </c>
      <c r="B388" s="4" t="str">
        <f>IF(Respostas_Brutas!B388="","",IFERROR(IF(IFERROR(VALUE(TRIM(SUBSTITUTE(SUBSTITUTE(SUBSTITUTE(TRIM(Respostas_Brutas!AS388),"R$",""),".",""),",","."))),0)=0,"",(IFERROR(VALUE(TRIM(SUBSTITUTE(SUBSTITUTE(SUBSTITUTE(TRIM(Respostas_Brutas!AS388),"R$",""),".",""),",","."))),0)-IFERROR(VALUE(TRIM(SUBSTITUTE(SUBSTITUTE(SUBSTITUTE(TRIM(Respostas_Brutas!T388),"R$",""),".",""),",","."))),0))/IFERROR(VALUE(TRIM(SUBSTITUTE(SUBSTITUTE(SUBSTITUTE(TRIM(Respostas_Brutas!AS388),"R$",""),".",""),",","."))),0)),""))</f>
        <v/>
      </c>
      <c r="C388" s="4" t="str">
        <f>IF(Respostas_Brutas!B388="","",MIN(1,(IFERROR(VALUE(LEFT(Respostas_Brutas!I388,IFERROR(FIND(" ",Respostas_Brutas!I388)-1,LEN(Respostas_Brutas!I388)))),0)+IFERROR(VALUE(LEFT(Respostas_Brutas!O388,IFERROR(FIND(" ",Respostas_Brutas!O388)-1,LEN(Respostas_Brutas!O388)))),0))/20))</f>
        <v/>
      </c>
      <c r="D388" s="4" t="str">
        <f>IF(Respostas_Brutas!B388="","",IF(Respostas_Brutas!D388="","",MIN(1,MAX(0,(YEAR(TODAY())-N(Respostas_Brutas!D388))/15))))</f>
        <v/>
      </c>
      <c r="E388" s="4" t="str">
        <f>IF(Respostas_Brutas!B388="","",IF(ISNUMBER(SEARCH("Sim",Respostas_Brutas!S388)),1,0))</f>
        <v/>
      </c>
      <c r="F388" s="4" t="str">
        <f>IF(Respostas_Brutas!B388="","",IFERROR(N(Respostas_Brutas!Y388)/N(Respostas_Brutas!Z388),""))</f>
        <v/>
      </c>
      <c r="G388" s="4" t="str">
        <f>IF(Respostas_Brutas!B388="","",IF(Respostas_Brutas!K388&lt;&gt;"",1,0))</f>
        <v/>
      </c>
      <c r="H388" s="4" t="str">
        <f>IF(Respostas_Brutas!B388="","",IF(ISNUMBER(SEARCH("Não",Respostas_Brutas!AH388)),1,0))</f>
        <v/>
      </c>
      <c r="I388" s="4" t="str">
        <f>IF(Respostas_Brutas!B388="","",IF(ISNUMBER(SEARCH("Sim",Respostas_Brutas!AL388)),1,0))</f>
        <v/>
      </c>
      <c r="J388" s="4" t="str">
        <f>IF(Respostas_Brutas!B388="","",IF(Respostas_Brutas!AN388="","",MIN(1,MAX(0,(N(Respostas_Brutas!AN388)-1)/4))))</f>
        <v/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tr">
        <f>IF(Respostas_Brutas!B389="","",Respostas_Brutas!B389)</f>
        <v/>
      </c>
      <c r="B389" s="4" t="str">
        <f>IF(Respostas_Brutas!B389="","",IFERROR(IF(IFERROR(VALUE(TRIM(SUBSTITUTE(SUBSTITUTE(SUBSTITUTE(TRIM(Respostas_Brutas!AS389),"R$",""),".",""),",","."))),0)=0,"",(IFERROR(VALUE(TRIM(SUBSTITUTE(SUBSTITUTE(SUBSTITUTE(TRIM(Respostas_Brutas!AS389),"R$",""),".",""),",","."))),0)-IFERROR(VALUE(TRIM(SUBSTITUTE(SUBSTITUTE(SUBSTITUTE(TRIM(Respostas_Brutas!T389),"R$",""),".",""),",","."))),0))/IFERROR(VALUE(TRIM(SUBSTITUTE(SUBSTITUTE(SUBSTITUTE(TRIM(Respostas_Brutas!AS389),"R$",""),".",""),",","."))),0)),""))</f>
        <v/>
      </c>
      <c r="C389" s="4" t="str">
        <f>IF(Respostas_Brutas!B389="","",MIN(1,(IFERROR(VALUE(LEFT(Respostas_Brutas!I389,IFERROR(FIND(" ",Respostas_Brutas!I389)-1,LEN(Respostas_Brutas!I389)))),0)+IFERROR(VALUE(LEFT(Respostas_Brutas!O389,IFERROR(FIND(" ",Respostas_Brutas!O389)-1,LEN(Respostas_Brutas!O389)))),0))/20))</f>
        <v/>
      </c>
      <c r="D389" s="4" t="str">
        <f>IF(Respostas_Brutas!B389="","",IF(Respostas_Brutas!D389="","",MIN(1,MAX(0,(YEAR(TODAY())-N(Respostas_Brutas!D389))/15))))</f>
        <v/>
      </c>
      <c r="E389" s="4" t="str">
        <f>IF(Respostas_Brutas!B389="","",IF(ISNUMBER(SEARCH("Sim",Respostas_Brutas!S389)),1,0))</f>
        <v/>
      </c>
      <c r="F389" s="4" t="str">
        <f>IF(Respostas_Brutas!B389="","",IFERROR(N(Respostas_Brutas!Y389)/N(Respostas_Brutas!Z389),""))</f>
        <v/>
      </c>
      <c r="G389" s="4" t="str">
        <f>IF(Respostas_Brutas!B389="","",IF(Respostas_Brutas!K389&lt;&gt;"",1,0))</f>
        <v/>
      </c>
      <c r="H389" s="4" t="str">
        <f>IF(Respostas_Brutas!B389="","",IF(ISNUMBER(SEARCH("Não",Respostas_Brutas!AH389)),1,0))</f>
        <v/>
      </c>
      <c r="I389" s="4" t="str">
        <f>IF(Respostas_Brutas!B389="","",IF(ISNUMBER(SEARCH("Sim",Respostas_Brutas!AL389)),1,0))</f>
        <v/>
      </c>
      <c r="J389" s="4" t="str">
        <f>IF(Respostas_Brutas!B389="","",IF(Respostas_Brutas!AN389="","",MIN(1,MAX(0,(N(Respostas_Brutas!AN389)-1)/4))))</f>
        <v/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tr">
        <f>IF(Respostas_Brutas!B390="","",Respostas_Brutas!B390)</f>
        <v/>
      </c>
      <c r="B390" s="4" t="str">
        <f>IF(Respostas_Brutas!B390="","",IFERROR(IF(IFERROR(VALUE(TRIM(SUBSTITUTE(SUBSTITUTE(SUBSTITUTE(TRIM(Respostas_Brutas!AS390),"R$",""),".",""),",","."))),0)=0,"",(IFERROR(VALUE(TRIM(SUBSTITUTE(SUBSTITUTE(SUBSTITUTE(TRIM(Respostas_Brutas!AS390),"R$",""),".",""),",","."))),0)-IFERROR(VALUE(TRIM(SUBSTITUTE(SUBSTITUTE(SUBSTITUTE(TRIM(Respostas_Brutas!T390),"R$",""),".",""),",","."))),0))/IFERROR(VALUE(TRIM(SUBSTITUTE(SUBSTITUTE(SUBSTITUTE(TRIM(Respostas_Brutas!AS390),"R$",""),".",""),",","."))),0)),""))</f>
        <v/>
      </c>
      <c r="C390" s="4" t="str">
        <f>IF(Respostas_Brutas!B390="","",MIN(1,(IFERROR(VALUE(LEFT(Respostas_Brutas!I390,IFERROR(FIND(" ",Respostas_Brutas!I390)-1,LEN(Respostas_Brutas!I390)))),0)+IFERROR(VALUE(LEFT(Respostas_Brutas!O390,IFERROR(FIND(" ",Respostas_Brutas!O390)-1,LEN(Respostas_Brutas!O390)))),0))/20))</f>
        <v/>
      </c>
      <c r="D390" s="4" t="str">
        <f>IF(Respostas_Brutas!B390="","",IF(Respostas_Brutas!D390="","",MIN(1,MAX(0,(YEAR(TODAY())-N(Respostas_Brutas!D390))/15))))</f>
        <v/>
      </c>
      <c r="E390" s="4" t="str">
        <f>IF(Respostas_Brutas!B390="","",IF(ISNUMBER(SEARCH("Sim",Respostas_Brutas!S390)),1,0))</f>
        <v/>
      </c>
      <c r="F390" s="4" t="str">
        <f>IF(Respostas_Brutas!B390="","",IFERROR(N(Respostas_Brutas!Y390)/N(Respostas_Brutas!Z390),""))</f>
        <v/>
      </c>
      <c r="G390" s="4" t="str">
        <f>IF(Respostas_Brutas!B390="","",IF(Respostas_Brutas!K390&lt;&gt;"",1,0))</f>
        <v/>
      </c>
      <c r="H390" s="4" t="str">
        <f>IF(Respostas_Brutas!B390="","",IF(ISNUMBER(SEARCH("Não",Respostas_Brutas!AH390)),1,0))</f>
        <v/>
      </c>
      <c r="I390" s="4" t="str">
        <f>IF(Respostas_Brutas!B390="","",IF(ISNUMBER(SEARCH("Sim",Respostas_Brutas!AL390)),1,0))</f>
        <v/>
      </c>
      <c r="J390" s="4" t="str">
        <f>IF(Respostas_Brutas!B390="","",IF(Respostas_Brutas!AN390="","",MIN(1,MAX(0,(N(Respostas_Brutas!AN390)-1)/4))))</f>
        <v/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tr">
        <f>IF(Respostas_Brutas!B391="","",Respostas_Brutas!B391)</f>
        <v/>
      </c>
      <c r="B391" s="4" t="str">
        <f>IF(Respostas_Brutas!B391="","",IFERROR(IF(IFERROR(VALUE(TRIM(SUBSTITUTE(SUBSTITUTE(SUBSTITUTE(TRIM(Respostas_Brutas!AS391),"R$",""),".",""),",","."))),0)=0,"",(IFERROR(VALUE(TRIM(SUBSTITUTE(SUBSTITUTE(SUBSTITUTE(TRIM(Respostas_Brutas!AS391),"R$",""),".",""),",","."))),0)-IFERROR(VALUE(TRIM(SUBSTITUTE(SUBSTITUTE(SUBSTITUTE(TRIM(Respostas_Brutas!T391),"R$",""),".",""),",","."))),0))/IFERROR(VALUE(TRIM(SUBSTITUTE(SUBSTITUTE(SUBSTITUTE(TRIM(Respostas_Brutas!AS391),"R$",""),".",""),",","."))),0)),""))</f>
        <v/>
      </c>
      <c r="C391" s="4" t="str">
        <f>IF(Respostas_Brutas!B391="","",MIN(1,(IFERROR(VALUE(LEFT(Respostas_Brutas!I391,IFERROR(FIND(" ",Respostas_Brutas!I391)-1,LEN(Respostas_Brutas!I391)))),0)+IFERROR(VALUE(LEFT(Respostas_Brutas!O391,IFERROR(FIND(" ",Respostas_Brutas!O391)-1,LEN(Respostas_Brutas!O391)))),0))/20))</f>
        <v/>
      </c>
      <c r="D391" s="4" t="str">
        <f>IF(Respostas_Brutas!B391="","",IF(Respostas_Brutas!D391="","",MIN(1,MAX(0,(YEAR(TODAY())-N(Respostas_Brutas!D391))/15))))</f>
        <v/>
      </c>
      <c r="E391" s="4" t="str">
        <f>IF(Respostas_Brutas!B391="","",IF(ISNUMBER(SEARCH("Sim",Respostas_Brutas!S391)),1,0))</f>
        <v/>
      </c>
      <c r="F391" s="4" t="str">
        <f>IF(Respostas_Brutas!B391="","",IFERROR(N(Respostas_Brutas!Y391)/N(Respostas_Brutas!Z391),""))</f>
        <v/>
      </c>
      <c r="G391" s="4" t="str">
        <f>IF(Respostas_Brutas!B391="","",IF(Respostas_Brutas!K391&lt;&gt;"",1,0))</f>
        <v/>
      </c>
      <c r="H391" s="4" t="str">
        <f>IF(Respostas_Brutas!B391="","",IF(ISNUMBER(SEARCH("Não",Respostas_Brutas!AH391)),1,0))</f>
        <v/>
      </c>
      <c r="I391" s="4" t="str">
        <f>IF(Respostas_Brutas!B391="","",IF(ISNUMBER(SEARCH("Sim",Respostas_Brutas!AL391)),1,0))</f>
        <v/>
      </c>
      <c r="J391" s="4" t="str">
        <f>IF(Respostas_Brutas!B391="","",IF(Respostas_Brutas!AN391="","",MIN(1,MAX(0,(N(Respostas_Brutas!AN391)-1)/4))))</f>
        <v/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tr">
        <f>IF(Respostas_Brutas!B392="","",Respostas_Brutas!B392)</f>
        <v/>
      </c>
      <c r="B392" s="4" t="str">
        <f>IF(Respostas_Brutas!B392="","",IFERROR(IF(IFERROR(VALUE(TRIM(SUBSTITUTE(SUBSTITUTE(SUBSTITUTE(TRIM(Respostas_Brutas!AS392),"R$",""),".",""),",","."))),0)=0,"",(IFERROR(VALUE(TRIM(SUBSTITUTE(SUBSTITUTE(SUBSTITUTE(TRIM(Respostas_Brutas!AS392),"R$",""),".",""),",","."))),0)-IFERROR(VALUE(TRIM(SUBSTITUTE(SUBSTITUTE(SUBSTITUTE(TRIM(Respostas_Brutas!T392),"R$",""),".",""),",","."))),0))/IFERROR(VALUE(TRIM(SUBSTITUTE(SUBSTITUTE(SUBSTITUTE(TRIM(Respostas_Brutas!AS392),"R$",""),".",""),",","."))),0)),""))</f>
        <v/>
      </c>
      <c r="C392" s="4" t="str">
        <f>IF(Respostas_Brutas!B392="","",MIN(1,(IFERROR(VALUE(LEFT(Respostas_Brutas!I392,IFERROR(FIND(" ",Respostas_Brutas!I392)-1,LEN(Respostas_Brutas!I392)))),0)+IFERROR(VALUE(LEFT(Respostas_Brutas!O392,IFERROR(FIND(" ",Respostas_Brutas!O392)-1,LEN(Respostas_Brutas!O392)))),0))/20))</f>
        <v/>
      </c>
      <c r="D392" s="4" t="str">
        <f>IF(Respostas_Brutas!B392="","",IF(Respostas_Brutas!D392="","",MIN(1,MAX(0,(YEAR(TODAY())-N(Respostas_Brutas!D392))/15))))</f>
        <v/>
      </c>
      <c r="E392" s="4" t="str">
        <f>IF(Respostas_Brutas!B392="","",IF(ISNUMBER(SEARCH("Sim",Respostas_Brutas!S392)),1,0))</f>
        <v/>
      </c>
      <c r="F392" s="4" t="str">
        <f>IF(Respostas_Brutas!B392="","",IFERROR(N(Respostas_Brutas!Y392)/N(Respostas_Brutas!Z392),""))</f>
        <v/>
      </c>
      <c r="G392" s="4" t="str">
        <f>IF(Respostas_Brutas!B392="","",IF(Respostas_Brutas!K392&lt;&gt;"",1,0))</f>
        <v/>
      </c>
      <c r="H392" s="4" t="str">
        <f>IF(Respostas_Brutas!B392="","",IF(ISNUMBER(SEARCH("Não",Respostas_Brutas!AH392)),1,0))</f>
        <v/>
      </c>
      <c r="I392" s="4" t="str">
        <f>IF(Respostas_Brutas!B392="","",IF(ISNUMBER(SEARCH("Sim",Respostas_Brutas!AL392)),1,0))</f>
        <v/>
      </c>
      <c r="J392" s="4" t="str">
        <f>IF(Respostas_Brutas!B392="","",IF(Respostas_Brutas!AN392="","",MIN(1,MAX(0,(N(Respostas_Brutas!AN392)-1)/4))))</f>
        <v/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tr">
        <f>IF(Respostas_Brutas!B393="","",Respostas_Brutas!B393)</f>
        <v/>
      </c>
      <c r="B393" s="4" t="str">
        <f>IF(Respostas_Brutas!B393="","",IFERROR(IF(IFERROR(VALUE(TRIM(SUBSTITUTE(SUBSTITUTE(SUBSTITUTE(TRIM(Respostas_Brutas!AS393),"R$",""),".",""),",","."))),0)=0,"",(IFERROR(VALUE(TRIM(SUBSTITUTE(SUBSTITUTE(SUBSTITUTE(TRIM(Respostas_Brutas!AS393),"R$",""),".",""),",","."))),0)-IFERROR(VALUE(TRIM(SUBSTITUTE(SUBSTITUTE(SUBSTITUTE(TRIM(Respostas_Brutas!T393),"R$",""),".",""),",","."))),0))/IFERROR(VALUE(TRIM(SUBSTITUTE(SUBSTITUTE(SUBSTITUTE(TRIM(Respostas_Brutas!AS393),"R$",""),".",""),",","."))),0)),""))</f>
        <v/>
      </c>
      <c r="C393" s="4" t="str">
        <f>IF(Respostas_Brutas!B393="","",MIN(1,(IFERROR(VALUE(LEFT(Respostas_Brutas!I393,IFERROR(FIND(" ",Respostas_Brutas!I393)-1,LEN(Respostas_Brutas!I393)))),0)+IFERROR(VALUE(LEFT(Respostas_Brutas!O393,IFERROR(FIND(" ",Respostas_Brutas!O393)-1,LEN(Respostas_Brutas!O393)))),0))/20))</f>
        <v/>
      </c>
      <c r="D393" s="4" t="str">
        <f>IF(Respostas_Brutas!B393="","",IF(Respostas_Brutas!D393="","",MIN(1,MAX(0,(YEAR(TODAY())-N(Respostas_Brutas!D393))/15))))</f>
        <v/>
      </c>
      <c r="E393" s="4" t="str">
        <f>IF(Respostas_Brutas!B393="","",IF(ISNUMBER(SEARCH("Sim",Respostas_Brutas!S393)),1,0))</f>
        <v/>
      </c>
      <c r="F393" s="4" t="str">
        <f>IF(Respostas_Brutas!B393="","",IFERROR(N(Respostas_Brutas!Y393)/N(Respostas_Brutas!Z393),""))</f>
        <v/>
      </c>
      <c r="G393" s="4" t="str">
        <f>IF(Respostas_Brutas!B393="","",IF(Respostas_Brutas!K393&lt;&gt;"",1,0))</f>
        <v/>
      </c>
      <c r="H393" s="4" t="str">
        <f>IF(Respostas_Brutas!B393="","",IF(ISNUMBER(SEARCH("Não",Respostas_Brutas!AH393)),1,0))</f>
        <v/>
      </c>
      <c r="I393" s="4" t="str">
        <f>IF(Respostas_Brutas!B393="","",IF(ISNUMBER(SEARCH("Sim",Respostas_Brutas!AL393)),1,0))</f>
        <v/>
      </c>
      <c r="J393" s="4" t="str">
        <f>IF(Respostas_Brutas!B393="","",IF(Respostas_Brutas!AN393="","",MIN(1,MAX(0,(N(Respostas_Brutas!AN393)-1)/4))))</f>
        <v/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tr">
        <f>IF(Respostas_Brutas!B394="","",Respostas_Brutas!B394)</f>
        <v/>
      </c>
      <c r="B394" s="4" t="str">
        <f>IF(Respostas_Brutas!B394="","",IFERROR(IF(IFERROR(VALUE(TRIM(SUBSTITUTE(SUBSTITUTE(SUBSTITUTE(TRIM(Respostas_Brutas!AS394),"R$",""),".",""),",","."))),0)=0,"",(IFERROR(VALUE(TRIM(SUBSTITUTE(SUBSTITUTE(SUBSTITUTE(TRIM(Respostas_Brutas!AS394),"R$",""),".",""),",","."))),0)-IFERROR(VALUE(TRIM(SUBSTITUTE(SUBSTITUTE(SUBSTITUTE(TRIM(Respostas_Brutas!T394),"R$",""),".",""),",","."))),0))/IFERROR(VALUE(TRIM(SUBSTITUTE(SUBSTITUTE(SUBSTITUTE(TRIM(Respostas_Brutas!AS394),"R$",""),".",""),",","."))),0)),""))</f>
        <v/>
      </c>
      <c r="C394" s="4" t="str">
        <f>IF(Respostas_Brutas!B394="","",MIN(1,(IFERROR(VALUE(LEFT(Respostas_Brutas!I394,IFERROR(FIND(" ",Respostas_Brutas!I394)-1,LEN(Respostas_Brutas!I394)))),0)+IFERROR(VALUE(LEFT(Respostas_Brutas!O394,IFERROR(FIND(" ",Respostas_Brutas!O394)-1,LEN(Respostas_Brutas!O394)))),0))/20))</f>
        <v/>
      </c>
      <c r="D394" s="4" t="str">
        <f>IF(Respostas_Brutas!B394="","",IF(Respostas_Brutas!D394="","",MIN(1,MAX(0,(YEAR(TODAY())-N(Respostas_Brutas!D394))/15))))</f>
        <v/>
      </c>
      <c r="E394" s="4" t="str">
        <f>IF(Respostas_Brutas!B394="","",IF(ISNUMBER(SEARCH("Sim",Respostas_Brutas!S394)),1,0))</f>
        <v/>
      </c>
      <c r="F394" s="4" t="str">
        <f>IF(Respostas_Brutas!B394="","",IFERROR(N(Respostas_Brutas!Y394)/N(Respostas_Brutas!Z394),""))</f>
        <v/>
      </c>
      <c r="G394" s="4" t="str">
        <f>IF(Respostas_Brutas!B394="","",IF(Respostas_Brutas!K394&lt;&gt;"",1,0))</f>
        <v/>
      </c>
      <c r="H394" s="4" t="str">
        <f>IF(Respostas_Brutas!B394="","",IF(ISNUMBER(SEARCH("Não",Respostas_Brutas!AH394)),1,0))</f>
        <v/>
      </c>
      <c r="I394" s="4" t="str">
        <f>IF(Respostas_Brutas!B394="","",IF(ISNUMBER(SEARCH("Sim",Respostas_Brutas!AL394)),1,0))</f>
        <v/>
      </c>
      <c r="J394" s="4" t="str">
        <f>IF(Respostas_Brutas!B394="","",IF(Respostas_Brutas!AN394="","",MIN(1,MAX(0,(N(Respostas_Brutas!AN394)-1)/4))))</f>
        <v/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tr">
        <f>IF(Respostas_Brutas!B395="","",Respostas_Brutas!B395)</f>
        <v/>
      </c>
      <c r="B395" s="4" t="str">
        <f>IF(Respostas_Brutas!B395="","",IFERROR(IF(IFERROR(VALUE(TRIM(SUBSTITUTE(SUBSTITUTE(SUBSTITUTE(TRIM(Respostas_Brutas!AS395),"R$",""),".",""),",","."))),0)=0,"",(IFERROR(VALUE(TRIM(SUBSTITUTE(SUBSTITUTE(SUBSTITUTE(TRIM(Respostas_Brutas!AS395),"R$",""),".",""),",","."))),0)-IFERROR(VALUE(TRIM(SUBSTITUTE(SUBSTITUTE(SUBSTITUTE(TRIM(Respostas_Brutas!T395),"R$",""),".",""),",","."))),0))/IFERROR(VALUE(TRIM(SUBSTITUTE(SUBSTITUTE(SUBSTITUTE(TRIM(Respostas_Brutas!AS395),"R$",""),".",""),",","."))),0)),""))</f>
        <v/>
      </c>
      <c r="C395" s="4" t="str">
        <f>IF(Respostas_Brutas!B395="","",MIN(1,(IFERROR(VALUE(LEFT(Respostas_Brutas!I395,IFERROR(FIND(" ",Respostas_Brutas!I395)-1,LEN(Respostas_Brutas!I395)))),0)+IFERROR(VALUE(LEFT(Respostas_Brutas!O395,IFERROR(FIND(" ",Respostas_Brutas!O395)-1,LEN(Respostas_Brutas!O395)))),0))/20))</f>
        <v/>
      </c>
      <c r="D395" s="4" t="str">
        <f>IF(Respostas_Brutas!B395="","",IF(Respostas_Brutas!D395="","",MIN(1,MAX(0,(YEAR(TODAY())-N(Respostas_Brutas!D395))/15))))</f>
        <v/>
      </c>
      <c r="E395" s="4" t="str">
        <f>IF(Respostas_Brutas!B395="","",IF(ISNUMBER(SEARCH("Sim",Respostas_Brutas!S395)),1,0))</f>
        <v/>
      </c>
      <c r="F395" s="4" t="str">
        <f>IF(Respostas_Brutas!B395="","",IFERROR(N(Respostas_Brutas!Y395)/N(Respostas_Brutas!Z395),""))</f>
        <v/>
      </c>
      <c r="G395" s="4" t="str">
        <f>IF(Respostas_Brutas!B395="","",IF(Respostas_Brutas!K395&lt;&gt;"",1,0))</f>
        <v/>
      </c>
      <c r="H395" s="4" t="str">
        <f>IF(Respostas_Brutas!B395="","",IF(ISNUMBER(SEARCH("Não",Respostas_Brutas!AH395)),1,0))</f>
        <v/>
      </c>
      <c r="I395" s="4" t="str">
        <f>IF(Respostas_Brutas!B395="","",IF(ISNUMBER(SEARCH("Sim",Respostas_Brutas!AL395)),1,0))</f>
        <v/>
      </c>
      <c r="J395" s="4" t="str">
        <f>IF(Respostas_Brutas!B395="","",IF(Respostas_Brutas!AN395="","",MIN(1,MAX(0,(N(Respostas_Brutas!AN395)-1)/4))))</f>
        <v/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tr">
        <f>IF(Respostas_Brutas!B396="","",Respostas_Brutas!B396)</f>
        <v/>
      </c>
      <c r="B396" s="4" t="str">
        <f>IF(Respostas_Brutas!B396="","",IFERROR(IF(IFERROR(VALUE(TRIM(SUBSTITUTE(SUBSTITUTE(SUBSTITUTE(TRIM(Respostas_Brutas!AS396),"R$",""),".",""),",","."))),0)=0,"",(IFERROR(VALUE(TRIM(SUBSTITUTE(SUBSTITUTE(SUBSTITUTE(TRIM(Respostas_Brutas!AS396),"R$",""),".",""),",","."))),0)-IFERROR(VALUE(TRIM(SUBSTITUTE(SUBSTITUTE(SUBSTITUTE(TRIM(Respostas_Brutas!T396),"R$",""),".",""),",","."))),0))/IFERROR(VALUE(TRIM(SUBSTITUTE(SUBSTITUTE(SUBSTITUTE(TRIM(Respostas_Brutas!AS396),"R$",""),".",""),",","."))),0)),""))</f>
        <v/>
      </c>
      <c r="C396" s="4" t="str">
        <f>IF(Respostas_Brutas!B396="","",MIN(1,(IFERROR(VALUE(LEFT(Respostas_Brutas!I396,IFERROR(FIND(" ",Respostas_Brutas!I396)-1,LEN(Respostas_Brutas!I396)))),0)+IFERROR(VALUE(LEFT(Respostas_Brutas!O396,IFERROR(FIND(" ",Respostas_Brutas!O396)-1,LEN(Respostas_Brutas!O396)))),0))/20))</f>
        <v/>
      </c>
      <c r="D396" s="4" t="str">
        <f>IF(Respostas_Brutas!B396="","",IF(Respostas_Brutas!D396="","",MIN(1,MAX(0,(YEAR(TODAY())-N(Respostas_Brutas!D396))/15))))</f>
        <v/>
      </c>
      <c r="E396" s="4" t="str">
        <f>IF(Respostas_Brutas!B396="","",IF(ISNUMBER(SEARCH("Sim",Respostas_Brutas!S396)),1,0))</f>
        <v/>
      </c>
      <c r="F396" s="4" t="str">
        <f>IF(Respostas_Brutas!B396="","",IFERROR(N(Respostas_Brutas!Y396)/N(Respostas_Brutas!Z396),""))</f>
        <v/>
      </c>
      <c r="G396" s="4" t="str">
        <f>IF(Respostas_Brutas!B396="","",IF(Respostas_Brutas!K396&lt;&gt;"",1,0))</f>
        <v/>
      </c>
      <c r="H396" s="4" t="str">
        <f>IF(Respostas_Brutas!B396="","",IF(ISNUMBER(SEARCH("Não",Respostas_Brutas!AH396)),1,0))</f>
        <v/>
      </c>
      <c r="I396" s="4" t="str">
        <f>IF(Respostas_Brutas!B396="","",IF(ISNUMBER(SEARCH("Sim",Respostas_Brutas!AL396)),1,0))</f>
        <v/>
      </c>
      <c r="J396" s="4" t="str">
        <f>IF(Respostas_Brutas!B396="","",IF(Respostas_Brutas!AN396="","",MIN(1,MAX(0,(N(Respostas_Brutas!AN396)-1)/4))))</f>
        <v/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tr">
        <f>IF(Respostas_Brutas!B397="","",Respostas_Brutas!B397)</f>
        <v/>
      </c>
      <c r="B397" s="4" t="str">
        <f>IF(Respostas_Brutas!B397="","",IFERROR(IF(IFERROR(VALUE(TRIM(SUBSTITUTE(SUBSTITUTE(SUBSTITUTE(TRIM(Respostas_Brutas!AS397),"R$",""),".",""),",","."))),0)=0,"",(IFERROR(VALUE(TRIM(SUBSTITUTE(SUBSTITUTE(SUBSTITUTE(TRIM(Respostas_Brutas!AS397),"R$",""),".",""),",","."))),0)-IFERROR(VALUE(TRIM(SUBSTITUTE(SUBSTITUTE(SUBSTITUTE(TRIM(Respostas_Brutas!T397),"R$",""),".",""),",","."))),0))/IFERROR(VALUE(TRIM(SUBSTITUTE(SUBSTITUTE(SUBSTITUTE(TRIM(Respostas_Brutas!AS397),"R$",""),".",""),",","."))),0)),""))</f>
        <v/>
      </c>
      <c r="C397" s="4" t="str">
        <f>IF(Respostas_Brutas!B397="","",MIN(1,(IFERROR(VALUE(LEFT(Respostas_Brutas!I397,IFERROR(FIND(" ",Respostas_Brutas!I397)-1,LEN(Respostas_Brutas!I397)))),0)+IFERROR(VALUE(LEFT(Respostas_Brutas!O397,IFERROR(FIND(" ",Respostas_Brutas!O397)-1,LEN(Respostas_Brutas!O397)))),0))/20))</f>
        <v/>
      </c>
      <c r="D397" s="4" t="str">
        <f>IF(Respostas_Brutas!B397="","",IF(Respostas_Brutas!D397="","",MIN(1,MAX(0,(YEAR(TODAY())-N(Respostas_Brutas!D397))/15))))</f>
        <v/>
      </c>
      <c r="E397" s="4" t="str">
        <f>IF(Respostas_Brutas!B397="","",IF(ISNUMBER(SEARCH("Sim",Respostas_Brutas!S397)),1,0))</f>
        <v/>
      </c>
      <c r="F397" s="4" t="str">
        <f>IF(Respostas_Brutas!B397="","",IFERROR(N(Respostas_Brutas!Y397)/N(Respostas_Brutas!Z397),""))</f>
        <v/>
      </c>
      <c r="G397" s="4" t="str">
        <f>IF(Respostas_Brutas!B397="","",IF(Respostas_Brutas!K397&lt;&gt;"",1,0))</f>
        <v/>
      </c>
      <c r="H397" s="4" t="str">
        <f>IF(Respostas_Brutas!B397="","",IF(ISNUMBER(SEARCH("Não",Respostas_Brutas!AH397)),1,0))</f>
        <v/>
      </c>
      <c r="I397" s="4" t="str">
        <f>IF(Respostas_Brutas!B397="","",IF(ISNUMBER(SEARCH("Sim",Respostas_Brutas!AL397)),1,0))</f>
        <v/>
      </c>
      <c r="J397" s="4" t="str">
        <f>IF(Respostas_Brutas!B397="","",IF(Respostas_Brutas!AN397="","",MIN(1,MAX(0,(N(Respostas_Brutas!AN397)-1)/4))))</f>
        <v/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tr">
        <f>IF(Respostas_Brutas!B398="","",Respostas_Brutas!B398)</f>
        <v/>
      </c>
      <c r="B398" s="4" t="str">
        <f>IF(Respostas_Brutas!B398="","",IFERROR(IF(IFERROR(VALUE(TRIM(SUBSTITUTE(SUBSTITUTE(SUBSTITUTE(TRIM(Respostas_Brutas!AS398),"R$",""),".",""),",","."))),0)=0,"",(IFERROR(VALUE(TRIM(SUBSTITUTE(SUBSTITUTE(SUBSTITUTE(TRIM(Respostas_Brutas!AS398),"R$",""),".",""),",","."))),0)-IFERROR(VALUE(TRIM(SUBSTITUTE(SUBSTITUTE(SUBSTITUTE(TRIM(Respostas_Brutas!T398),"R$",""),".",""),",","."))),0))/IFERROR(VALUE(TRIM(SUBSTITUTE(SUBSTITUTE(SUBSTITUTE(TRIM(Respostas_Brutas!AS398),"R$",""),".",""),",","."))),0)),""))</f>
        <v/>
      </c>
      <c r="C398" s="4" t="str">
        <f>IF(Respostas_Brutas!B398="","",MIN(1,(IFERROR(VALUE(LEFT(Respostas_Brutas!I398,IFERROR(FIND(" ",Respostas_Brutas!I398)-1,LEN(Respostas_Brutas!I398)))),0)+IFERROR(VALUE(LEFT(Respostas_Brutas!O398,IFERROR(FIND(" ",Respostas_Brutas!O398)-1,LEN(Respostas_Brutas!O398)))),0))/20))</f>
        <v/>
      </c>
      <c r="D398" s="4" t="str">
        <f>IF(Respostas_Brutas!B398="","",IF(Respostas_Brutas!D398="","",MIN(1,MAX(0,(YEAR(TODAY())-N(Respostas_Brutas!D398))/15))))</f>
        <v/>
      </c>
      <c r="E398" s="4" t="str">
        <f>IF(Respostas_Brutas!B398="","",IF(ISNUMBER(SEARCH("Sim",Respostas_Brutas!S398)),1,0))</f>
        <v/>
      </c>
      <c r="F398" s="4" t="str">
        <f>IF(Respostas_Brutas!B398="","",IFERROR(N(Respostas_Brutas!Y398)/N(Respostas_Brutas!Z398),""))</f>
        <v/>
      </c>
      <c r="G398" s="4" t="str">
        <f>IF(Respostas_Brutas!B398="","",IF(Respostas_Brutas!K398&lt;&gt;"",1,0))</f>
        <v/>
      </c>
      <c r="H398" s="4" t="str">
        <f>IF(Respostas_Brutas!B398="","",IF(ISNUMBER(SEARCH("Não",Respostas_Brutas!AH398)),1,0))</f>
        <v/>
      </c>
      <c r="I398" s="4" t="str">
        <f>IF(Respostas_Brutas!B398="","",IF(ISNUMBER(SEARCH("Sim",Respostas_Brutas!AL398)),1,0))</f>
        <v/>
      </c>
      <c r="J398" s="4" t="str">
        <f>IF(Respostas_Brutas!B398="","",IF(Respostas_Brutas!AN398="","",MIN(1,MAX(0,(N(Respostas_Brutas!AN398)-1)/4))))</f>
        <v/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tr">
        <f>IF(Respostas_Brutas!B399="","",Respostas_Brutas!B399)</f>
        <v/>
      </c>
      <c r="B399" s="4" t="str">
        <f>IF(Respostas_Brutas!B399="","",IFERROR(IF(IFERROR(VALUE(TRIM(SUBSTITUTE(SUBSTITUTE(SUBSTITUTE(TRIM(Respostas_Brutas!AS399),"R$",""),".",""),",","."))),0)=0,"",(IFERROR(VALUE(TRIM(SUBSTITUTE(SUBSTITUTE(SUBSTITUTE(TRIM(Respostas_Brutas!AS399),"R$",""),".",""),",","."))),0)-IFERROR(VALUE(TRIM(SUBSTITUTE(SUBSTITUTE(SUBSTITUTE(TRIM(Respostas_Brutas!T399),"R$",""),".",""),",","."))),0))/IFERROR(VALUE(TRIM(SUBSTITUTE(SUBSTITUTE(SUBSTITUTE(TRIM(Respostas_Brutas!AS399),"R$",""),".",""),",","."))),0)),""))</f>
        <v/>
      </c>
      <c r="C399" s="4" t="str">
        <f>IF(Respostas_Brutas!B399="","",MIN(1,(IFERROR(VALUE(LEFT(Respostas_Brutas!I399,IFERROR(FIND(" ",Respostas_Brutas!I399)-1,LEN(Respostas_Brutas!I399)))),0)+IFERROR(VALUE(LEFT(Respostas_Brutas!O399,IFERROR(FIND(" ",Respostas_Brutas!O399)-1,LEN(Respostas_Brutas!O399)))),0))/20))</f>
        <v/>
      </c>
      <c r="D399" s="4" t="str">
        <f>IF(Respostas_Brutas!B399="","",IF(Respostas_Brutas!D399="","",MIN(1,MAX(0,(YEAR(TODAY())-N(Respostas_Brutas!D399))/15))))</f>
        <v/>
      </c>
      <c r="E399" s="4" t="str">
        <f>IF(Respostas_Brutas!B399="","",IF(ISNUMBER(SEARCH("Sim",Respostas_Brutas!S399)),1,0))</f>
        <v/>
      </c>
      <c r="F399" s="4" t="str">
        <f>IF(Respostas_Brutas!B399="","",IFERROR(N(Respostas_Brutas!Y399)/N(Respostas_Brutas!Z399),""))</f>
        <v/>
      </c>
      <c r="G399" s="4" t="str">
        <f>IF(Respostas_Brutas!B399="","",IF(Respostas_Brutas!K399&lt;&gt;"",1,0))</f>
        <v/>
      </c>
      <c r="H399" s="4" t="str">
        <f>IF(Respostas_Brutas!B399="","",IF(ISNUMBER(SEARCH("Não",Respostas_Brutas!AH399)),1,0))</f>
        <v/>
      </c>
      <c r="I399" s="4" t="str">
        <f>IF(Respostas_Brutas!B399="","",IF(ISNUMBER(SEARCH("Sim",Respostas_Brutas!AL399)),1,0))</f>
        <v/>
      </c>
      <c r="J399" s="4" t="str">
        <f>IF(Respostas_Brutas!B399="","",IF(Respostas_Brutas!AN399="","",MIN(1,MAX(0,(N(Respostas_Brutas!AN399)-1)/4))))</f>
        <v/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tr">
        <f>IF(Respostas_Brutas!B400="","",Respostas_Brutas!B400)</f>
        <v/>
      </c>
      <c r="B400" s="4" t="str">
        <f>IF(Respostas_Brutas!B400="","",IFERROR(IF(IFERROR(VALUE(TRIM(SUBSTITUTE(SUBSTITUTE(SUBSTITUTE(TRIM(Respostas_Brutas!AS400),"R$",""),".",""),",","."))),0)=0,"",(IFERROR(VALUE(TRIM(SUBSTITUTE(SUBSTITUTE(SUBSTITUTE(TRIM(Respostas_Brutas!AS400),"R$",""),".",""),",","."))),0)-IFERROR(VALUE(TRIM(SUBSTITUTE(SUBSTITUTE(SUBSTITUTE(TRIM(Respostas_Brutas!T400),"R$",""),".",""),",","."))),0))/IFERROR(VALUE(TRIM(SUBSTITUTE(SUBSTITUTE(SUBSTITUTE(TRIM(Respostas_Brutas!AS400),"R$",""),".",""),",","."))),0)),""))</f>
        <v/>
      </c>
      <c r="C400" s="4" t="str">
        <f>IF(Respostas_Brutas!B400="","",MIN(1,(IFERROR(VALUE(LEFT(Respostas_Brutas!I400,IFERROR(FIND(" ",Respostas_Brutas!I400)-1,LEN(Respostas_Brutas!I400)))),0)+IFERROR(VALUE(LEFT(Respostas_Brutas!O400,IFERROR(FIND(" ",Respostas_Brutas!O400)-1,LEN(Respostas_Brutas!O400)))),0))/20))</f>
        <v/>
      </c>
      <c r="D400" s="4" t="str">
        <f>IF(Respostas_Brutas!B400="","",IF(Respostas_Brutas!D400="","",MIN(1,MAX(0,(YEAR(TODAY())-N(Respostas_Brutas!D400))/15))))</f>
        <v/>
      </c>
      <c r="E400" s="4" t="str">
        <f>IF(Respostas_Brutas!B400="","",IF(ISNUMBER(SEARCH("Sim",Respostas_Brutas!S400)),1,0))</f>
        <v/>
      </c>
      <c r="F400" s="4" t="str">
        <f>IF(Respostas_Brutas!B400="","",IFERROR(N(Respostas_Brutas!Y400)/N(Respostas_Brutas!Z400),""))</f>
        <v/>
      </c>
      <c r="G400" s="4" t="str">
        <f>IF(Respostas_Brutas!B400="","",IF(Respostas_Brutas!K400&lt;&gt;"",1,0))</f>
        <v/>
      </c>
      <c r="H400" s="4" t="str">
        <f>IF(Respostas_Brutas!B400="","",IF(ISNUMBER(SEARCH("Não",Respostas_Brutas!AH400)),1,0))</f>
        <v/>
      </c>
      <c r="I400" s="4" t="str">
        <f>IF(Respostas_Brutas!B400="","",IF(ISNUMBER(SEARCH("Sim",Respostas_Brutas!AL400)),1,0))</f>
        <v/>
      </c>
      <c r="J400" s="4" t="str">
        <f>IF(Respostas_Brutas!B400="","",IF(Respostas_Brutas!AN400="","",MIN(1,MAX(0,(N(Respostas_Brutas!AN400)-1)/4))))</f>
        <v/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tr">
        <f>IF(Respostas_Brutas!B401="","",Respostas_Brutas!B401)</f>
        <v/>
      </c>
      <c r="B401" s="4" t="str">
        <f>IF(Respostas_Brutas!B401="","",IFERROR(IF(IFERROR(VALUE(TRIM(SUBSTITUTE(SUBSTITUTE(SUBSTITUTE(TRIM(Respostas_Brutas!AS401),"R$",""),".",""),",","."))),0)=0,"",(IFERROR(VALUE(TRIM(SUBSTITUTE(SUBSTITUTE(SUBSTITUTE(TRIM(Respostas_Brutas!AS401),"R$",""),".",""),",","."))),0)-IFERROR(VALUE(TRIM(SUBSTITUTE(SUBSTITUTE(SUBSTITUTE(TRIM(Respostas_Brutas!T401),"R$",""),".",""),",","."))),0))/IFERROR(VALUE(TRIM(SUBSTITUTE(SUBSTITUTE(SUBSTITUTE(TRIM(Respostas_Brutas!AS401),"R$",""),".",""),",","."))),0)),""))</f>
        <v/>
      </c>
      <c r="C401" s="4" t="str">
        <f>IF(Respostas_Brutas!B401="","",MIN(1,(IFERROR(VALUE(LEFT(Respostas_Brutas!I401,IFERROR(FIND(" ",Respostas_Brutas!I401)-1,LEN(Respostas_Brutas!I401)))),0)+IFERROR(VALUE(LEFT(Respostas_Brutas!O401,IFERROR(FIND(" ",Respostas_Brutas!O401)-1,LEN(Respostas_Brutas!O401)))),0))/20))</f>
        <v/>
      </c>
      <c r="D401" s="4" t="str">
        <f>IF(Respostas_Brutas!B401="","",IF(Respostas_Brutas!D401="","",MIN(1,MAX(0,(YEAR(TODAY())-N(Respostas_Brutas!D401))/15))))</f>
        <v/>
      </c>
      <c r="E401" s="4" t="str">
        <f>IF(Respostas_Brutas!B401="","",IF(ISNUMBER(SEARCH("Sim",Respostas_Brutas!S401)),1,0))</f>
        <v/>
      </c>
      <c r="F401" s="4" t="str">
        <f>IF(Respostas_Brutas!B401="","",IFERROR(N(Respostas_Brutas!Y401)/N(Respostas_Brutas!Z401),""))</f>
        <v/>
      </c>
      <c r="G401" s="4" t="str">
        <f>IF(Respostas_Brutas!B401="","",IF(Respostas_Brutas!K401&lt;&gt;"",1,0))</f>
        <v/>
      </c>
      <c r="H401" s="4" t="str">
        <f>IF(Respostas_Brutas!B401="","",IF(ISNUMBER(SEARCH("Não",Respostas_Brutas!AH401)),1,0))</f>
        <v/>
      </c>
      <c r="I401" s="4" t="str">
        <f>IF(Respostas_Brutas!B401="","",IF(ISNUMBER(SEARCH("Sim",Respostas_Brutas!AL401)),1,0))</f>
        <v/>
      </c>
      <c r="J401" s="4" t="str">
        <f>IF(Respostas_Brutas!B401="","",IF(Respostas_Brutas!AN401="","",MIN(1,MAX(0,(N(Respostas_Brutas!AN401)-1)/4))))</f>
        <v/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tr">
        <f>IF(Respostas_Brutas!B402="","",Respostas_Brutas!B402)</f>
        <v/>
      </c>
      <c r="B402" s="4" t="str">
        <f>IF(Respostas_Brutas!B402="","",IFERROR(IF(IFERROR(VALUE(TRIM(SUBSTITUTE(SUBSTITUTE(SUBSTITUTE(TRIM(Respostas_Brutas!AS402),"R$",""),".",""),",","."))),0)=0,"",(IFERROR(VALUE(TRIM(SUBSTITUTE(SUBSTITUTE(SUBSTITUTE(TRIM(Respostas_Brutas!AS402),"R$",""),".",""),",","."))),0)-IFERROR(VALUE(TRIM(SUBSTITUTE(SUBSTITUTE(SUBSTITUTE(TRIM(Respostas_Brutas!T402),"R$",""),".",""),",","."))),0))/IFERROR(VALUE(TRIM(SUBSTITUTE(SUBSTITUTE(SUBSTITUTE(TRIM(Respostas_Brutas!AS402),"R$",""),".",""),",","."))),0)),""))</f>
        <v/>
      </c>
      <c r="C402" s="4" t="str">
        <f>IF(Respostas_Brutas!B402="","",MIN(1,(IFERROR(VALUE(LEFT(Respostas_Brutas!I402,IFERROR(FIND(" ",Respostas_Brutas!I402)-1,LEN(Respostas_Brutas!I402)))),0)+IFERROR(VALUE(LEFT(Respostas_Brutas!O402,IFERROR(FIND(" ",Respostas_Brutas!O402)-1,LEN(Respostas_Brutas!O402)))),0))/20))</f>
        <v/>
      </c>
      <c r="D402" s="4" t="str">
        <f>IF(Respostas_Brutas!B402="","",IF(Respostas_Brutas!D402="","",MIN(1,MAX(0,(YEAR(TODAY())-N(Respostas_Brutas!D402))/15))))</f>
        <v/>
      </c>
      <c r="E402" s="4" t="str">
        <f>IF(Respostas_Brutas!B402="","",IF(ISNUMBER(SEARCH("Sim",Respostas_Brutas!S402)),1,0))</f>
        <v/>
      </c>
      <c r="F402" s="4" t="str">
        <f>IF(Respostas_Brutas!B402="","",IFERROR(N(Respostas_Brutas!Y402)/N(Respostas_Brutas!Z402),""))</f>
        <v/>
      </c>
      <c r="G402" s="4" t="str">
        <f>IF(Respostas_Brutas!B402="","",IF(Respostas_Brutas!K402&lt;&gt;"",1,0))</f>
        <v/>
      </c>
      <c r="H402" s="4" t="str">
        <f>IF(Respostas_Brutas!B402="","",IF(ISNUMBER(SEARCH("Não",Respostas_Brutas!AH402)),1,0))</f>
        <v/>
      </c>
      <c r="I402" s="4" t="str">
        <f>IF(Respostas_Brutas!B402="","",IF(ISNUMBER(SEARCH("Sim",Respostas_Brutas!AL402)),1,0))</f>
        <v/>
      </c>
      <c r="J402" s="4" t="str">
        <f>IF(Respostas_Brutas!B402="","",IF(Respostas_Brutas!AN402="","",MIN(1,MAX(0,(N(Respostas_Brutas!AN402)-1)/4))))</f>
        <v/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tr">
        <f>IF(Respostas_Brutas!B403="","",Respostas_Brutas!B403)</f>
        <v/>
      </c>
      <c r="B403" s="4" t="str">
        <f>IF(Respostas_Brutas!B403="","",IFERROR(IF(IFERROR(VALUE(TRIM(SUBSTITUTE(SUBSTITUTE(SUBSTITUTE(TRIM(Respostas_Brutas!AS403),"R$",""),".",""),",","."))),0)=0,"",(IFERROR(VALUE(TRIM(SUBSTITUTE(SUBSTITUTE(SUBSTITUTE(TRIM(Respostas_Brutas!AS403),"R$",""),".",""),",","."))),0)-IFERROR(VALUE(TRIM(SUBSTITUTE(SUBSTITUTE(SUBSTITUTE(TRIM(Respostas_Brutas!T403),"R$",""),".",""),",","."))),0))/IFERROR(VALUE(TRIM(SUBSTITUTE(SUBSTITUTE(SUBSTITUTE(TRIM(Respostas_Brutas!AS403),"R$",""),".",""),",","."))),0)),""))</f>
        <v/>
      </c>
      <c r="C403" s="4" t="str">
        <f>IF(Respostas_Brutas!B403="","",MIN(1,(IFERROR(VALUE(LEFT(Respostas_Brutas!I403,IFERROR(FIND(" ",Respostas_Brutas!I403)-1,LEN(Respostas_Brutas!I403)))),0)+IFERROR(VALUE(LEFT(Respostas_Brutas!O403,IFERROR(FIND(" ",Respostas_Brutas!O403)-1,LEN(Respostas_Brutas!O403)))),0))/20))</f>
        <v/>
      </c>
      <c r="D403" s="4" t="str">
        <f>IF(Respostas_Brutas!B403="","",IF(Respostas_Brutas!D403="","",MIN(1,MAX(0,(YEAR(TODAY())-N(Respostas_Brutas!D403))/15))))</f>
        <v/>
      </c>
      <c r="E403" s="4" t="str">
        <f>IF(Respostas_Brutas!B403="","",IF(ISNUMBER(SEARCH("Sim",Respostas_Brutas!S403)),1,0))</f>
        <v/>
      </c>
      <c r="F403" s="4" t="str">
        <f>IF(Respostas_Brutas!B403="","",IFERROR(N(Respostas_Brutas!Y403)/N(Respostas_Brutas!Z403),""))</f>
        <v/>
      </c>
      <c r="G403" s="4" t="str">
        <f>IF(Respostas_Brutas!B403="","",IF(Respostas_Brutas!K403&lt;&gt;"",1,0))</f>
        <v/>
      </c>
      <c r="H403" s="4" t="str">
        <f>IF(Respostas_Brutas!B403="","",IF(ISNUMBER(SEARCH("Não",Respostas_Brutas!AH403)),1,0))</f>
        <v/>
      </c>
      <c r="I403" s="4" t="str">
        <f>IF(Respostas_Brutas!B403="","",IF(ISNUMBER(SEARCH("Sim",Respostas_Brutas!AL403)),1,0))</f>
        <v/>
      </c>
      <c r="J403" s="4" t="str">
        <f>IF(Respostas_Brutas!B403="","",IF(Respostas_Brutas!AN403="","",MIN(1,MAX(0,(N(Respostas_Brutas!AN403)-1)/4))))</f>
        <v/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tr">
        <f>IF(Respostas_Brutas!B404="","",Respostas_Brutas!B404)</f>
        <v/>
      </c>
      <c r="B404" s="4" t="str">
        <f>IF(Respostas_Brutas!B404="","",IFERROR(IF(IFERROR(VALUE(TRIM(SUBSTITUTE(SUBSTITUTE(SUBSTITUTE(TRIM(Respostas_Brutas!AS404),"R$",""),".",""),",","."))),0)=0,"",(IFERROR(VALUE(TRIM(SUBSTITUTE(SUBSTITUTE(SUBSTITUTE(TRIM(Respostas_Brutas!AS404),"R$",""),".",""),",","."))),0)-IFERROR(VALUE(TRIM(SUBSTITUTE(SUBSTITUTE(SUBSTITUTE(TRIM(Respostas_Brutas!T404),"R$",""),".",""),",","."))),0))/IFERROR(VALUE(TRIM(SUBSTITUTE(SUBSTITUTE(SUBSTITUTE(TRIM(Respostas_Brutas!AS404),"R$",""),".",""),",","."))),0)),""))</f>
        <v/>
      </c>
      <c r="C404" s="4" t="str">
        <f>IF(Respostas_Brutas!B404="","",MIN(1,(IFERROR(VALUE(LEFT(Respostas_Brutas!I404,IFERROR(FIND(" ",Respostas_Brutas!I404)-1,LEN(Respostas_Brutas!I404)))),0)+IFERROR(VALUE(LEFT(Respostas_Brutas!O404,IFERROR(FIND(" ",Respostas_Brutas!O404)-1,LEN(Respostas_Brutas!O404)))),0))/20))</f>
        <v/>
      </c>
      <c r="D404" s="4" t="str">
        <f>IF(Respostas_Brutas!B404="","",IF(Respostas_Brutas!D404="","",MIN(1,MAX(0,(YEAR(TODAY())-N(Respostas_Brutas!D404))/15))))</f>
        <v/>
      </c>
      <c r="E404" s="4" t="str">
        <f>IF(Respostas_Brutas!B404="","",IF(ISNUMBER(SEARCH("Sim",Respostas_Brutas!S404)),1,0))</f>
        <v/>
      </c>
      <c r="F404" s="4" t="str">
        <f>IF(Respostas_Brutas!B404="","",IFERROR(N(Respostas_Brutas!Y404)/N(Respostas_Brutas!Z404),""))</f>
        <v/>
      </c>
      <c r="G404" s="4" t="str">
        <f>IF(Respostas_Brutas!B404="","",IF(Respostas_Brutas!K404&lt;&gt;"",1,0))</f>
        <v/>
      </c>
      <c r="H404" s="4" t="str">
        <f>IF(Respostas_Brutas!B404="","",IF(ISNUMBER(SEARCH("Não",Respostas_Brutas!AH404)),1,0))</f>
        <v/>
      </c>
      <c r="I404" s="4" t="str">
        <f>IF(Respostas_Brutas!B404="","",IF(ISNUMBER(SEARCH("Sim",Respostas_Brutas!AL404)),1,0))</f>
        <v/>
      </c>
      <c r="J404" s="4" t="str">
        <f>IF(Respostas_Brutas!B404="","",IF(Respostas_Brutas!AN404="","",MIN(1,MAX(0,(N(Respostas_Brutas!AN404)-1)/4))))</f>
        <v/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tr">
        <f>IF(Respostas_Brutas!B405="","",Respostas_Brutas!B405)</f>
        <v/>
      </c>
      <c r="B405" s="4" t="str">
        <f>IF(Respostas_Brutas!B405="","",IFERROR(IF(IFERROR(VALUE(TRIM(SUBSTITUTE(SUBSTITUTE(SUBSTITUTE(TRIM(Respostas_Brutas!AS405),"R$",""),".",""),",","."))),0)=0,"",(IFERROR(VALUE(TRIM(SUBSTITUTE(SUBSTITUTE(SUBSTITUTE(TRIM(Respostas_Brutas!AS405),"R$",""),".",""),",","."))),0)-IFERROR(VALUE(TRIM(SUBSTITUTE(SUBSTITUTE(SUBSTITUTE(TRIM(Respostas_Brutas!T405),"R$",""),".",""),",","."))),0))/IFERROR(VALUE(TRIM(SUBSTITUTE(SUBSTITUTE(SUBSTITUTE(TRIM(Respostas_Brutas!AS405),"R$",""),".",""),",","."))),0)),""))</f>
        <v/>
      </c>
      <c r="C405" s="4" t="str">
        <f>IF(Respostas_Brutas!B405="","",MIN(1,(IFERROR(VALUE(LEFT(Respostas_Brutas!I405,IFERROR(FIND(" ",Respostas_Brutas!I405)-1,LEN(Respostas_Brutas!I405)))),0)+IFERROR(VALUE(LEFT(Respostas_Brutas!O405,IFERROR(FIND(" ",Respostas_Brutas!O405)-1,LEN(Respostas_Brutas!O405)))),0))/20))</f>
        <v/>
      </c>
      <c r="D405" s="4" t="str">
        <f>IF(Respostas_Brutas!B405="","",IF(Respostas_Brutas!D405="","",MIN(1,MAX(0,(YEAR(TODAY())-N(Respostas_Brutas!D405))/15))))</f>
        <v/>
      </c>
      <c r="E405" s="4" t="str">
        <f>IF(Respostas_Brutas!B405="","",IF(ISNUMBER(SEARCH("Sim",Respostas_Brutas!S405)),1,0))</f>
        <v/>
      </c>
      <c r="F405" s="4" t="str">
        <f>IF(Respostas_Brutas!B405="","",IFERROR(N(Respostas_Brutas!Y405)/N(Respostas_Brutas!Z405),""))</f>
        <v/>
      </c>
      <c r="G405" s="4" t="str">
        <f>IF(Respostas_Brutas!B405="","",IF(Respostas_Brutas!K405&lt;&gt;"",1,0))</f>
        <v/>
      </c>
      <c r="H405" s="4" t="str">
        <f>IF(Respostas_Brutas!B405="","",IF(ISNUMBER(SEARCH("Não",Respostas_Brutas!AH405)),1,0))</f>
        <v/>
      </c>
      <c r="I405" s="4" t="str">
        <f>IF(Respostas_Brutas!B405="","",IF(ISNUMBER(SEARCH("Sim",Respostas_Brutas!AL405)),1,0))</f>
        <v/>
      </c>
      <c r="J405" s="4" t="str">
        <f>IF(Respostas_Brutas!B405="","",IF(Respostas_Brutas!AN405="","",MIN(1,MAX(0,(N(Respostas_Brutas!AN405)-1)/4))))</f>
        <v/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tr">
        <f>IF(Respostas_Brutas!B406="","",Respostas_Brutas!B406)</f>
        <v/>
      </c>
      <c r="B406" s="4" t="str">
        <f>IF(Respostas_Brutas!B406="","",IFERROR(IF(IFERROR(VALUE(TRIM(SUBSTITUTE(SUBSTITUTE(SUBSTITUTE(TRIM(Respostas_Brutas!AS406),"R$",""),".",""),",","."))),0)=0,"",(IFERROR(VALUE(TRIM(SUBSTITUTE(SUBSTITUTE(SUBSTITUTE(TRIM(Respostas_Brutas!AS406),"R$",""),".",""),",","."))),0)-IFERROR(VALUE(TRIM(SUBSTITUTE(SUBSTITUTE(SUBSTITUTE(TRIM(Respostas_Brutas!T406),"R$",""),".",""),",","."))),0))/IFERROR(VALUE(TRIM(SUBSTITUTE(SUBSTITUTE(SUBSTITUTE(TRIM(Respostas_Brutas!AS406),"R$",""),".",""),",","."))),0)),""))</f>
        <v/>
      </c>
      <c r="C406" s="4" t="str">
        <f>IF(Respostas_Brutas!B406="","",MIN(1,(IFERROR(VALUE(LEFT(Respostas_Brutas!I406,IFERROR(FIND(" ",Respostas_Brutas!I406)-1,LEN(Respostas_Brutas!I406)))),0)+IFERROR(VALUE(LEFT(Respostas_Brutas!O406,IFERROR(FIND(" ",Respostas_Brutas!O406)-1,LEN(Respostas_Brutas!O406)))),0))/20))</f>
        <v/>
      </c>
      <c r="D406" s="4" t="str">
        <f>IF(Respostas_Brutas!B406="","",IF(Respostas_Brutas!D406="","",MIN(1,MAX(0,(YEAR(TODAY())-N(Respostas_Brutas!D406))/15))))</f>
        <v/>
      </c>
      <c r="E406" s="4" t="str">
        <f>IF(Respostas_Brutas!B406="","",IF(ISNUMBER(SEARCH("Sim",Respostas_Brutas!S406)),1,0))</f>
        <v/>
      </c>
      <c r="F406" s="4" t="str">
        <f>IF(Respostas_Brutas!B406="","",IFERROR(N(Respostas_Brutas!Y406)/N(Respostas_Brutas!Z406),""))</f>
        <v/>
      </c>
      <c r="G406" s="4" t="str">
        <f>IF(Respostas_Brutas!B406="","",IF(Respostas_Brutas!K406&lt;&gt;"",1,0))</f>
        <v/>
      </c>
      <c r="H406" s="4" t="str">
        <f>IF(Respostas_Brutas!B406="","",IF(ISNUMBER(SEARCH("Não",Respostas_Brutas!AH406)),1,0))</f>
        <v/>
      </c>
      <c r="I406" s="4" t="str">
        <f>IF(Respostas_Brutas!B406="","",IF(ISNUMBER(SEARCH("Sim",Respostas_Brutas!AL406)),1,0))</f>
        <v/>
      </c>
      <c r="J406" s="4" t="str">
        <f>IF(Respostas_Brutas!B406="","",IF(Respostas_Brutas!AN406="","",MIN(1,MAX(0,(N(Respostas_Brutas!AN406)-1)/4))))</f>
        <v/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tr">
        <f>IF(Respostas_Brutas!B407="","",Respostas_Brutas!B407)</f>
        <v/>
      </c>
      <c r="B407" s="4" t="str">
        <f>IF(Respostas_Brutas!B407="","",IFERROR(IF(IFERROR(VALUE(TRIM(SUBSTITUTE(SUBSTITUTE(SUBSTITUTE(TRIM(Respostas_Brutas!AS407),"R$",""),".",""),",","."))),0)=0,"",(IFERROR(VALUE(TRIM(SUBSTITUTE(SUBSTITUTE(SUBSTITUTE(TRIM(Respostas_Brutas!AS407),"R$",""),".",""),",","."))),0)-IFERROR(VALUE(TRIM(SUBSTITUTE(SUBSTITUTE(SUBSTITUTE(TRIM(Respostas_Brutas!T407),"R$",""),".",""),",","."))),0))/IFERROR(VALUE(TRIM(SUBSTITUTE(SUBSTITUTE(SUBSTITUTE(TRIM(Respostas_Brutas!AS407),"R$",""),".",""),",","."))),0)),""))</f>
        <v/>
      </c>
      <c r="C407" s="4" t="str">
        <f>IF(Respostas_Brutas!B407="","",MIN(1,(IFERROR(VALUE(LEFT(Respostas_Brutas!I407,IFERROR(FIND(" ",Respostas_Brutas!I407)-1,LEN(Respostas_Brutas!I407)))),0)+IFERROR(VALUE(LEFT(Respostas_Brutas!O407,IFERROR(FIND(" ",Respostas_Brutas!O407)-1,LEN(Respostas_Brutas!O407)))),0))/20))</f>
        <v/>
      </c>
      <c r="D407" s="4" t="str">
        <f>IF(Respostas_Brutas!B407="","",IF(Respostas_Brutas!D407="","",MIN(1,MAX(0,(YEAR(TODAY())-N(Respostas_Brutas!D407))/15))))</f>
        <v/>
      </c>
      <c r="E407" s="4" t="str">
        <f>IF(Respostas_Brutas!B407="","",IF(ISNUMBER(SEARCH("Sim",Respostas_Brutas!S407)),1,0))</f>
        <v/>
      </c>
      <c r="F407" s="4" t="str">
        <f>IF(Respostas_Brutas!B407="","",IFERROR(N(Respostas_Brutas!Y407)/N(Respostas_Brutas!Z407),""))</f>
        <v/>
      </c>
      <c r="G407" s="4" t="str">
        <f>IF(Respostas_Brutas!B407="","",IF(Respostas_Brutas!K407&lt;&gt;"",1,0))</f>
        <v/>
      </c>
      <c r="H407" s="4" t="str">
        <f>IF(Respostas_Brutas!B407="","",IF(ISNUMBER(SEARCH("Não",Respostas_Brutas!AH407)),1,0))</f>
        <v/>
      </c>
      <c r="I407" s="4" t="str">
        <f>IF(Respostas_Brutas!B407="","",IF(ISNUMBER(SEARCH("Sim",Respostas_Brutas!AL407)),1,0))</f>
        <v/>
      </c>
      <c r="J407" s="4" t="str">
        <f>IF(Respostas_Brutas!B407="","",IF(Respostas_Brutas!AN407="","",MIN(1,MAX(0,(N(Respostas_Brutas!AN407)-1)/4))))</f>
        <v/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tr">
        <f>IF(Respostas_Brutas!B408="","",Respostas_Brutas!B408)</f>
        <v/>
      </c>
      <c r="B408" s="4" t="str">
        <f>IF(Respostas_Brutas!B408="","",IFERROR(IF(IFERROR(VALUE(TRIM(SUBSTITUTE(SUBSTITUTE(SUBSTITUTE(TRIM(Respostas_Brutas!AS408),"R$",""),".",""),",","."))),0)=0,"",(IFERROR(VALUE(TRIM(SUBSTITUTE(SUBSTITUTE(SUBSTITUTE(TRIM(Respostas_Brutas!AS408),"R$",""),".",""),",","."))),0)-IFERROR(VALUE(TRIM(SUBSTITUTE(SUBSTITUTE(SUBSTITUTE(TRIM(Respostas_Brutas!T408),"R$",""),".",""),",","."))),0))/IFERROR(VALUE(TRIM(SUBSTITUTE(SUBSTITUTE(SUBSTITUTE(TRIM(Respostas_Brutas!AS408),"R$",""),".",""),",","."))),0)),""))</f>
        <v/>
      </c>
      <c r="C408" s="4" t="str">
        <f>IF(Respostas_Brutas!B408="","",MIN(1,(IFERROR(VALUE(LEFT(Respostas_Brutas!I408,IFERROR(FIND(" ",Respostas_Brutas!I408)-1,LEN(Respostas_Brutas!I408)))),0)+IFERROR(VALUE(LEFT(Respostas_Brutas!O408,IFERROR(FIND(" ",Respostas_Brutas!O408)-1,LEN(Respostas_Brutas!O408)))),0))/20))</f>
        <v/>
      </c>
      <c r="D408" s="4" t="str">
        <f>IF(Respostas_Brutas!B408="","",IF(Respostas_Brutas!D408="","",MIN(1,MAX(0,(YEAR(TODAY())-N(Respostas_Brutas!D408))/15))))</f>
        <v/>
      </c>
      <c r="E408" s="4" t="str">
        <f>IF(Respostas_Brutas!B408="","",IF(ISNUMBER(SEARCH("Sim",Respostas_Brutas!S408)),1,0))</f>
        <v/>
      </c>
      <c r="F408" s="4" t="str">
        <f>IF(Respostas_Brutas!B408="","",IFERROR(N(Respostas_Brutas!Y408)/N(Respostas_Brutas!Z408),""))</f>
        <v/>
      </c>
      <c r="G408" s="4" t="str">
        <f>IF(Respostas_Brutas!B408="","",IF(Respostas_Brutas!K408&lt;&gt;"",1,0))</f>
        <v/>
      </c>
      <c r="H408" s="4" t="str">
        <f>IF(Respostas_Brutas!B408="","",IF(ISNUMBER(SEARCH("Não",Respostas_Brutas!AH408)),1,0))</f>
        <v/>
      </c>
      <c r="I408" s="4" t="str">
        <f>IF(Respostas_Brutas!B408="","",IF(ISNUMBER(SEARCH("Sim",Respostas_Brutas!AL408)),1,0))</f>
        <v/>
      </c>
      <c r="J408" s="4" t="str">
        <f>IF(Respostas_Brutas!B408="","",IF(Respostas_Brutas!AN408="","",MIN(1,MAX(0,(N(Respostas_Brutas!AN408)-1)/4))))</f>
        <v/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tr">
        <f>IF(Respostas_Brutas!B409="","",Respostas_Brutas!B409)</f>
        <v/>
      </c>
      <c r="B409" s="4" t="str">
        <f>IF(Respostas_Brutas!B409="","",IFERROR(IF(IFERROR(VALUE(TRIM(SUBSTITUTE(SUBSTITUTE(SUBSTITUTE(TRIM(Respostas_Brutas!AS409),"R$",""),".",""),",","."))),0)=0,"",(IFERROR(VALUE(TRIM(SUBSTITUTE(SUBSTITUTE(SUBSTITUTE(TRIM(Respostas_Brutas!AS409),"R$",""),".",""),",","."))),0)-IFERROR(VALUE(TRIM(SUBSTITUTE(SUBSTITUTE(SUBSTITUTE(TRIM(Respostas_Brutas!T409),"R$",""),".",""),",","."))),0))/IFERROR(VALUE(TRIM(SUBSTITUTE(SUBSTITUTE(SUBSTITUTE(TRIM(Respostas_Brutas!AS409),"R$",""),".",""),",","."))),0)),""))</f>
        <v/>
      </c>
      <c r="C409" s="4" t="str">
        <f>IF(Respostas_Brutas!B409="","",MIN(1,(IFERROR(VALUE(LEFT(Respostas_Brutas!I409,IFERROR(FIND(" ",Respostas_Brutas!I409)-1,LEN(Respostas_Brutas!I409)))),0)+IFERROR(VALUE(LEFT(Respostas_Brutas!O409,IFERROR(FIND(" ",Respostas_Brutas!O409)-1,LEN(Respostas_Brutas!O409)))),0))/20))</f>
        <v/>
      </c>
      <c r="D409" s="4" t="str">
        <f>IF(Respostas_Brutas!B409="","",IF(Respostas_Brutas!D409="","",MIN(1,MAX(0,(YEAR(TODAY())-N(Respostas_Brutas!D409))/15))))</f>
        <v/>
      </c>
      <c r="E409" s="4" t="str">
        <f>IF(Respostas_Brutas!B409="","",IF(ISNUMBER(SEARCH("Sim",Respostas_Brutas!S409)),1,0))</f>
        <v/>
      </c>
      <c r="F409" s="4" t="str">
        <f>IF(Respostas_Brutas!B409="","",IFERROR(N(Respostas_Brutas!Y409)/N(Respostas_Brutas!Z409),""))</f>
        <v/>
      </c>
      <c r="G409" s="4" t="str">
        <f>IF(Respostas_Brutas!B409="","",IF(Respostas_Brutas!K409&lt;&gt;"",1,0))</f>
        <v/>
      </c>
      <c r="H409" s="4" t="str">
        <f>IF(Respostas_Brutas!B409="","",IF(ISNUMBER(SEARCH("Não",Respostas_Brutas!AH409)),1,0))</f>
        <v/>
      </c>
      <c r="I409" s="4" t="str">
        <f>IF(Respostas_Brutas!B409="","",IF(ISNUMBER(SEARCH("Sim",Respostas_Brutas!AL409)),1,0))</f>
        <v/>
      </c>
      <c r="J409" s="4" t="str">
        <f>IF(Respostas_Brutas!B409="","",IF(Respostas_Brutas!AN409="","",MIN(1,MAX(0,(N(Respostas_Brutas!AN409)-1)/4))))</f>
        <v/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tr">
        <f>IF(Respostas_Brutas!B410="","",Respostas_Brutas!B410)</f>
        <v/>
      </c>
      <c r="B410" s="4" t="str">
        <f>IF(Respostas_Brutas!B410="","",IFERROR(IF(IFERROR(VALUE(TRIM(SUBSTITUTE(SUBSTITUTE(SUBSTITUTE(TRIM(Respostas_Brutas!AS410),"R$",""),".",""),",","."))),0)=0,"",(IFERROR(VALUE(TRIM(SUBSTITUTE(SUBSTITUTE(SUBSTITUTE(TRIM(Respostas_Brutas!AS410),"R$",""),".",""),",","."))),0)-IFERROR(VALUE(TRIM(SUBSTITUTE(SUBSTITUTE(SUBSTITUTE(TRIM(Respostas_Brutas!T410),"R$",""),".",""),",","."))),0))/IFERROR(VALUE(TRIM(SUBSTITUTE(SUBSTITUTE(SUBSTITUTE(TRIM(Respostas_Brutas!AS410),"R$",""),".",""),",","."))),0)),""))</f>
        <v/>
      </c>
      <c r="C410" s="4" t="str">
        <f>IF(Respostas_Brutas!B410="","",MIN(1,(IFERROR(VALUE(LEFT(Respostas_Brutas!I410,IFERROR(FIND(" ",Respostas_Brutas!I410)-1,LEN(Respostas_Brutas!I410)))),0)+IFERROR(VALUE(LEFT(Respostas_Brutas!O410,IFERROR(FIND(" ",Respostas_Brutas!O410)-1,LEN(Respostas_Brutas!O410)))),0))/20))</f>
        <v/>
      </c>
      <c r="D410" s="4" t="str">
        <f>IF(Respostas_Brutas!B410="","",IF(Respostas_Brutas!D410="","",MIN(1,MAX(0,(YEAR(TODAY())-N(Respostas_Brutas!D410))/15))))</f>
        <v/>
      </c>
      <c r="E410" s="4" t="str">
        <f>IF(Respostas_Brutas!B410="","",IF(ISNUMBER(SEARCH("Sim",Respostas_Brutas!S410)),1,0))</f>
        <v/>
      </c>
      <c r="F410" s="4" t="str">
        <f>IF(Respostas_Brutas!B410="","",IFERROR(N(Respostas_Brutas!Y410)/N(Respostas_Brutas!Z410),""))</f>
        <v/>
      </c>
      <c r="G410" s="4" t="str">
        <f>IF(Respostas_Brutas!B410="","",IF(Respostas_Brutas!K410&lt;&gt;"",1,0))</f>
        <v/>
      </c>
      <c r="H410" s="4" t="str">
        <f>IF(Respostas_Brutas!B410="","",IF(ISNUMBER(SEARCH("Não",Respostas_Brutas!AH410)),1,0))</f>
        <v/>
      </c>
      <c r="I410" s="4" t="str">
        <f>IF(Respostas_Brutas!B410="","",IF(ISNUMBER(SEARCH("Sim",Respostas_Brutas!AL410)),1,0))</f>
        <v/>
      </c>
      <c r="J410" s="4" t="str">
        <f>IF(Respostas_Brutas!B410="","",IF(Respostas_Brutas!AN410="","",MIN(1,MAX(0,(N(Respostas_Brutas!AN410)-1)/4))))</f>
        <v/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tr">
        <f>IF(Respostas_Brutas!B411="","",Respostas_Brutas!B411)</f>
        <v/>
      </c>
      <c r="B411" s="4" t="str">
        <f>IF(Respostas_Brutas!B411="","",IFERROR(IF(IFERROR(VALUE(TRIM(SUBSTITUTE(SUBSTITUTE(SUBSTITUTE(TRIM(Respostas_Brutas!AS411),"R$",""),".",""),",","."))),0)=0,"",(IFERROR(VALUE(TRIM(SUBSTITUTE(SUBSTITUTE(SUBSTITUTE(TRIM(Respostas_Brutas!AS411),"R$",""),".",""),",","."))),0)-IFERROR(VALUE(TRIM(SUBSTITUTE(SUBSTITUTE(SUBSTITUTE(TRIM(Respostas_Brutas!T411),"R$",""),".",""),",","."))),0))/IFERROR(VALUE(TRIM(SUBSTITUTE(SUBSTITUTE(SUBSTITUTE(TRIM(Respostas_Brutas!AS411),"R$",""),".",""),",","."))),0)),""))</f>
        <v/>
      </c>
      <c r="C411" s="4" t="str">
        <f>IF(Respostas_Brutas!B411="","",MIN(1,(IFERROR(VALUE(LEFT(Respostas_Brutas!I411,IFERROR(FIND(" ",Respostas_Brutas!I411)-1,LEN(Respostas_Brutas!I411)))),0)+IFERROR(VALUE(LEFT(Respostas_Brutas!O411,IFERROR(FIND(" ",Respostas_Brutas!O411)-1,LEN(Respostas_Brutas!O411)))),0))/20))</f>
        <v/>
      </c>
      <c r="D411" s="4" t="str">
        <f>IF(Respostas_Brutas!B411="","",IF(Respostas_Brutas!D411="","",MIN(1,MAX(0,(YEAR(TODAY())-N(Respostas_Brutas!D411))/15))))</f>
        <v/>
      </c>
      <c r="E411" s="4" t="str">
        <f>IF(Respostas_Brutas!B411="","",IF(ISNUMBER(SEARCH("Sim",Respostas_Brutas!S411)),1,0))</f>
        <v/>
      </c>
      <c r="F411" s="4" t="str">
        <f>IF(Respostas_Brutas!B411="","",IFERROR(N(Respostas_Brutas!Y411)/N(Respostas_Brutas!Z411),""))</f>
        <v/>
      </c>
      <c r="G411" s="4" t="str">
        <f>IF(Respostas_Brutas!B411="","",IF(Respostas_Brutas!K411&lt;&gt;"",1,0))</f>
        <v/>
      </c>
      <c r="H411" s="4" t="str">
        <f>IF(Respostas_Brutas!B411="","",IF(ISNUMBER(SEARCH("Não",Respostas_Brutas!AH411)),1,0))</f>
        <v/>
      </c>
      <c r="I411" s="4" t="str">
        <f>IF(Respostas_Brutas!B411="","",IF(ISNUMBER(SEARCH("Sim",Respostas_Brutas!AL411)),1,0))</f>
        <v/>
      </c>
      <c r="J411" s="4" t="str">
        <f>IF(Respostas_Brutas!B411="","",IF(Respostas_Brutas!AN411="","",MIN(1,MAX(0,(N(Respostas_Brutas!AN411)-1)/4))))</f>
        <v/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tr">
        <f>IF(Respostas_Brutas!B412="","",Respostas_Brutas!B412)</f>
        <v/>
      </c>
      <c r="B412" s="4" t="str">
        <f>IF(Respostas_Brutas!B412="","",IFERROR(IF(IFERROR(VALUE(TRIM(SUBSTITUTE(SUBSTITUTE(SUBSTITUTE(TRIM(Respostas_Brutas!AS412),"R$",""),".",""),",","."))),0)=0,"",(IFERROR(VALUE(TRIM(SUBSTITUTE(SUBSTITUTE(SUBSTITUTE(TRIM(Respostas_Brutas!AS412),"R$",""),".",""),",","."))),0)-IFERROR(VALUE(TRIM(SUBSTITUTE(SUBSTITUTE(SUBSTITUTE(TRIM(Respostas_Brutas!T412),"R$",""),".",""),",","."))),0))/IFERROR(VALUE(TRIM(SUBSTITUTE(SUBSTITUTE(SUBSTITUTE(TRIM(Respostas_Brutas!AS412),"R$",""),".",""),",","."))),0)),""))</f>
        <v/>
      </c>
      <c r="C412" s="4" t="str">
        <f>IF(Respostas_Brutas!B412="","",MIN(1,(IFERROR(VALUE(LEFT(Respostas_Brutas!I412,IFERROR(FIND(" ",Respostas_Brutas!I412)-1,LEN(Respostas_Brutas!I412)))),0)+IFERROR(VALUE(LEFT(Respostas_Brutas!O412,IFERROR(FIND(" ",Respostas_Brutas!O412)-1,LEN(Respostas_Brutas!O412)))),0))/20))</f>
        <v/>
      </c>
      <c r="D412" s="4" t="str">
        <f>IF(Respostas_Brutas!B412="","",IF(Respostas_Brutas!D412="","",MIN(1,MAX(0,(YEAR(TODAY())-N(Respostas_Brutas!D412))/15))))</f>
        <v/>
      </c>
      <c r="E412" s="4" t="str">
        <f>IF(Respostas_Brutas!B412="","",IF(ISNUMBER(SEARCH("Sim",Respostas_Brutas!S412)),1,0))</f>
        <v/>
      </c>
      <c r="F412" s="4" t="str">
        <f>IF(Respostas_Brutas!B412="","",IFERROR(N(Respostas_Brutas!Y412)/N(Respostas_Brutas!Z412),""))</f>
        <v/>
      </c>
      <c r="G412" s="4" t="str">
        <f>IF(Respostas_Brutas!B412="","",IF(Respostas_Brutas!K412&lt;&gt;"",1,0))</f>
        <v/>
      </c>
      <c r="H412" s="4" t="str">
        <f>IF(Respostas_Brutas!B412="","",IF(ISNUMBER(SEARCH("Não",Respostas_Brutas!AH412)),1,0))</f>
        <v/>
      </c>
      <c r="I412" s="4" t="str">
        <f>IF(Respostas_Brutas!B412="","",IF(ISNUMBER(SEARCH("Sim",Respostas_Brutas!AL412)),1,0))</f>
        <v/>
      </c>
      <c r="J412" s="4" t="str">
        <f>IF(Respostas_Brutas!B412="","",IF(Respostas_Brutas!AN412="","",MIN(1,MAX(0,(N(Respostas_Brutas!AN412)-1)/4))))</f>
        <v/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tr">
        <f>IF(Respostas_Brutas!B413="","",Respostas_Brutas!B413)</f>
        <v/>
      </c>
      <c r="B413" s="4" t="str">
        <f>IF(Respostas_Brutas!B413="","",IFERROR(IF(IFERROR(VALUE(TRIM(SUBSTITUTE(SUBSTITUTE(SUBSTITUTE(TRIM(Respostas_Brutas!AS413),"R$",""),".",""),",","."))),0)=0,"",(IFERROR(VALUE(TRIM(SUBSTITUTE(SUBSTITUTE(SUBSTITUTE(TRIM(Respostas_Brutas!AS413),"R$",""),".",""),",","."))),0)-IFERROR(VALUE(TRIM(SUBSTITUTE(SUBSTITUTE(SUBSTITUTE(TRIM(Respostas_Brutas!T413),"R$",""),".",""),",","."))),0))/IFERROR(VALUE(TRIM(SUBSTITUTE(SUBSTITUTE(SUBSTITUTE(TRIM(Respostas_Brutas!AS413),"R$",""),".",""),",","."))),0)),""))</f>
        <v/>
      </c>
      <c r="C413" s="4" t="str">
        <f>IF(Respostas_Brutas!B413="","",MIN(1,(IFERROR(VALUE(LEFT(Respostas_Brutas!I413,IFERROR(FIND(" ",Respostas_Brutas!I413)-1,LEN(Respostas_Brutas!I413)))),0)+IFERROR(VALUE(LEFT(Respostas_Brutas!O413,IFERROR(FIND(" ",Respostas_Brutas!O413)-1,LEN(Respostas_Brutas!O413)))),0))/20))</f>
        <v/>
      </c>
      <c r="D413" s="4" t="str">
        <f>IF(Respostas_Brutas!B413="","",IF(Respostas_Brutas!D413="","",MIN(1,MAX(0,(YEAR(TODAY())-N(Respostas_Brutas!D413))/15))))</f>
        <v/>
      </c>
      <c r="E413" s="4" t="str">
        <f>IF(Respostas_Brutas!B413="","",IF(ISNUMBER(SEARCH("Sim",Respostas_Brutas!S413)),1,0))</f>
        <v/>
      </c>
      <c r="F413" s="4" t="str">
        <f>IF(Respostas_Brutas!B413="","",IFERROR(N(Respostas_Brutas!Y413)/N(Respostas_Brutas!Z413),""))</f>
        <v/>
      </c>
      <c r="G413" s="4" t="str">
        <f>IF(Respostas_Brutas!B413="","",IF(Respostas_Brutas!K413&lt;&gt;"",1,0))</f>
        <v/>
      </c>
      <c r="H413" s="4" t="str">
        <f>IF(Respostas_Brutas!B413="","",IF(ISNUMBER(SEARCH("Não",Respostas_Brutas!AH413)),1,0))</f>
        <v/>
      </c>
      <c r="I413" s="4" t="str">
        <f>IF(Respostas_Brutas!B413="","",IF(ISNUMBER(SEARCH("Sim",Respostas_Brutas!AL413)),1,0))</f>
        <v/>
      </c>
      <c r="J413" s="4" t="str">
        <f>IF(Respostas_Brutas!B413="","",IF(Respostas_Brutas!AN413="","",MIN(1,MAX(0,(N(Respostas_Brutas!AN413)-1)/4))))</f>
        <v/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tr">
        <f>IF(Respostas_Brutas!B414="","",Respostas_Brutas!B414)</f>
        <v/>
      </c>
      <c r="B414" s="4" t="str">
        <f>IF(Respostas_Brutas!B414="","",IFERROR(IF(IFERROR(VALUE(TRIM(SUBSTITUTE(SUBSTITUTE(SUBSTITUTE(TRIM(Respostas_Brutas!AS414),"R$",""),".",""),",","."))),0)=0,"",(IFERROR(VALUE(TRIM(SUBSTITUTE(SUBSTITUTE(SUBSTITUTE(TRIM(Respostas_Brutas!AS414),"R$",""),".",""),",","."))),0)-IFERROR(VALUE(TRIM(SUBSTITUTE(SUBSTITUTE(SUBSTITUTE(TRIM(Respostas_Brutas!T414),"R$",""),".",""),",","."))),0))/IFERROR(VALUE(TRIM(SUBSTITUTE(SUBSTITUTE(SUBSTITUTE(TRIM(Respostas_Brutas!AS414),"R$",""),".",""),",","."))),0)),""))</f>
        <v/>
      </c>
      <c r="C414" s="4" t="str">
        <f>IF(Respostas_Brutas!B414="","",MIN(1,(IFERROR(VALUE(LEFT(Respostas_Brutas!I414,IFERROR(FIND(" ",Respostas_Brutas!I414)-1,LEN(Respostas_Brutas!I414)))),0)+IFERROR(VALUE(LEFT(Respostas_Brutas!O414,IFERROR(FIND(" ",Respostas_Brutas!O414)-1,LEN(Respostas_Brutas!O414)))),0))/20))</f>
        <v/>
      </c>
      <c r="D414" s="4" t="str">
        <f>IF(Respostas_Brutas!B414="","",IF(Respostas_Brutas!D414="","",MIN(1,MAX(0,(YEAR(TODAY())-N(Respostas_Brutas!D414))/15))))</f>
        <v/>
      </c>
      <c r="E414" s="4" t="str">
        <f>IF(Respostas_Brutas!B414="","",IF(ISNUMBER(SEARCH("Sim",Respostas_Brutas!S414)),1,0))</f>
        <v/>
      </c>
      <c r="F414" s="4" t="str">
        <f>IF(Respostas_Brutas!B414="","",IFERROR(N(Respostas_Brutas!Y414)/N(Respostas_Brutas!Z414),""))</f>
        <v/>
      </c>
      <c r="G414" s="4" t="str">
        <f>IF(Respostas_Brutas!B414="","",IF(Respostas_Brutas!K414&lt;&gt;"",1,0))</f>
        <v/>
      </c>
      <c r="H414" s="4" t="str">
        <f>IF(Respostas_Brutas!B414="","",IF(ISNUMBER(SEARCH("Não",Respostas_Brutas!AH414)),1,0))</f>
        <v/>
      </c>
      <c r="I414" s="4" t="str">
        <f>IF(Respostas_Brutas!B414="","",IF(ISNUMBER(SEARCH("Sim",Respostas_Brutas!AL414)),1,0))</f>
        <v/>
      </c>
      <c r="J414" s="4" t="str">
        <f>IF(Respostas_Brutas!B414="","",IF(Respostas_Brutas!AN414="","",MIN(1,MAX(0,(N(Respostas_Brutas!AN414)-1)/4))))</f>
        <v/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tr">
        <f>IF(Respostas_Brutas!B415="","",Respostas_Brutas!B415)</f>
        <v/>
      </c>
      <c r="B415" s="4" t="str">
        <f>IF(Respostas_Brutas!B415="","",IFERROR(IF(IFERROR(VALUE(TRIM(SUBSTITUTE(SUBSTITUTE(SUBSTITUTE(TRIM(Respostas_Brutas!AS415),"R$",""),".",""),",","."))),0)=0,"",(IFERROR(VALUE(TRIM(SUBSTITUTE(SUBSTITUTE(SUBSTITUTE(TRIM(Respostas_Brutas!AS415),"R$",""),".",""),",","."))),0)-IFERROR(VALUE(TRIM(SUBSTITUTE(SUBSTITUTE(SUBSTITUTE(TRIM(Respostas_Brutas!T415),"R$",""),".",""),",","."))),0))/IFERROR(VALUE(TRIM(SUBSTITUTE(SUBSTITUTE(SUBSTITUTE(TRIM(Respostas_Brutas!AS415),"R$",""),".",""),",","."))),0)),""))</f>
        <v/>
      </c>
      <c r="C415" s="4" t="str">
        <f>IF(Respostas_Brutas!B415="","",MIN(1,(IFERROR(VALUE(LEFT(Respostas_Brutas!I415,IFERROR(FIND(" ",Respostas_Brutas!I415)-1,LEN(Respostas_Brutas!I415)))),0)+IFERROR(VALUE(LEFT(Respostas_Brutas!O415,IFERROR(FIND(" ",Respostas_Brutas!O415)-1,LEN(Respostas_Brutas!O415)))),0))/20))</f>
        <v/>
      </c>
      <c r="D415" s="4" t="str">
        <f>IF(Respostas_Brutas!B415="","",IF(Respostas_Brutas!D415="","",MIN(1,MAX(0,(YEAR(TODAY())-N(Respostas_Brutas!D415))/15))))</f>
        <v/>
      </c>
      <c r="E415" s="4" t="str">
        <f>IF(Respostas_Brutas!B415="","",IF(ISNUMBER(SEARCH("Sim",Respostas_Brutas!S415)),1,0))</f>
        <v/>
      </c>
      <c r="F415" s="4" t="str">
        <f>IF(Respostas_Brutas!B415="","",IFERROR(N(Respostas_Brutas!Y415)/N(Respostas_Brutas!Z415),""))</f>
        <v/>
      </c>
      <c r="G415" s="4" t="str">
        <f>IF(Respostas_Brutas!B415="","",IF(Respostas_Brutas!K415&lt;&gt;"",1,0))</f>
        <v/>
      </c>
      <c r="H415" s="4" t="str">
        <f>IF(Respostas_Brutas!B415="","",IF(ISNUMBER(SEARCH("Não",Respostas_Brutas!AH415)),1,0))</f>
        <v/>
      </c>
      <c r="I415" s="4" t="str">
        <f>IF(Respostas_Brutas!B415="","",IF(ISNUMBER(SEARCH("Sim",Respostas_Brutas!AL415)),1,0))</f>
        <v/>
      </c>
      <c r="J415" s="4" t="str">
        <f>IF(Respostas_Brutas!B415="","",IF(Respostas_Brutas!AN415="","",MIN(1,MAX(0,(N(Respostas_Brutas!AN415)-1)/4))))</f>
        <v/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tr">
        <f>IF(Respostas_Brutas!B416="","",Respostas_Brutas!B416)</f>
        <v/>
      </c>
      <c r="B416" s="4" t="str">
        <f>IF(Respostas_Brutas!B416="","",IFERROR(IF(IFERROR(VALUE(TRIM(SUBSTITUTE(SUBSTITUTE(SUBSTITUTE(TRIM(Respostas_Brutas!AS416),"R$",""),".",""),",","."))),0)=0,"",(IFERROR(VALUE(TRIM(SUBSTITUTE(SUBSTITUTE(SUBSTITUTE(TRIM(Respostas_Brutas!AS416),"R$",""),".",""),",","."))),0)-IFERROR(VALUE(TRIM(SUBSTITUTE(SUBSTITUTE(SUBSTITUTE(TRIM(Respostas_Brutas!T416),"R$",""),".",""),",","."))),0))/IFERROR(VALUE(TRIM(SUBSTITUTE(SUBSTITUTE(SUBSTITUTE(TRIM(Respostas_Brutas!AS416),"R$",""),".",""),",","."))),0)),""))</f>
        <v/>
      </c>
      <c r="C416" s="4" t="str">
        <f>IF(Respostas_Brutas!B416="","",MIN(1,(IFERROR(VALUE(LEFT(Respostas_Brutas!I416,IFERROR(FIND(" ",Respostas_Brutas!I416)-1,LEN(Respostas_Brutas!I416)))),0)+IFERROR(VALUE(LEFT(Respostas_Brutas!O416,IFERROR(FIND(" ",Respostas_Brutas!O416)-1,LEN(Respostas_Brutas!O416)))),0))/20))</f>
        <v/>
      </c>
      <c r="D416" s="4" t="str">
        <f>IF(Respostas_Brutas!B416="","",IF(Respostas_Brutas!D416="","",MIN(1,MAX(0,(YEAR(TODAY())-N(Respostas_Brutas!D416))/15))))</f>
        <v/>
      </c>
      <c r="E416" s="4" t="str">
        <f>IF(Respostas_Brutas!B416="","",IF(ISNUMBER(SEARCH("Sim",Respostas_Brutas!S416)),1,0))</f>
        <v/>
      </c>
      <c r="F416" s="4" t="str">
        <f>IF(Respostas_Brutas!B416="","",IFERROR(N(Respostas_Brutas!Y416)/N(Respostas_Brutas!Z416),""))</f>
        <v/>
      </c>
      <c r="G416" s="4" t="str">
        <f>IF(Respostas_Brutas!B416="","",IF(Respostas_Brutas!K416&lt;&gt;"",1,0))</f>
        <v/>
      </c>
      <c r="H416" s="4" t="str">
        <f>IF(Respostas_Brutas!B416="","",IF(ISNUMBER(SEARCH("Não",Respostas_Brutas!AH416)),1,0))</f>
        <v/>
      </c>
      <c r="I416" s="4" t="str">
        <f>IF(Respostas_Brutas!B416="","",IF(ISNUMBER(SEARCH("Sim",Respostas_Brutas!AL416)),1,0))</f>
        <v/>
      </c>
      <c r="J416" s="4" t="str">
        <f>IF(Respostas_Brutas!B416="","",IF(Respostas_Brutas!AN416="","",MIN(1,MAX(0,(N(Respostas_Brutas!AN416)-1)/4))))</f>
        <v/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tr">
        <f>IF(Respostas_Brutas!B417="","",Respostas_Brutas!B417)</f>
        <v/>
      </c>
      <c r="B417" s="4" t="str">
        <f>IF(Respostas_Brutas!B417="","",IFERROR(IF(IFERROR(VALUE(TRIM(SUBSTITUTE(SUBSTITUTE(SUBSTITUTE(TRIM(Respostas_Brutas!AS417),"R$",""),".",""),",","."))),0)=0,"",(IFERROR(VALUE(TRIM(SUBSTITUTE(SUBSTITUTE(SUBSTITUTE(TRIM(Respostas_Brutas!AS417),"R$",""),".",""),",","."))),0)-IFERROR(VALUE(TRIM(SUBSTITUTE(SUBSTITUTE(SUBSTITUTE(TRIM(Respostas_Brutas!T417),"R$",""),".",""),",","."))),0))/IFERROR(VALUE(TRIM(SUBSTITUTE(SUBSTITUTE(SUBSTITUTE(TRIM(Respostas_Brutas!AS417),"R$",""),".",""),",","."))),0)),""))</f>
        <v/>
      </c>
      <c r="C417" s="4" t="str">
        <f>IF(Respostas_Brutas!B417="","",MIN(1,(IFERROR(VALUE(LEFT(Respostas_Brutas!I417,IFERROR(FIND(" ",Respostas_Brutas!I417)-1,LEN(Respostas_Brutas!I417)))),0)+IFERROR(VALUE(LEFT(Respostas_Brutas!O417,IFERROR(FIND(" ",Respostas_Brutas!O417)-1,LEN(Respostas_Brutas!O417)))),0))/20))</f>
        <v/>
      </c>
      <c r="D417" s="4" t="str">
        <f>IF(Respostas_Brutas!B417="","",IF(Respostas_Brutas!D417="","",MIN(1,MAX(0,(YEAR(TODAY())-N(Respostas_Brutas!D417))/15))))</f>
        <v/>
      </c>
      <c r="E417" s="4" t="str">
        <f>IF(Respostas_Brutas!B417="","",IF(ISNUMBER(SEARCH("Sim",Respostas_Brutas!S417)),1,0))</f>
        <v/>
      </c>
      <c r="F417" s="4" t="str">
        <f>IF(Respostas_Brutas!B417="","",IFERROR(N(Respostas_Brutas!Y417)/N(Respostas_Brutas!Z417),""))</f>
        <v/>
      </c>
      <c r="G417" s="4" t="str">
        <f>IF(Respostas_Brutas!B417="","",IF(Respostas_Brutas!K417&lt;&gt;"",1,0))</f>
        <v/>
      </c>
      <c r="H417" s="4" t="str">
        <f>IF(Respostas_Brutas!B417="","",IF(ISNUMBER(SEARCH("Não",Respostas_Brutas!AH417)),1,0))</f>
        <v/>
      </c>
      <c r="I417" s="4" t="str">
        <f>IF(Respostas_Brutas!B417="","",IF(ISNUMBER(SEARCH("Sim",Respostas_Brutas!AL417)),1,0))</f>
        <v/>
      </c>
      <c r="J417" s="4" t="str">
        <f>IF(Respostas_Brutas!B417="","",IF(Respostas_Brutas!AN417="","",MIN(1,MAX(0,(N(Respostas_Brutas!AN417)-1)/4))))</f>
        <v/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tr">
        <f>IF(Respostas_Brutas!B418="","",Respostas_Brutas!B418)</f>
        <v/>
      </c>
      <c r="B418" s="4" t="str">
        <f>IF(Respostas_Brutas!B418="","",IFERROR(IF(IFERROR(VALUE(TRIM(SUBSTITUTE(SUBSTITUTE(SUBSTITUTE(TRIM(Respostas_Brutas!AS418),"R$",""),".",""),",","."))),0)=0,"",(IFERROR(VALUE(TRIM(SUBSTITUTE(SUBSTITUTE(SUBSTITUTE(TRIM(Respostas_Brutas!AS418),"R$",""),".",""),",","."))),0)-IFERROR(VALUE(TRIM(SUBSTITUTE(SUBSTITUTE(SUBSTITUTE(TRIM(Respostas_Brutas!T418),"R$",""),".",""),",","."))),0))/IFERROR(VALUE(TRIM(SUBSTITUTE(SUBSTITUTE(SUBSTITUTE(TRIM(Respostas_Brutas!AS418),"R$",""),".",""),",","."))),0)),""))</f>
        <v/>
      </c>
      <c r="C418" s="4" t="str">
        <f>IF(Respostas_Brutas!B418="","",MIN(1,(IFERROR(VALUE(LEFT(Respostas_Brutas!I418,IFERROR(FIND(" ",Respostas_Brutas!I418)-1,LEN(Respostas_Brutas!I418)))),0)+IFERROR(VALUE(LEFT(Respostas_Brutas!O418,IFERROR(FIND(" ",Respostas_Brutas!O418)-1,LEN(Respostas_Brutas!O418)))),0))/20))</f>
        <v/>
      </c>
      <c r="D418" s="4" t="str">
        <f>IF(Respostas_Brutas!B418="","",IF(Respostas_Brutas!D418="","",MIN(1,MAX(0,(YEAR(TODAY())-N(Respostas_Brutas!D418))/15))))</f>
        <v/>
      </c>
      <c r="E418" s="4" t="str">
        <f>IF(Respostas_Brutas!B418="","",IF(ISNUMBER(SEARCH("Sim",Respostas_Brutas!S418)),1,0))</f>
        <v/>
      </c>
      <c r="F418" s="4" t="str">
        <f>IF(Respostas_Brutas!B418="","",IFERROR(N(Respostas_Brutas!Y418)/N(Respostas_Brutas!Z418),""))</f>
        <v/>
      </c>
      <c r="G418" s="4" t="str">
        <f>IF(Respostas_Brutas!B418="","",IF(Respostas_Brutas!K418&lt;&gt;"",1,0))</f>
        <v/>
      </c>
      <c r="H418" s="4" t="str">
        <f>IF(Respostas_Brutas!B418="","",IF(ISNUMBER(SEARCH("Não",Respostas_Brutas!AH418)),1,0))</f>
        <v/>
      </c>
      <c r="I418" s="4" t="str">
        <f>IF(Respostas_Brutas!B418="","",IF(ISNUMBER(SEARCH("Sim",Respostas_Brutas!AL418)),1,0))</f>
        <v/>
      </c>
      <c r="J418" s="4" t="str">
        <f>IF(Respostas_Brutas!B418="","",IF(Respostas_Brutas!AN418="","",MIN(1,MAX(0,(N(Respostas_Brutas!AN418)-1)/4))))</f>
        <v/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tr">
        <f>IF(Respostas_Brutas!B419="","",Respostas_Brutas!B419)</f>
        <v/>
      </c>
      <c r="B419" s="4" t="str">
        <f>IF(Respostas_Brutas!B419="","",IFERROR(IF(IFERROR(VALUE(TRIM(SUBSTITUTE(SUBSTITUTE(SUBSTITUTE(TRIM(Respostas_Brutas!AS419),"R$",""),".",""),",","."))),0)=0,"",(IFERROR(VALUE(TRIM(SUBSTITUTE(SUBSTITUTE(SUBSTITUTE(TRIM(Respostas_Brutas!AS419),"R$",""),".",""),",","."))),0)-IFERROR(VALUE(TRIM(SUBSTITUTE(SUBSTITUTE(SUBSTITUTE(TRIM(Respostas_Brutas!T419),"R$",""),".",""),",","."))),0))/IFERROR(VALUE(TRIM(SUBSTITUTE(SUBSTITUTE(SUBSTITUTE(TRIM(Respostas_Brutas!AS419),"R$",""),".",""),",","."))),0)),""))</f>
        <v/>
      </c>
      <c r="C419" s="4" t="str">
        <f>IF(Respostas_Brutas!B419="","",MIN(1,(IFERROR(VALUE(LEFT(Respostas_Brutas!I419,IFERROR(FIND(" ",Respostas_Brutas!I419)-1,LEN(Respostas_Brutas!I419)))),0)+IFERROR(VALUE(LEFT(Respostas_Brutas!O419,IFERROR(FIND(" ",Respostas_Brutas!O419)-1,LEN(Respostas_Brutas!O419)))),0))/20))</f>
        <v/>
      </c>
      <c r="D419" s="4" t="str">
        <f>IF(Respostas_Brutas!B419="","",IF(Respostas_Brutas!D419="","",MIN(1,MAX(0,(YEAR(TODAY())-N(Respostas_Brutas!D419))/15))))</f>
        <v/>
      </c>
      <c r="E419" s="4" t="str">
        <f>IF(Respostas_Brutas!B419="","",IF(ISNUMBER(SEARCH("Sim",Respostas_Brutas!S419)),1,0))</f>
        <v/>
      </c>
      <c r="F419" s="4" t="str">
        <f>IF(Respostas_Brutas!B419="","",IFERROR(N(Respostas_Brutas!Y419)/N(Respostas_Brutas!Z419),""))</f>
        <v/>
      </c>
      <c r="G419" s="4" t="str">
        <f>IF(Respostas_Brutas!B419="","",IF(Respostas_Brutas!K419&lt;&gt;"",1,0))</f>
        <v/>
      </c>
      <c r="H419" s="4" t="str">
        <f>IF(Respostas_Brutas!B419="","",IF(ISNUMBER(SEARCH("Não",Respostas_Brutas!AH419)),1,0))</f>
        <v/>
      </c>
      <c r="I419" s="4" t="str">
        <f>IF(Respostas_Brutas!B419="","",IF(ISNUMBER(SEARCH("Sim",Respostas_Brutas!AL419)),1,0))</f>
        <v/>
      </c>
      <c r="J419" s="4" t="str">
        <f>IF(Respostas_Brutas!B419="","",IF(Respostas_Brutas!AN419="","",MIN(1,MAX(0,(N(Respostas_Brutas!AN419)-1)/4))))</f>
        <v/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tr">
        <f>IF(Respostas_Brutas!B420="","",Respostas_Brutas!B420)</f>
        <v/>
      </c>
      <c r="B420" s="4" t="str">
        <f>IF(Respostas_Brutas!B420="","",IFERROR(IF(IFERROR(VALUE(TRIM(SUBSTITUTE(SUBSTITUTE(SUBSTITUTE(TRIM(Respostas_Brutas!AS420),"R$",""),".",""),",","."))),0)=0,"",(IFERROR(VALUE(TRIM(SUBSTITUTE(SUBSTITUTE(SUBSTITUTE(TRIM(Respostas_Brutas!AS420),"R$",""),".",""),",","."))),0)-IFERROR(VALUE(TRIM(SUBSTITUTE(SUBSTITUTE(SUBSTITUTE(TRIM(Respostas_Brutas!T420),"R$",""),".",""),",","."))),0))/IFERROR(VALUE(TRIM(SUBSTITUTE(SUBSTITUTE(SUBSTITUTE(TRIM(Respostas_Brutas!AS420),"R$",""),".",""),",","."))),0)),""))</f>
        <v/>
      </c>
      <c r="C420" s="4" t="str">
        <f>IF(Respostas_Brutas!B420="","",MIN(1,(IFERROR(VALUE(LEFT(Respostas_Brutas!I420,IFERROR(FIND(" ",Respostas_Brutas!I420)-1,LEN(Respostas_Brutas!I420)))),0)+IFERROR(VALUE(LEFT(Respostas_Brutas!O420,IFERROR(FIND(" ",Respostas_Brutas!O420)-1,LEN(Respostas_Brutas!O420)))),0))/20))</f>
        <v/>
      </c>
      <c r="D420" s="4" t="str">
        <f>IF(Respostas_Brutas!B420="","",IF(Respostas_Brutas!D420="","",MIN(1,MAX(0,(YEAR(TODAY())-N(Respostas_Brutas!D420))/15))))</f>
        <v/>
      </c>
      <c r="E420" s="4" t="str">
        <f>IF(Respostas_Brutas!B420="","",IF(ISNUMBER(SEARCH("Sim",Respostas_Brutas!S420)),1,0))</f>
        <v/>
      </c>
      <c r="F420" s="4" t="str">
        <f>IF(Respostas_Brutas!B420="","",IFERROR(N(Respostas_Brutas!Y420)/N(Respostas_Brutas!Z420),""))</f>
        <v/>
      </c>
      <c r="G420" s="4" t="str">
        <f>IF(Respostas_Brutas!B420="","",IF(Respostas_Brutas!K420&lt;&gt;"",1,0))</f>
        <v/>
      </c>
      <c r="H420" s="4" t="str">
        <f>IF(Respostas_Brutas!B420="","",IF(ISNUMBER(SEARCH("Não",Respostas_Brutas!AH420)),1,0))</f>
        <v/>
      </c>
      <c r="I420" s="4" t="str">
        <f>IF(Respostas_Brutas!B420="","",IF(ISNUMBER(SEARCH("Sim",Respostas_Brutas!AL420)),1,0))</f>
        <v/>
      </c>
      <c r="J420" s="4" t="str">
        <f>IF(Respostas_Brutas!B420="","",IF(Respostas_Brutas!AN420="","",MIN(1,MAX(0,(N(Respostas_Brutas!AN420)-1)/4))))</f>
        <v/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tr">
        <f>IF(Respostas_Brutas!B421="","",Respostas_Brutas!B421)</f>
        <v/>
      </c>
      <c r="B421" s="4" t="str">
        <f>IF(Respostas_Brutas!B421="","",IFERROR(IF(IFERROR(VALUE(TRIM(SUBSTITUTE(SUBSTITUTE(SUBSTITUTE(TRIM(Respostas_Brutas!AS421),"R$",""),".",""),",","."))),0)=0,"",(IFERROR(VALUE(TRIM(SUBSTITUTE(SUBSTITUTE(SUBSTITUTE(TRIM(Respostas_Brutas!AS421),"R$",""),".",""),",","."))),0)-IFERROR(VALUE(TRIM(SUBSTITUTE(SUBSTITUTE(SUBSTITUTE(TRIM(Respostas_Brutas!T421),"R$",""),".",""),",","."))),0))/IFERROR(VALUE(TRIM(SUBSTITUTE(SUBSTITUTE(SUBSTITUTE(TRIM(Respostas_Brutas!AS421),"R$",""),".",""),",","."))),0)),""))</f>
        <v/>
      </c>
      <c r="C421" s="4" t="str">
        <f>IF(Respostas_Brutas!B421="","",MIN(1,(IFERROR(VALUE(LEFT(Respostas_Brutas!I421,IFERROR(FIND(" ",Respostas_Brutas!I421)-1,LEN(Respostas_Brutas!I421)))),0)+IFERROR(VALUE(LEFT(Respostas_Brutas!O421,IFERROR(FIND(" ",Respostas_Brutas!O421)-1,LEN(Respostas_Brutas!O421)))),0))/20))</f>
        <v/>
      </c>
      <c r="D421" s="4" t="str">
        <f>IF(Respostas_Brutas!B421="","",IF(Respostas_Brutas!D421="","",MIN(1,MAX(0,(YEAR(TODAY())-N(Respostas_Brutas!D421))/15))))</f>
        <v/>
      </c>
      <c r="E421" s="4" t="str">
        <f>IF(Respostas_Brutas!B421="","",IF(ISNUMBER(SEARCH("Sim",Respostas_Brutas!S421)),1,0))</f>
        <v/>
      </c>
      <c r="F421" s="4" t="str">
        <f>IF(Respostas_Brutas!B421="","",IFERROR(N(Respostas_Brutas!Y421)/N(Respostas_Brutas!Z421),""))</f>
        <v/>
      </c>
      <c r="G421" s="4" t="str">
        <f>IF(Respostas_Brutas!B421="","",IF(Respostas_Brutas!K421&lt;&gt;"",1,0))</f>
        <v/>
      </c>
      <c r="H421" s="4" t="str">
        <f>IF(Respostas_Brutas!B421="","",IF(ISNUMBER(SEARCH("Não",Respostas_Brutas!AH421)),1,0))</f>
        <v/>
      </c>
      <c r="I421" s="4" t="str">
        <f>IF(Respostas_Brutas!B421="","",IF(ISNUMBER(SEARCH("Sim",Respostas_Brutas!AL421)),1,0))</f>
        <v/>
      </c>
      <c r="J421" s="4" t="str">
        <f>IF(Respostas_Brutas!B421="","",IF(Respostas_Brutas!AN421="","",MIN(1,MAX(0,(N(Respostas_Brutas!AN421)-1)/4))))</f>
        <v/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tr">
        <f>IF(Respostas_Brutas!B422="","",Respostas_Brutas!B422)</f>
        <v/>
      </c>
      <c r="B422" s="4" t="str">
        <f>IF(Respostas_Brutas!B422="","",IFERROR(IF(IFERROR(VALUE(TRIM(SUBSTITUTE(SUBSTITUTE(SUBSTITUTE(TRIM(Respostas_Brutas!AS422),"R$",""),".",""),",","."))),0)=0,"",(IFERROR(VALUE(TRIM(SUBSTITUTE(SUBSTITUTE(SUBSTITUTE(TRIM(Respostas_Brutas!AS422),"R$",""),".",""),",","."))),0)-IFERROR(VALUE(TRIM(SUBSTITUTE(SUBSTITUTE(SUBSTITUTE(TRIM(Respostas_Brutas!T422),"R$",""),".",""),",","."))),0))/IFERROR(VALUE(TRIM(SUBSTITUTE(SUBSTITUTE(SUBSTITUTE(TRIM(Respostas_Brutas!AS422),"R$",""),".",""),",","."))),0)),""))</f>
        <v/>
      </c>
      <c r="C422" s="4" t="str">
        <f>IF(Respostas_Brutas!B422="","",MIN(1,(IFERROR(VALUE(LEFT(Respostas_Brutas!I422,IFERROR(FIND(" ",Respostas_Brutas!I422)-1,LEN(Respostas_Brutas!I422)))),0)+IFERROR(VALUE(LEFT(Respostas_Brutas!O422,IFERROR(FIND(" ",Respostas_Brutas!O422)-1,LEN(Respostas_Brutas!O422)))),0))/20))</f>
        <v/>
      </c>
      <c r="D422" s="4" t="str">
        <f>IF(Respostas_Brutas!B422="","",IF(Respostas_Brutas!D422="","",MIN(1,MAX(0,(YEAR(TODAY())-N(Respostas_Brutas!D422))/15))))</f>
        <v/>
      </c>
      <c r="E422" s="4" t="str">
        <f>IF(Respostas_Brutas!B422="","",IF(ISNUMBER(SEARCH("Sim",Respostas_Brutas!S422)),1,0))</f>
        <v/>
      </c>
      <c r="F422" s="4" t="str">
        <f>IF(Respostas_Brutas!B422="","",IFERROR(N(Respostas_Brutas!Y422)/N(Respostas_Brutas!Z422),""))</f>
        <v/>
      </c>
      <c r="G422" s="4" t="str">
        <f>IF(Respostas_Brutas!B422="","",IF(Respostas_Brutas!K422&lt;&gt;"",1,0))</f>
        <v/>
      </c>
      <c r="H422" s="4" t="str">
        <f>IF(Respostas_Brutas!B422="","",IF(ISNUMBER(SEARCH("Não",Respostas_Brutas!AH422)),1,0))</f>
        <v/>
      </c>
      <c r="I422" s="4" t="str">
        <f>IF(Respostas_Brutas!B422="","",IF(ISNUMBER(SEARCH("Sim",Respostas_Brutas!AL422)),1,0))</f>
        <v/>
      </c>
      <c r="J422" s="4" t="str">
        <f>IF(Respostas_Brutas!B422="","",IF(Respostas_Brutas!AN422="","",MIN(1,MAX(0,(N(Respostas_Brutas!AN422)-1)/4))))</f>
        <v/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tr">
        <f>IF(Respostas_Brutas!B423="","",Respostas_Brutas!B423)</f>
        <v/>
      </c>
      <c r="B423" s="4" t="str">
        <f>IF(Respostas_Brutas!B423="","",IFERROR(IF(IFERROR(VALUE(TRIM(SUBSTITUTE(SUBSTITUTE(SUBSTITUTE(TRIM(Respostas_Brutas!AS423),"R$",""),".",""),",","."))),0)=0,"",(IFERROR(VALUE(TRIM(SUBSTITUTE(SUBSTITUTE(SUBSTITUTE(TRIM(Respostas_Brutas!AS423),"R$",""),".",""),",","."))),0)-IFERROR(VALUE(TRIM(SUBSTITUTE(SUBSTITUTE(SUBSTITUTE(TRIM(Respostas_Brutas!T423),"R$",""),".",""),",","."))),0))/IFERROR(VALUE(TRIM(SUBSTITUTE(SUBSTITUTE(SUBSTITUTE(TRIM(Respostas_Brutas!AS423),"R$",""),".",""),",","."))),0)),""))</f>
        <v/>
      </c>
      <c r="C423" s="4" t="str">
        <f>IF(Respostas_Brutas!B423="","",MIN(1,(IFERROR(VALUE(LEFT(Respostas_Brutas!I423,IFERROR(FIND(" ",Respostas_Brutas!I423)-1,LEN(Respostas_Brutas!I423)))),0)+IFERROR(VALUE(LEFT(Respostas_Brutas!O423,IFERROR(FIND(" ",Respostas_Brutas!O423)-1,LEN(Respostas_Brutas!O423)))),0))/20))</f>
        <v/>
      </c>
      <c r="D423" s="4" t="str">
        <f>IF(Respostas_Brutas!B423="","",IF(Respostas_Brutas!D423="","",MIN(1,MAX(0,(YEAR(TODAY())-N(Respostas_Brutas!D423))/15))))</f>
        <v/>
      </c>
      <c r="E423" s="4" t="str">
        <f>IF(Respostas_Brutas!B423="","",IF(ISNUMBER(SEARCH("Sim",Respostas_Brutas!S423)),1,0))</f>
        <v/>
      </c>
      <c r="F423" s="4" t="str">
        <f>IF(Respostas_Brutas!B423="","",IFERROR(N(Respostas_Brutas!Y423)/N(Respostas_Brutas!Z423),""))</f>
        <v/>
      </c>
      <c r="G423" s="4" t="str">
        <f>IF(Respostas_Brutas!B423="","",IF(Respostas_Brutas!K423&lt;&gt;"",1,0))</f>
        <v/>
      </c>
      <c r="H423" s="4" t="str">
        <f>IF(Respostas_Brutas!B423="","",IF(ISNUMBER(SEARCH("Não",Respostas_Brutas!AH423)),1,0))</f>
        <v/>
      </c>
      <c r="I423" s="4" t="str">
        <f>IF(Respostas_Brutas!B423="","",IF(ISNUMBER(SEARCH("Sim",Respostas_Brutas!AL423)),1,0))</f>
        <v/>
      </c>
      <c r="J423" s="4" t="str">
        <f>IF(Respostas_Brutas!B423="","",IF(Respostas_Brutas!AN423="","",MIN(1,MAX(0,(N(Respostas_Brutas!AN423)-1)/4))))</f>
        <v/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tr">
        <f>IF(Respostas_Brutas!B424="","",Respostas_Brutas!B424)</f>
        <v/>
      </c>
      <c r="B424" s="4" t="str">
        <f>IF(Respostas_Brutas!B424="","",IFERROR(IF(IFERROR(VALUE(TRIM(SUBSTITUTE(SUBSTITUTE(SUBSTITUTE(TRIM(Respostas_Brutas!AS424),"R$",""),".",""),",","."))),0)=0,"",(IFERROR(VALUE(TRIM(SUBSTITUTE(SUBSTITUTE(SUBSTITUTE(TRIM(Respostas_Brutas!AS424),"R$",""),".",""),",","."))),0)-IFERROR(VALUE(TRIM(SUBSTITUTE(SUBSTITUTE(SUBSTITUTE(TRIM(Respostas_Brutas!T424),"R$",""),".",""),",","."))),0))/IFERROR(VALUE(TRIM(SUBSTITUTE(SUBSTITUTE(SUBSTITUTE(TRIM(Respostas_Brutas!AS424),"R$",""),".",""),",","."))),0)),""))</f>
        <v/>
      </c>
      <c r="C424" s="4" t="str">
        <f>IF(Respostas_Brutas!B424="","",MIN(1,(IFERROR(VALUE(LEFT(Respostas_Brutas!I424,IFERROR(FIND(" ",Respostas_Brutas!I424)-1,LEN(Respostas_Brutas!I424)))),0)+IFERROR(VALUE(LEFT(Respostas_Brutas!O424,IFERROR(FIND(" ",Respostas_Brutas!O424)-1,LEN(Respostas_Brutas!O424)))),0))/20))</f>
        <v/>
      </c>
      <c r="D424" s="4" t="str">
        <f>IF(Respostas_Brutas!B424="","",IF(Respostas_Brutas!D424="","",MIN(1,MAX(0,(YEAR(TODAY())-N(Respostas_Brutas!D424))/15))))</f>
        <v/>
      </c>
      <c r="E424" s="4" t="str">
        <f>IF(Respostas_Brutas!B424="","",IF(ISNUMBER(SEARCH("Sim",Respostas_Brutas!S424)),1,0))</f>
        <v/>
      </c>
      <c r="F424" s="4" t="str">
        <f>IF(Respostas_Brutas!B424="","",IFERROR(N(Respostas_Brutas!Y424)/N(Respostas_Brutas!Z424),""))</f>
        <v/>
      </c>
      <c r="G424" s="4" t="str">
        <f>IF(Respostas_Brutas!B424="","",IF(Respostas_Brutas!K424&lt;&gt;"",1,0))</f>
        <v/>
      </c>
      <c r="H424" s="4" t="str">
        <f>IF(Respostas_Brutas!B424="","",IF(ISNUMBER(SEARCH("Não",Respostas_Brutas!AH424)),1,0))</f>
        <v/>
      </c>
      <c r="I424" s="4" t="str">
        <f>IF(Respostas_Brutas!B424="","",IF(ISNUMBER(SEARCH("Sim",Respostas_Brutas!AL424)),1,0))</f>
        <v/>
      </c>
      <c r="J424" s="4" t="str">
        <f>IF(Respostas_Brutas!B424="","",IF(Respostas_Brutas!AN424="","",MIN(1,MAX(0,(N(Respostas_Brutas!AN424)-1)/4))))</f>
        <v/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tr">
        <f>IF(Respostas_Brutas!B425="","",Respostas_Brutas!B425)</f>
        <v/>
      </c>
      <c r="B425" s="4" t="str">
        <f>IF(Respostas_Brutas!B425="","",IFERROR(IF(IFERROR(VALUE(TRIM(SUBSTITUTE(SUBSTITUTE(SUBSTITUTE(TRIM(Respostas_Brutas!AS425),"R$",""),".",""),",","."))),0)=0,"",(IFERROR(VALUE(TRIM(SUBSTITUTE(SUBSTITUTE(SUBSTITUTE(TRIM(Respostas_Brutas!AS425),"R$",""),".",""),",","."))),0)-IFERROR(VALUE(TRIM(SUBSTITUTE(SUBSTITUTE(SUBSTITUTE(TRIM(Respostas_Brutas!T425),"R$",""),".",""),",","."))),0))/IFERROR(VALUE(TRIM(SUBSTITUTE(SUBSTITUTE(SUBSTITUTE(TRIM(Respostas_Brutas!AS425),"R$",""),".",""),",","."))),0)),""))</f>
        <v/>
      </c>
      <c r="C425" s="4" t="str">
        <f>IF(Respostas_Brutas!B425="","",MIN(1,(IFERROR(VALUE(LEFT(Respostas_Brutas!I425,IFERROR(FIND(" ",Respostas_Brutas!I425)-1,LEN(Respostas_Brutas!I425)))),0)+IFERROR(VALUE(LEFT(Respostas_Brutas!O425,IFERROR(FIND(" ",Respostas_Brutas!O425)-1,LEN(Respostas_Brutas!O425)))),0))/20))</f>
        <v/>
      </c>
      <c r="D425" s="4" t="str">
        <f>IF(Respostas_Brutas!B425="","",IF(Respostas_Brutas!D425="","",MIN(1,MAX(0,(YEAR(TODAY())-N(Respostas_Brutas!D425))/15))))</f>
        <v/>
      </c>
      <c r="E425" s="4" t="str">
        <f>IF(Respostas_Brutas!B425="","",IF(ISNUMBER(SEARCH("Sim",Respostas_Brutas!S425)),1,0))</f>
        <v/>
      </c>
      <c r="F425" s="4" t="str">
        <f>IF(Respostas_Brutas!B425="","",IFERROR(N(Respostas_Brutas!Y425)/N(Respostas_Brutas!Z425),""))</f>
        <v/>
      </c>
      <c r="G425" s="4" t="str">
        <f>IF(Respostas_Brutas!B425="","",IF(Respostas_Brutas!K425&lt;&gt;"",1,0))</f>
        <v/>
      </c>
      <c r="H425" s="4" t="str">
        <f>IF(Respostas_Brutas!B425="","",IF(ISNUMBER(SEARCH("Não",Respostas_Brutas!AH425)),1,0))</f>
        <v/>
      </c>
      <c r="I425" s="4" t="str">
        <f>IF(Respostas_Brutas!B425="","",IF(ISNUMBER(SEARCH("Sim",Respostas_Brutas!AL425)),1,0))</f>
        <v/>
      </c>
      <c r="J425" s="4" t="str">
        <f>IF(Respostas_Brutas!B425="","",IF(Respostas_Brutas!AN425="","",MIN(1,MAX(0,(N(Respostas_Brutas!AN425)-1)/4))))</f>
        <v/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tr">
        <f>IF(Respostas_Brutas!B426="","",Respostas_Brutas!B426)</f>
        <v/>
      </c>
      <c r="B426" s="4" t="str">
        <f>IF(Respostas_Brutas!B426="","",IFERROR(IF(IFERROR(VALUE(TRIM(SUBSTITUTE(SUBSTITUTE(SUBSTITUTE(TRIM(Respostas_Brutas!AS426),"R$",""),".",""),",","."))),0)=0,"",(IFERROR(VALUE(TRIM(SUBSTITUTE(SUBSTITUTE(SUBSTITUTE(TRIM(Respostas_Brutas!AS426),"R$",""),".",""),",","."))),0)-IFERROR(VALUE(TRIM(SUBSTITUTE(SUBSTITUTE(SUBSTITUTE(TRIM(Respostas_Brutas!T426),"R$",""),".",""),",","."))),0))/IFERROR(VALUE(TRIM(SUBSTITUTE(SUBSTITUTE(SUBSTITUTE(TRIM(Respostas_Brutas!AS426),"R$",""),".",""),",","."))),0)),""))</f>
        <v/>
      </c>
      <c r="C426" s="4" t="str">
        <f>IF(Respostas_Brutas!B426="","",MIN(1,(IFERROR(VALUE(LEFT(Respostas_Brutas!I426,IFERROR(FIND(" ",Respostas_Brutas!I426)-1,LEN(Respostas_Brutas!I426)))),0)+IFERROR(VALUE(LEFT(Respostas_Brutas!O426,IFERROR(FIND(" ",Respostas_Brutas!O426)-1,LEN(Respostas_Brutas!O426)))),0))/20))</f>
        <v/>
      </c>
      <c r="D426" s="4" t="str">
        <f>IF(Respostas_Brutas!B426="","",IF(Respostas_Brutas!D426="","",MIN(1,MAX(0,(YEAR(TODAY())-N(Respostas_Brutas!D426))/15))))</f>
        <v/>
      </c>
      <c r="E426" s="4" t="str">
        <f>IF(Respostas_Brutas!B426="","",IF(ISNUMBER(SEARCH("Sim",Respostas_Brutas!S426)),1,0))</f>
        <v/>
      </c>
      <c r="F426" s="4" t="str">
        <f>IF(Respostas_Brutas!B426="","",IFERROR(N(Respostas_Brutas!Y426)/N(Respostas_Brutas!Z426),""))</f>
        <v/>
      </c>
      <c r="G426" s="4" t="str">
        <f>IF(Respostas_Brutas!B426="","",IF(Respostas_Brutas!K426&lt;&gt;"",1,0))</f>
        <v/>
      </c>
      <c r="H426" s="4" t="str">
        <f>IF(Respostas_Brutas!B426="","",IF(ISNUMBER(SEARCH("Não",Respostas_Brutas!AH426)),1,0))</f>
        <v/>
      </c>
      <c r="I426" s="4" t="str">
        <f>IF(Respostas_Brutas!B426="","",IF(ISNUMBER(SEARCH("Sim",Respostas_Brutas!AL426)),1,0))</f>
        <v/>
      </c>
      <c r="J426" s="4" t="str">
        <f>IF(Respostas_Brutas!B426="","",IF(Respostas_Brutas!AN426="","",MIN(1,MAX(0,(N(Respostas_Brutas!AN426)-1)/4))))</f>
        <v/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tr">
        <f>IF(Respostas_Brutas!B427="","",Respostas_Brutas!B427)</f>
        <v/>
      </c>
      <c r="B427" s="4" t="str">
        <f>IF(Respostas_Brutas!B427="","",IFERROR(IF(IFERROR(VALUE(TRIM(SUBSTITUTE(SUBSTITUTE(SUBSTITUTE(TRIM(Respostas_Brutas!AS427),"R$",""),".",""),",","."))),0)=0,"",(IFERROR(VALUE(TRIM(SUBSTITUTE(SUBSTITUTE(SUBSTITUTE(TRIM(Respostas_Brutas!AS427),"R$",""),".",""),",","."))),0)-IFERROR(VALUE(TRIM(SUBSTITUTE(SUBSTITUTE(SUBSTITUTE(TRIM(Respostas_Brutas!T427),"R$",""),".",""),",","."))),0))/IFERROR(VALUE(TRIM(SUBSTITUTE(SUBSTITUTE(SUBSTITUTE(TRIM(Respostas_Brutas!AS427),"R$",""),".",""),",","."))),0)),""))</f>
        <v/>
      </c>
      <c r="C427" s="4" t="str">
        <f>IF(Respostas_Brutas!B427="","",MIN(1,(IFERROR(VALUE(LEFT(Respostas_Brutas!I427,IFERROR(FIND(" ",Respostas_Brutas!I427)-1,LEN(Respostas_Brutas!I427)))),0)+IFERROR(VALUE(LEFT(Respostas_Brutas!O427,IFERROR(FIND(" ",Respostas_Brutas!O427)-1,LEN(Respostas_Brutas!O427)))),0))/20))</f>
        <v/>
      </c>
      <c r="D427" s="4" t="str">
        <f>IF(Respostas_Brutas!B427="","",IF(Respostas_Brutas!D427="","",MIN(1,MAX(0,(YEAR(TODAY())-N(Respostas_Brutas!D427))/15))))</f>
        <v/>
      </c>
      <c r="E427" s="4" t="str">
        <f>IF(Respostas_Brutas!B427="","",IF(ISNUMBER(SEARCH("Sim",Respostas_Brutas!S427)),1,0))</f>
        <v/>
      </c>
      <c r="F427" s="4" t="str">
        <f>IF(Respostas_Brutas!B427="","",IFERROR(N(Respostas_Brutas!Y427)/N(Respostas_Brutas!Z427),""))</f>
        <v/>
      </c>
      <c r="G427" s="4" t="str">
        <f>IF(Respostas_Brutas!B427="","",IF(Respostas_Brutas!K427&lt;&gt;"",1,0))</f>
        <v/>
      </c>
      <c r="H427" s="4" t="str">
        <f>IF(Respostas_Brutas!B427="","",IF(ISNUMBER(SEARCH("Não",Respostas_Brutas!AH427)),1,0))</f>
        <v/>
      </c>
      <c r="I427" s="4" t="str">
        <f>IF(Respostas_Brutas!B427="","",IF(ISNUMBER(SEARCH("Sim",Respostas_Brutas!AL427)),1,0))</f>
        <v/>
      </c>
      <c r="J427" s="4" t="str">
        <f>IF(Respostas_Brutas!B427="","",IF(Respostas_Brutas!AN427="","",MIN(1,MAX(0,(N(Respostas_Brutas!AN427)-1)/4))))</f>
        <v/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tr">
        <f>IF(Respostas_Brutas!B428="","",Respostas_Brutas!B428)</f>
        <v/>
      </c>
      <c r="B428" s="4" t="str">
        <f>IF(Respostas_Brutas!B428="","",IFERROR(IF(IFERROR(VALUE(TRIM(SUBSTITUTE(SUBSTITUTE(SUBSTITUTE(TRIM(Respostas_Brutas!AS428),"R$",""),".",""),",","."))),0)=0,"",(IFERROR(VALUE(TRIM(SUBSTITUTE(SUBSTITUTE(SUBSTITUTE(TRIM(Respostas_Brutas!AS428),"R$",""),".",""),",","."))),0)-IFERROR(VALUE(TRIM(SUBSTITUTE(SUBSTITUTE(SUBSTITUTE(TRIM(Respostas_Brutas!T428),"R$",""),".",""),",","."))),0))/IFERROR(VALUE(TRIM(SUBSTITUTE(SUBSTITUTE(SUBSTITUTE(TRIM(Respostas_Brutas!AS428),"R$",""),".",""),",","."))),0)),""))</f>
        <v/>
      </c>
      <c r="C428" s="4" t="str">
        <f>IF(Respostas_Brutas!B428="","",MIN(1,(IFERROR(VALUE(LEFT(Respostas_Brutas!I428,IFERROR(FIND(" ",Respostas_Brutas!I428)-1,LEN(Respostas_Brutas!I428)))),0)+IFERROR(VALUE(LEFT(Respostas_Brutas!O428,IFERROR(FIND(" ",Respostas_Brutas!O428)-1,LEN(Respostas_Brutas!O428)))),0))/20))</f>
        <v/>
      </c>
      <c r="D428" s="4" t="str">
        <f>IF(Respostas_Brutas!B428="","",IF(Respostas_Brutas!D428="","",MIN(1,MAX(0,(YEAR(TODAY())-N(Respostas_Brutas!D428))/15))))</f>
        <v/>
      </c>
      <c r="E428" s="4" t="str">
        <f>IF(Respostas_Brutas!B428="","",IF(ISNUMBER(SEARCH("Sim",Respostas_Brutas!S428)),1,0))</f>
        <v/>
      </c>
      <c r="F428" s="4" t="str">
        <f>IF(Respostas_Brutas!B428="","",IFERROR(N(Respostas_Brutas!Y428)/N(Respostas_Brutas!Z428),""))</f>
        <v/>
      </c>
      <c r="G428" s="4" t="str">
        <f>IF(Respostas_Brutas!B428="","",IF(Respostas_Brutas!K428&lt;&gt;"",1,0))</f>
        <v/>
      </c>
      <c r="H428" s="4" t="str">
        <f>IF(Respostas_Brutas!B428="","",IF(ISNUMBER(SEARCH("Não",Respostas_Brutas!AH428)),1,0))</f>
        <v/>
      </c>
      <c r="I428" s="4" t="str">
        <f>IF(Respostas_Brutas!B428="","",IF(ISNUMBER(SEARCH("Sim",Respostas_Brutas!AL428)),1,0))</f>
        <v/>
      </c>
      <c r="J428" s="4" t="str">
        <f>IF(Respostas_Brutas!B428="","",IF(Respostas_Brutas!AN428="","",MIN(1,MAX(0,(N(Respostas_Brutas!AN428)-1)/4))))</f>
        <v/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tr">
        <f>IF(Respostas_Brutas!B429="","",Respostas_Brutas!B429)</f>
        <v/>
      </c>
      <c r="B429" s="4" t="str">
        <f>IF(Respostas_Brutas!B429="","",IFERROR(IF(IFERROR(VALUE(TRIM(SUBSTITUTE(SUBSTITUTE(SUBSTITUTE(TRIM(Respostas_Brutas!AS429),"R$",""),".",""),",","."))),0)=0,"",(IFERROR(VALUE(TRIM(SUBSTITUTE(SUBSTITUTE(SUBSTITUTE(TRIM(Respostas_Brutas!AS429),"R$",""),".",""),",","."))),0)-IFERROR(VALUE(TRIM(SUBSTITUTE(SUBSTITUTE(SUBSTITUTE(TRIM(Respostas_Brutas!T429),"R$",""),".",""),",","."))),0))/IFERROR(VALUE(TRIM(SUBSTITUTE(SUBSTITUTE(SUBSTITUTE(TRIM(Respostas_Brutas!AS429),"R$",""),".",""),",","."))),0)),""))</f>
        <v/>
      </c>
      <c r="C429" s="4" t="str">
        <f>IF(Respostas_Brutas!B429="","",MIN(1,(IFERROR(VALUE(LEFT(Respostas_Brutas!I429,IFERROR(FIND(" ",Respostas_Brutas!I429)-1,LEN(Respostas_Brutas!I429)))),0)+IFERROR(VALUE(LEFT(Respostas_Brutas!O429,IFERROR(FIND(" ",Respostas_Brutas!O429)-1,LEN(Respostas_Brutas!O429)))),0))/20))</f>
        <v/>
      </c>
      <c r="D429" s="4" t="str">
        <f>IF(Respostas_Brutas!B429="","",IF(Respostas_Brutas!D429="","",MIN(1,MAX(0,(YEAR(TODAY())-N(Respostas_Brutas!D429))/15))))</f>
        <v/>
      </c>
      <c r="E429" s="4" t="str">
        <f>IF(Respostas_Brutas!B429="","",IF(ISNUMBER(SEARCH("Sim",Respostas_Brutas!S429)),1,0))</f>
        <v/>
      </c>
      <c r="F429" s="4" t="str">
        <f>IF(Respostas_Brutas!B429="","",IFERROR(N(Respostas_Brutas!Y429)/N(Respostas_Brutas!Z429),""))</f>
        <v/>
      </c>
      <c r="G429" s="4" t="str">
        <f>IF(Respostas_Brutas!B429="","",IF(Respostas_Brutas!K429&lt;&gt;"",1,0))</f>
        <v/>
      </c>
      <c r="H429" s="4" t="str">
        <f>IF(Respostas_Brutas!B429="","",IF(ISNUMBER(SEARCH("Não",Respostas_Brutas!AH429)),1,0))</f>
        <v/>
      </c>
      <c r="I429" s="4" t="str">
        <f>IF(Respostas_Brutas!B429="","",IF(ISNUMBER(SEARCH("Sim",Respostas_Brutas!AL429)),1,0))</f>
        <v/>
      </c>
      <c r="J429" s="4" t="str">
        <f>IF(Respostas_Brutas!B429="","",IF(Respostas_Brutas!AN429="","",MIN(1,MAX(0,(N(Respostas_Brutas!AN429)-1)/4))))</f>
        <v/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tr">
        <f>IF(Respostas_Brutas!B430="","",Respostas_Brutas!B430)</f>
        <v/>
      </c>
      <c r="B430" s="4" t="str">
        <f>IF(Respostas_Brutas!B430="","",IFERROR(IF(IFERROR(VALUE(TRIM(SUBSTITUTE(SUBSTITUTE(SUBSTITUTE(TRIM(Respostas_Brutas!AS430),"R$",""),".",""),",","."))),0)=0,"",(IFERROR(VALUE(TRIM(SUBSTITUTE(SUBSTITUTE(SUBSTITUTE(TRIM(Respostas_Brutas!AS430),"R$",""),".",""),",","."))),0)-IFERROR(VALUE(TRIM(SUBSTITUTE(SUBSTITUTE(SUBSTITUTE(TRIM(Respostas_Brutas!T430),"R$",""),".",""),",","."))),0))/IFERROR(VALUE(TRIM(SUBSTITUTE(SUBSTITUTE(SUBSTITUTE(TRIM(Respostas_Brutas!AS430),"R$",""),".",""),",","."))),0)),""))</f>
        <v/>
      </c>
      <c r="C430" s="4" t="str">
        <f>IF(Respostas_Brutas!B430="","",MIN(1,(IFERROR(VALUE(LEFT(Respostas_Brutas!I430,IFERROR(FIND(" ",Respostas_Brutas!I430)-1,LEN(Respostas_Brutas!I430)))),0)+IFERROR(VALUE(LEFT(Respostas_Brutas!O430,IFERROR(FIND(" ",Respostas_Brutas!O430)-1,LEN(Respostas_Brutas!O430)))),0))/20))</f>
        <v/>
      </c>
      <c r="D430" s="4" t="str">
        <f>IF(Respostas_Brutas!B430="","",IF(Respostas_Brutas!D430="","",MIN(1,MAX(0,(YEAR(TODAY())-N(Respostas_Brutas!D430))/15))))</f>
        <v/>
      </c>
      <c r="E430" s="4" t="str">
        <f>IF(Respostas_Brutas!B430="","",IF(ISNUMBER(SEARCH("Sim",Respostas_Brutas!S430)),1,0))</f>
        <v/>
      </c>
      <c r="F430" s="4" t="str">
        <f>IF(Respostas_Brutas!B430="","",IFERROR(N(Respostas_Brutas!Y430)/N(Respostas_Brutas!Z430),""))</f>
        <v/>
      </c>
      <c r="G430" s="4" t="str">
        <f>IF(Respostas_Brutas!B430="","",IF(Respostas_Brutas!K430&lt;&gt;"",1,0))</f>
        <v/>
      </c>
      <c r="H430" s="4" t="str">
        <f>IF(Respostas_Brutas!B430="","",IF(ISNUMBER(SEARCH("Não",Respostas_Brutas!AH430)),1,0))</f>
        <v/>
      </c>
      <c r="I430" s="4" t="str">
        <f>IF(Respostas_Brutas!B430="","",IF(ISNUMBER(SEARCH("Sim",Respostas_Brutas!AL430)),1,0))</f>
        <v/>
      </c>
      <c r="J430" s="4" t="str">
        <f>IF(Respostas_Brutas!B430="","",IF(Respostas_Brutas!AN430="","",MIN(1,MAX(0,(N(Respostas_Brutas!AN430)-1)/4))))</f>
        <v/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tr">
        <f>IF(Respostas_Brutas!B431="","",Respostas_Brutas!B431)</f>
        <v/>
      </c>
      <c r="B431" s="4" t="str">
        <f>IF(Respostas_Brutas!B431="","",IFERROR(IF(IFERROR(VALUE(TRIM(SUBSTITUTE(SUBSTITUTE(SUBSTITUTE(TRIM(Respostas_Brutas!AS431),"R$",""),".",""),",","."))),0)=0,"",(IFERROR(VALUE(TRIM(SUBSTITUTE(SUBSTITUTE(SUBSTITUTE(TRIM(Respostas_Brutas!AS431),"R$",""),".",""),",","."))),0)-IFERROR(VALUE(TRIM(SUBSTITUTE(SUBSTITUTE(SUBSTITUTE(TRIM(Respostas_Brutas!T431),"R$",""),".",""),",","."))),0))/IFERROR(VALUE(TRIM(SUBSTITUTE(SUBSTITUTE(SUBSTITUTE(TRIM(Respostas_Brutas!AS431),"R$",""),".",""),",","."))),0)),""))</f>
        <v/>
      </c>
      <c r="C431" s="4" t="str">
        <f>IF(Respostas_Brutas!B431="","",MIN(1,(IFERROR(VALUE(LEFT(Respostas_Brutas!I431,IFERROR(FIND(" ",Respostas_Brutas!I431)-1,LEN(Respostas_Brutas!I431)))),0)+IFERROR(VALUE(LEFT(Respostas_Brutas!O431,IFERROR(FIND(" ",Respostas_Brutas!O431)-1,LEN(Respostas_Brutas!O431)))),0))/20))</f>
        <v/>
      </c>
      <c r="D431" s="4" t="str">
        <f>IF(Respostas_Brutas!B431="","",IF(Respostas_Brutas!D431="","",MIN(1,MAX(0,(YEAR(TODAY())-N(Respostas_Brutas!D431))/15))))</f>
        <v/>
      </c>
      <c r="E431" s="4" t="str">
        <f>IF(Respostas_Brutas!B431="","",IF(ISNUMBER(SEARCH("Sim",Respostas_Brutas!S431)),1,0))</f>
        <v/>
      </c>
      <c r="F431" s="4" t="str">
        <f>IF(Respostas_Brutas!B431="","",IFERROR(N(Respostas_Brutas!Y431)/N(Respostas_Brutas!Z431),""))</f>
        <v/>
      </c>
      <c r="G431" s="4" t="str">
        <f>IF(Respostas_Brutas!B431="","",IF(Respostas_Brutas!K431&lt;&gt;"",1,0))</f>
        <v/>
      </c>
      <c r="H431" s="4" t="str">
        <f>IF(Respostas_Brutas!B431="","",IF(ISNUMBER(SEARCH("Não",Respostas_Brutas!AH431)),1,0))</f>
        <v/>
      </c>
      <c r="I431" s="4" t="str">
        <f>IF(Respostas_Brutas!B431="","",IF(ISNUMBER(SEARCH("Sim",Respostas_Brutas!AL431)),1,0))</f>
        <v/>
      </c>
      <c r="J431" s="4" t="str">
        <f>IF(Respostas_Brutas!B431="","",IF(Respostas_Brutas!AN431="","",MIN(1,MAX(0,(N(Respostas_Brutas!AN431)-1)/4))))</f>
        <v/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tr">
        <f>IF(Respostas_Brutas!B432="","",Respostas_Brutas!B432)</f>
        <v/>
      </c>
      <c r="B432" s="4" t="str">
        <f>IF(Respostas_Brutas!B432="","",IFERROR(IF(IFERROR(VALUE(TRIM(SUBSTITUTE(SUBSTITUTE(SUBSTITUTE(TRIM(Respostas_Brutas!AS432),"R$",""),".",""),",","."))),0)=0,"",(IFERROR(VALUE(TRIM(SUBSTITUTE(SUBSTITUTE(SUBSTITUTE(TRIM(Respostas_Brutas!AS432),"R$",""),".",""),",","."))),0)-IFERROR(VALUE(TRIM(SUBSTITUTE(SUBSTITUTE(SUBSTITUTE(TRIM(Respostas_Brutas!T432),"R$",""),".",""),",","."))),0))/IFERROR(VALUE(TRIM(SUBSTITUTE(SUBSTITUTE(SUBSTITUTE(TRIM(Respostas_Brutas!AS432),"R$",""),".",""),",","."))),0)),""))</f>
        <v/>
      </c>
      <c r="C432" s="4" t="str">
        <f>IF(Respostas_Brutas!B432="","",MIN(1,(IFERROR(VALUE(LEFT(Respostas_Brutas!I432,IFERROR(FIND(" ",Respostas_Brutas!I432)-1,LEN(Respostas_Brutas!I432)))),0)+IFERROR(VALUE(LEFT(Respostas_Brutas!O432,IFERROR(FIND(" ",Respostas_Brutas!O432)-1,LEN(Respostas_Brutas!O432)))),0))/20))</f>
        <v/>
      </c>
      <c r="D432" s="4" t="str">
        <f>IF(Respostas_Brutas!B432="","",IF(Respostas_Brutas!D432="","",MIN(1,MAX(0,(YEAR(TODAY())-N(Respostas_Brutas!D432))/15))))</f>
        <v/>
      </c>
      <c r="E432" s="4" t="str">
        <f>IF(Respostas_Brutas!B432="","",IF(ISNUMBER(SEARCH("Sim",Respostas_Brutas!S432)),1,0))</f>
        <v/>
      </c>
      <c r="F432" s="4" t="str">
        <f>IF(Respostas_Brutas!B432="","",IFERROR(N(Respostas_Brutas!Y432)/N(Respostas_Brutas!Z432),""))</f>
        <v/>
      </c>
      <c r="G432" s="4" t="str">
        <f>IF(Respostas_Brutas!B432="","",IF(Respostas_Brutas!K432&lt;&gt;"",1,0))</f>
        <v/>
      </c>
      <c r="H432" s="4" t="str">
        <f>IF(Respostas_Brutas!B432="","",IF(ISNUMBER(SEARCH("Não",Respostas_Brutas!AH432)),1,0))</f>
        <v/>
      </c>
      <c r="I432" s="4" t="str">
        <f>IF(Respostas_Brutas!B432="","",IF(ISNUMBER(SEARCH("Sim",Respostas_Brutas!AL432)),1,0))</f>
        <v/>
      </c>
      <c r="J432" s="4" t="str">
        <f>IF(Respostas_Brutas!B432="","",IF(Respostas_Brutas!AN432="","",MIN(1,MAX(0,(N(Respostas_Brutas!AN432)-1)/4))))</f>
        <v/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tr">
        <f>IF(Respostas_Brutas!B433="","",Respostas_Brutas!B433)</f>
        <v/>
      </c>
      <c r="B433" s="4" t="str">
        <f>IF(Respostas_Brutas!B433="","",IFERROR(IF(IFERROR(VALUE(TRIM(SUBSTITUTE(SUBSTITUTE(SUBSTITUTE(TRIM(Respostas_Brutas!AS433),"R$",""),".",""),",","."))),0)=0,"",(IFERROR(VALUE(TRIM(SUBSTITUTE(SUBSTITUTE(SUBSTITUTE(TRIM(Respostas_Brutas!AS433),"R$",""),".",""),",","."))),0)-IFERROR(VALUE(TRIM(SUBSTITUTE(SUBSTITUTE(SUBSTITUTE(TRIM(Respostas_Brutas!T433),"R$",""),".",""),",","."))),0))/IFERROR(VALUE(TRIM(SUBSTITUTE(SUBSTITUTE(SUBSTITUTE(TRIM(Respostas_Brutas!AS433),"R$",""),".",""),",","."))),0)),""))</f>
        <v/>
      </c>
      <c r="C433" s="4" t="str">
        <f>IF(Respostas_Brutas!B433="","",MIN(1,(IFERROR(VALUE(LEFT(Respostas_Brutas!I433,IFERROR(FIND(" ",Respostas_Brutas!I433)-1,LEN(Respostas_Brutas!I433)))),0)+IFERROR(VALUE(LEFT(Respostas_Brutas!O433,IFERROR(FIND(" ",Respostas_Brutas!O433)-1,LEN(Respostas_Brutas!O433)))),0))/20))</f>
        <v/>
      </c>
      <c r="D433" s="4" t="str">
        <f>IF(Respostas_Brutas!B433="","",IF(Respostas_Brutas!D433="","",MIN(1,MAX(0,(YEAR(TODAY())-N(Respostas_Brutas!D433))/15))))</f>
        <v/>
      </c>
      <c r="E433" s="4" t="str">
        <f>IF(Respostas_Brutas!B433="","",IF(ISNUMBER(SEARCH("Sim",Respostas_Brutas!S433)),1,0))</f>
        <v/>
      </c>
      <c r="F433" s="4" t="str">
        <f>IF(Respostas_Brutas!B433="","",IFERROR(N(Respostas_Brutas!Y433)/N(Respostas_Brutas!Z433),""))</f>
        <v/>
      </c>
      <c r="G433" s="4" t="str">
        <f>IF(Respostas_Brutas!B433="","",IF(Respostas_Brutas!K433&lt;&gt;"",1,0))</f>
        <v/>
      </c>
      <c r="H433" s="4" t="str">
        <f>IF(Respostas_Brutas!B433="","",IF(ISNUMBER(SEARCH("Não",Respostas_Brutas!AH433)),1,0))</f>
        <v/>
      </c>
      <c r="I433" s="4" t="str">
        <f>IF(Respostas_Brutas!B433="","",IF(ISNUMBER(SEARCH("Sim",Respostas_Brutas!AL433)),1,0))</f>
        <v/>
      </c>
      <c r="J433" s="4" t="str">
        <f>IF(Respostas_Brutas!B433="","",IF(Respostas_Brutas!AN433="","",MIN(1,MAX(0,(N(Respostas_Brutas!AN433)-1)/4))))</f>
        <v/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tr">
        <f>IF(Respostas_Brutas!B434="","",Respostas_Brutas!B434)</f>
        <v/>
      </c>
      <c r="B434" s="4" t="str">
        <f>IF(Respostas_Brutas!B434="","",IFERROR(IF(IFERROR(VALUE(TRIM(SUBSTITUTE(SUBSTITUTE(SUBSTITUTE(TRIM(Respostas_Brutas!AS434),"R$",""),".",""),",","."))),0)=0,"",(IFERROR(VALUE(TRIM(SUBSTITUTE(SUBSTITUTE(SUBSTITUTE(TRIM(Respostas_Brutas!AS434),"R$",""),".",""),",","."))),0)-IFERROR(VALUE(TRIM(SUBSTITUTE(SUBSTITUTE(SUBSTITUTE(TRIM(Respostas_Brutas!T434),"R$",""),".",""),",","."))),0))/IFERROR(VALUE(TRIM(SUBSTITUTE(SUBSTITUTE(SUBSTITUTE(TRIM(Respostas_Brutas!AS434),"R$",""),".",""),",","."))),0)),""))</f>
        <v/>
      </c>
      <c r="C434" s="4" t="str">
        <f>IF(Respostas_Brutas!B434="","",MIN(1,(IFERROR(VALUE(LEFT(Respostas_Brutas!I434,IFERROR(FIND(" ",Respostas_Brutas!I434)-1,LEN(Respostas_Brutas!I434)))),0)+IFERROR(VALUE(LEFT(Respostas_Brutas!O434,IFERROR(FIND(" ",Respostas_Brutas!O434)-1,LEN(Respostas_Brutas!O434)))),0))/20))</f>
        <v/>
      </c>
      <c r="D434" s="4" t="str">
        <f>IF(Respostas_Brutas!B434="","",IF(Respostas_Brutas!D434="","",MIN(1,MAX(0,(YEAR(TODAY())-N(Respostas_Brutas!D434))/15))))</f>
        <v/>
      </c>
      <c r="E434" s="4" t="str">
        <f>IF(Respostas_Brutas!B434="","",IF(ISNUMBER(SEARCH("Sim",Respostas_Brutas!S434)),1,0))</f>
        <v/>
      </c>
      <c r="F434" s="4" t="str">
        <f>IF(Respostas_Brutas!B434="","",IFERROR(N(Respostas_Brutas!Y434)/N(Respostas_Brutas!Z434),""))</f>
        <v/>
      </c>
      <c r="G434" s="4" t="str">
        <f>IF(Respostas_Brutas!B434="","",IF(Respostas_Brutas!K434&lt;&gt;"",1,0))</f>
        <v/>
      </c>
      <c r="H434" s="4" t="str">
        <f>IF(Respostas_Brutas!B434="","",IF(ISNUMBER(SEARCH("Não",Respostas_Brutas!AH434)),1,0))</f>
        <v/>
      </c>
      <c r="I434" s="4" t="str">
        <f>IF(Respostas_Brutas!B434="","",IF(ISNUMBER(SEARCH("Sim",Respostas_Brutas!AL434)),1,0))</f>
        <v/>
      </c>
      <c r="J434" s="4" t="str">
        <f>IF(Respostas_Brutas!B434="","",IF(Respostas_Brutas!AN434="","",MIN(1,MAX(0,(N(Respostas_Brutas!AN434)-1)/4))))</f>
        <v/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tr">
        <f>IF(Respostas_Brutas!B435="","",Respostas_Brutas!B435)</f>
        <v/>
      </c>
      <c r="B435" s="4" t="str">
        <f>IF(Respostas_Brutas!B435="","",IFERROR(IF(IFERROR(VALUE(TRIM(SUBSTITUTE(SUBSTITUTE(SUBSTITUTE(TRIM(Respostas_Brutas!AS435),"R$",""),".",""),",","."))),0)=0,"",(IFERROR(VALUE(TRIM(SUBSTITUTE(SUBSTITUTE(SUBSTITUTE(TRIM(Respostas_Brutas!AS435),"R$",""),".",""),",","."))),0)-IFERROR(VALUE(TRIM(SUBSTITUTE(SUBSTITUTE(SUBSTITUTE(TRIM(Respostas_Brutas!T435),"R$",""),".",""),",","."))),0))/IFERROR(VALUE(TRIM(SUBSTITUTE(SUBSTITUTE(SUBSTITUTE(TRIM(Respostas_Brutas!AS435),"R$",""),".",""),",","."))),0)),""))</f>
        <v/>
      </c>
      <c r="C435" s="4" t="str">
        <f>IF(Respostas_Brutas!B435="","",MIN(1,(IFERROR(VALUE(LEFT(Respostas_Brutas!I435,IFERROR(FIND(" ",Respostas_Brutas!I435)-1,LEN(Respostas_Brutas!I435)))),0)+IFERROR(VALUE(LEFT(Respostas_Brutas!O435,IFERROR(FIND(" ",Respostas_Brutas!O435)-1,LEN(Respostas_Brutas!O435)))),0))/20))</f>
        <v/>
      </c>
      <c r="D435" s="4" t="str">
        <f>IF(Respostas_Brutas!B435="","",IF(Respostas_Brutas!D435="","",MIN(1,MAX(0,(YEAR(TODAY())-N(Respostas_Brutas!D435))/15))))</f>
        <v/>
      </c>
      <c r="E435" s="4" t="str">
        <f>IF(Respostas_Brutas!B435="","",IF(ISNUMBER(SEARCH("Sim",Respostas_Brutas!S435)),1,0))</f>
        <v/>
      </c>
      <c r="F435" s="4" t="str">
        <f>IF(Respostas_Brutas!B435="","",IFERROR(N(Respostas_Brutas!Y435)/N(Respostas_Brutas!Z435),""))</f>
        <v/>
      </c>
      <c r="G435" s="4" t="str">
        <f>IF(Respostas_Brutas!B435="","",IF(Respostas_Brutas!K435&lt;&gt;"",1,0))</f>
        <v/>
      </c>
      <c r="H435" s="4" t="str">
        <f>IF(Respostas_Brutas!B435="","",IF(ISNUMBER(SEARCH("Não",Respostas_Brutas!AH435)),1,0))</f>
        <v/>
      </c>
      <c r="I435" s="4" t="str">
        <f>IF(Respostas_Brutas!B435="","",IF(ISNUMBER(SEARCH("Sim",Respostas_Brutas!AL435)),1,0))</f>
        <v/>
      </c>
      <c r="J435" s="4" t="str">
        <f>IF(Respostas_Brutas!B435="","",IF(Respostas_Brutas!AN435="","",MIN(1,MAX(0,(N(Respostas_Brutas!AN435)-1)/4))))</f>
        <v/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tr">
        <f>IF(Respostas_Brutas!B436="","",Respostas_Brutas!B436)</f>
        <v/>
      </c>
      <c r="B436" s="4" t="str">
        <f>IF(Respostas_Brutas!B436="","",IFERROR(IF(IFERROR(VALUE(TRIM(SUBSTITUTE(SUBSTITUTE(SUBSTITUTE(TRIM(Respostas_Brutas!AS436),"R$",""),".",""),",","."))),0)=0,"",(IFERROR(VALUE(TRIM(SUBSTITUTE(SUBSTITUTE(SUBSTITUTE(TRIM(Respostas_Brutas!AS436),"R$",""),".",""),",","."))),0)-IFERROR(VALUE(TRIM(SUBSTITUTE(SUBSTITUTE(SUBSTITUTE(TRIM(Respostas_Brutas!T436),"R$",""),".",""),",","."))),0))/IFERROR(VALUE(TRIM(SUBSTITUTE(SUBSTITUTE(SUBSTITUTE(TRIM(Respostas_Brutas!AS436),"R$",""),".",""),",","."))),0)),""))</f>
        <v/>
      </c>
      <c r="C436" s="4" t="str">
        <f>IF(Respostas_Brutas!B436="","",MIN(1,(IFERROR(VALUE(LEFT(Respostas_Brutas!I436,IFERROR(FIND(" ",Respostas_Brutas!I436)-1,LEN(Respostas_Brutas!I436)))),0)+IFERROR(VALUE(LEFT(Respostas_Brutas!O436,IFERROR(FIND(" ",Respostas_Brutas!O436)-1,LEN(Respostas_Brutas!O436)))),0))/20))</f>
        <v/>
      </c>
      <c r="D436" s="4" t="str">
        <f>IF(Respostas_Brutas!B436="","",IF(Respostas_Brutas!D436="","",MIN(1,MAX(0,(YEAR(TODAY())-N(Respostas_Brutas!D436))/15))))</f>
        <v/>
      </c>
      <c r="E436" s="4" t="str">
        <f>IF(Respostas_Brutas!B436="","",IF(ISNUMBER(SEARCH("Sim",Respostas_Brutas!S436)),1,0))</f>
        <v/>
      </c>
      <c r="F436" s="4" t="str">
        <f>IF(Respostas_Brutas!B436="","",IFERROR(N(Respostas_Brutas!Y436)/N(Respostas_Brutas!Z436),""))</f>
        <v/>
      </c>
      <c r="G436" s="4" t="str">
        <f>IF(Respostas_Brutas!B436="","",IF(Respostas_Brutas!K436&lt;&gt;"",1,0))</f>
        <v/>
      </c>
      <c r="H436" s="4" t="str">
        <f>IF(Respostas_Brutas!B436="","",IF(ISNUMBER(SEARCH("Não",Respostas_Brutas!AH436)),1,0))</f>
        <v/>
      </c>
      <c r="I436" s="4" t="str">
        <f>IF(Respostas_Brutas!B436="","",IF(ISNUMBER(SEARCH("Sim",Respostas_Brutas!AL436)),1,0))</f>
        <v/>
      </c>
      <c r="J436" s="4" t="str">
        <f>IF(Respostas_Brutas!B436="","",IF(Respostas_Brutas!AN436="","",MIN(1,MAX(0,(N(Respostas_Brutas!AN436)-1)/4))))</f>
        <v/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tr">
        <f>IF(Respostas_Brutas!B437="","",Respostas_Brutas!B437)</f>
        <v/>
      </c>
      <c r="B437" s="4" t="str">
        <f>IF(Respostas_Brutas!B437="","",IFERROR(IF(IFERROR(VALUE(TRIM(SUBSTITUTE(SUBSTITUTE(SUBSTITUTE(TRIM(Respostas_Brutas!AS437),"R$",""),".",""),",","."))),0)=0,"",(IFERROR(VALUE(TRIM(SUBSTITUTE(SUBSTITUTE(SUBSTITUTE(TRIM(Respostas_Brutas!AS437),"R$",""),".",""),",","."))),0)-IFERROR(VALUE(TRIM(SUBSTITUTE(SUBSTITUTE(SUBSTITUTE(TRIM(Respostas_Brutas!T437),"R$",""),".",""),",","."))),0))/IFERROR(VALUE(TRIM(SUBSTITUTE(SUBSTITUTE(SUBSTITUTE(TRIM(Respostas_Brutas!AS437),"R$",""),".",""),",","."))),0)),""))</f>
        <v/>
      </c>
      <c r="C437" s="4" t="str">
        <f>IF(Respostas_Brutas!B437="","",MIN(1,(IFERROR(VALUE(LEFT(Respostas_Brutas!I437,IFERROR(FIND(" ",Respostas_Brutas!I437)-1,LEN(Respostas_Brutas!I437)))),0)+IFERROR(VALUE(LEFT(Respostas_Brutas!O437,IFERROR(FIND(" ",Respostas_Brutas!O437)-1,LEN(Respostas_Brutas!O437)))),0))/20))</f>
        <v/>
      </c>
      <c r="D437" s="4" t="str">
        <f>IF(Respostas_Brutas!B437="","",IF(Respostas_Brutas!D437="","",MIN(1,MAX(0,(YEAR(TODAY())-N(Respostas_Brutas!D437))/15))))</f>
        <v/>
      </c>
      <c r="E437" s="4" t="str">
        <f>IF(Respostas_Brutas!B437="","",IF(ISNUMBER(SEARCH("Sim",Respostas_Brutas!S437)),1,0))</f>
        <v/>
      </c>
      <c r="F437" s="4" t="str">
        <f>IF(Respostas_Brutas!B437="","",IFERROR(N(Respostas_Brutas!Y437)/N(Respostas_Brutas!Z437),""))</f>
        <v/>
      </c>
      <c r="G437" s="4" t="str">
        <f>IF(Respostas_Brutas!B437="","",IF(Respostas_Brutas!K437&lt;&gt;"",1,0))</f>
        <v/>
      </c>
      <c r="H437" s="4" t="str">
        <f>IF(Respostas_Brutas!B437="","",IF(ISNUMBER(SEARCH("Não",Respostas_Brutas!AH437)),1,0))</f>
        <v/>
      </c>
      <c r="I437" s="4" t="str">
        <f>IF(Respostas_Brutas!B437="","",IF(ISNUMBER(SEARCH("Sim",Respostas_Brutas!AL437)),1,0))</f>
        <v/>
      </c>
      <c r="J437" s="4" t="str">
        <f>IF(Respostas_Brutas!B437="","",IF(Respostas_Brutas!AN437="","",MIN(1,MAX(0,(N(Respostas_Brutas!AN437)-1)/4))))</f>
        <v/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tr">
        <f>IF(Respostas_Brutas!B438="","",Respostas_Brutas!B438)</f>
        <v/>
      </c>
      <c r="B438" s="4" t="str">
        <f>IF(Respostas_Brutas!B438="","",IFERROR(IF(IFERROR(VALUE(TRIM(SUBSTITUTE(SUBSTITUTE(SUBSTITUTE(TRIM(Respostas_Brutas!AS438),"R$",""),".",""),",","."))),0)=0,"",(IFERROR(VALUE(TRIM(SUBSTITUTE(SUBSTITUTE(SUBSTITUTE(TRIM(Respostas_Brutas!AS438),"R$",""),".",""),",","."))),0)-IFERROR(VALUE(TRIM(SUBSTITUTE(SUBSTITUTE(SUBSTITUTE(TRIM(Respostas_Brutas!T438),"R$",""),".",""),",","."))),0))/IFERROR(VALUE(TRIM(SUBSTITUTE(SUBSTITUTE(SUBSTITUTE(TRIM(Respostas_Brutas!AS438),"R$",""),".",""),",","."))),0)),""))</f>
        <v/>
      </c>
      <c r="C438" s="4" t="str">
        <f>IF(Respostas_Brutas!B438="","",MIN(1,(IFERROR(VALUE(LEFT(Respostas_Brutas!I438,IFERROR(FIND(" ",Respostas_Brutas!I438)-1,LEN(Respostas_Brutas!I438)))),0)+IFERROR(VALUE(LEFT(Respostas_Brutas!O438,IFERROR(FIND(" ",Respostas_Brutas!O438)-1,LEN(Respostas_Brutas!O438)))),0))/20))</f>
        <v/>
      </c>
      <c r="D438" s="4" t="str">
        <f>IF(Respostas_Brutas!B438="","",IF(Respostas_Brutas!D438="","",MIN(1,MAX(0,(YEAR(TODAY())-N(Respostas_Brutas!D438))/15))))</f>
        <v/>
      </c>
      <c r="E438" s="4" t="str">
        <f>IF(Respostas_Brutas!B438="","",IF(ISNUMBER(SEARCH("Sim",Respostas_Brutas!S438)),1,0))</f>
        <v/>
      </c>
      <c r="F438" s="4" t="str">
        <f>IF(Respostas_Brutas!B438="","",IFERROR(N(Respostas_Brutas!Y438)/N(Respostas_Brutas!Z438),""))</f>
        <v/>
      </c>
      <c r="G438" s="4" t="str">
        <f>IF(Respostas_Brutas!B438="","",IF(Respostas_Brutas!K438&lt;&gt;"",1,0))</f>
        <v/>
      </c>
      <c r="H438" s="4" t="str">
        <f>IF(Respostas_Brutas!B438="","",IF(ISNUMBER(SEARCH("Não",Respostas_Brutas!AH438)),1,0))</f>
        <v/>
      </c>
      <c r="I438" s="4" t="str">
        <f>IF(Respostas_Brutas!B438="","",IF(ISNUMBER(SEARCH("Sim",Respostas_Brutas!AL438)),1,0))</f>
        <v/>
      </c>
      <c r="J438" s="4" t="str">
        <f>IF(Respostas_Brutas!B438="","",IF(Respostas_Brutas!AN438="","",MIN(1,MAX(0,(N(Respostas_Brutas!AN438)-1)/4))))</f>
        <v/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tr">
        <f>IF(Respostas_Brutas!B439="","",Respostas_Brutas!B439)</f>
        <v/>
      </c>
      <c r="B439" s="4" t="str">
        <f>IF(Respostas_Brutas!B439="","",IFERROR(IF(IFERROR(VALUE(TRIM(SUBSTITUTE(SUBSTITUTE(SUBSTITUTE(TRIM(Respostas_Brutas!AS439),"R$",""),".",""),",","."))),0)=0,"",(IFERROR(VALUE(TRIM(SUBSTITUTE(SUBSTITUTE(SUBSTITUTE(TRIM(Respostas_Brutas!AS439),"R$",""),".",""),",","."))),0)-IFERROR(VALUE(TRIM(SUBSTITUTE(SUBSTITUTE(SUBSTITUTE(TRIM(Respostas_Brutas!T439),"R$",""),".",""),",","."))),0))/IFERROR(VALUE(TRIM(SUBSTITUTE(SUBSTITUTE(SUBSTITUTE(TRIM(Respostas_Brutas!AS439),"R$",""),".",""),",","."))),0)),""))</f>
        <v/>
      </c>
      <c r="C439" s="4" t="str">
        <f>IF(Respostas_Brutas!B439="","",MIN(1,(IFERROR(VALUE(LEFT(Respostas_Brutas!I439,IFERROR(FIND(" ",Respostas_Brutas!I439)-1,LEN(Respostas_Brutas!I439)))),0)+IFERROR(VALUE(LEFT(Respostas_Brutas!O439,IFERROR(FIND(" ",Respostas_Brutas!O439)-1,LEN(Respostas_Brutas!O439)))),0))/20))</f>
        <v/>
      </c>
      <c r="D439" s="4" t="str">
        <f>IF(Respostas_Brutas!B439="","",IF(Respostas_Brutas!D439="","",MIN(1,MAX(0,(YEAR(TODAY())-N(Respostas_Brutas!D439))/15))))</f>
        <v/>
      </c>
      <c r="E439" s="4" t="str">
        <f>IF(Respostas_Brutas!B439="","",IF(ISNUMBER(SEARCH("Sim",Respostas_Brutas!S439)),1,0))</f>
        <v/>
      </c>
      <c r="F439" s="4" t="str">
        <f>IF(Respostas_Brutas!B439="","",IFERROR(N(Respostas_Brutas!Y439)/N(Respostas_Brutas!Z439),""))</f>
        <v/>
      </c>
      <c r="G439" s="4" t="str">
        <f>IF(Respostas_Brutas!B439="","",IF(Respostas_Brutas!K439&lt;&gt;"",1,0))</f>
        <v/>
      </c>
      <c r="H439" s="4" t="str">
        <f>IF(Respostas_Brutas!B439="","",IF(ISNUMBER(SEARCH("Não",Respostas_Brutas!AH439)),1,0))</f>
        <v/>
      </c>
      <c r="I439" s="4" t="str">
        <f>IF(Respostas_Brutas!B439="","",IF(ISNUMBER(SEARCH("Sim",Respostas_Brutas!AL439)),1,0))</f>
        <v/>
      </c>
      <c r="J439" s="4" t="str">
        <f>IF(Respostas_Brutas!B439="","",IF(Respostas_Brutas!AN439="","",MIN(1,MAX(0,(N(Respostas_Brutas!AN439)-1)/4))))</f>
        <v/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tr">
        <f>IF(Respostas_Brutas!B440="","",Respostas_Brutas!B440)</f>
        <v/>
      </c>
      <c r="B440" s="4" t="str">
        <f>IF(Respostas_Brutas!B440="","",IFERROR(IF(IFERROR(VALUE(TRIM(SUBSTITUTE(SUBSTITUTE(SUBSTITUTE(TRIM(Respostas_Brutas!AS440),"R$",""),".",""),",","."))),0)=0,"",(IFERROR(VALUE(TRIM(SUBSTITUTE(SUBSTITUTE(SUBSTITUTE(TRIM(Respostas_Brutas!AS440),"R$",""),".",""),",","."))),0)-IFERROR(VALUE(TRIM(SUBSTITUTE(SUBSTITUTE(SUBSTITUTE(TRIM(Respostas_Brutas!T440),"R$",""),".",""),",","."))),0))/IFERROR(VALUE(TRIM(SUBSTITUTE(SUBSTITUTE(SUBSTITUTE(TRIM(Respostas_Brutas!AS440),"R$",""),".",""),",","."))),0)),""))</f>
        <v/>
      </c>
      <c r="C440" s="4" t="str">
        <f>IF(Respostas_Brutas!B440="","",MIN(1,(IFERROR(VALUE(LEFT(Respostas_Brutas!I440,IFERROR(FIND(" ",Respostas_Brutas!I440)-1,LEN(Respostas_Brutas!I440)))),0)+IFERROR(VALUE(LEFT(Respostas_Brutas!O440,IFERROR(FIND(" ",Respostas_Brutas!O440)-1,LEN(Respostas_Brutas!O440)))),0))/20))</f>
        <v/>
      </c>
      <c r="D440" s="4" t="str">
        <f>IF(Respostas_Brutas!B440="","",IF(Respostas_Brutas!D440="","",MIN(1,MAX(0,(YEAR(TODAY())-N(Respostas_Brutas!D440))/15))))</f>
        <v/>
      </c>
      <c r="E440" s="4" t="str">
        <f>IF(Respostas_Brutas!B440="","",IF(ISNUMBER(SEARCH("Sim",Respostas_Brutas!S440)),1,0))</f>
        <v/>
      </c>
      <c r="F440" s="4" t="str">
        <f>IF(Respostas_Brutas!B440="","",IFERROR(N(Respostas_Brutas!Y440)/N(Respostas_Brutas!Z440),""))</f>
        <v/>
      </c>
      <c r="G440" s="4" t="str">
        <f>IF(Respostas_Brutas!B440="","",IF(Respostas_Brutas!K440&lt;&gt;"",1,0))</f>
        <v/>
      </c>
      <c r="H440" s="4" t="str">
        <f>IF(Respostas_Brutas!B440="","",IF(ISNUMBER(SEARCH("Não",Respostas_Brutas!AH440)),1,0))</f>
        <v/>
      </c>
      <c r="I440" s="4" t="str">
        <f>IF(Respostas_Brutas!B440="","",IF(ISNUMBER(SEARCH("Sim",Respostas_Brutas!AL440)),1,0))</f>
        <v/>
      </c>
      <c r="J440" s="4" t="str">
        <f>IF(Respostas_Brutas!B440="","",IF(Respostas_Brutas!AN440="","",MIN(1,MAX(0,(N(Respostas_Brutas!AN440)-1)/4))))</f>
        <v/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tr">
        <f>IF(Respostas_Brutas!B441="","",Respostas_Brutas!B441)</f>
        <v/>
      </c>
      <c r="B441" s="4" t="str">
        <f>IF(Respostas_Brutas!B441="","",IFERROR(IF(IFERROR(VALUE(TRIM(SUBSTITUTE(SUBSTITUTE(SUBSTITUTE(TRIM(Respostas_Brutas!AS441),"R$",""),".",""),",","."))),0)=0,"",(IFERROR(VALUE(TRIM(SUBSTITUTE(SUBSTITUTE(SUBSTITUTE(TRIM(Respostas_Brutas!AS441),"R$",""),".",""),",","."))),0)-IFERROR(VALUE(TRIM(SUBSTITUTE(SUBSTITUTE(SUBSTITUTE(TRIM(Respostas_Brutas!T441),"R$",""),".",""),",","."))),0))/IFERROR(VALUE(TRIM(SUBSTITUTE(SUBSTITUTE(SUBSTITUTE(TRIM(Respostas_Brutas!AS441),"R$",""),".",""),",","."))),0)),""))</f>
        <v/>
      </c>
      <c r="C441" s="4" t="str">
        <f>IF(Respostas_Brutas!B441="","",MIN(1,(IFERROR(VALUE(LEFT(Respostas_Brutas!I441,IFERROR(FIND(" ",Respostas_Brutas!I441)-1,LEN(Respostas_Brutas!I441)))),0)+IFERROR(VALUE(LEFT(Respostas_Brutas!O441,IFERROR(FIND(" ",Respostas_Brutas!O441)-1,LEN(Respostas_Brutas!O441)))),0))/20))</f>
        <v/>
      </c>
      <c r="D441" s="4" t="str">
        <f>IF(Respostas_Brutas!B441="","",IF(Respostas_Brutas!D441="","",MIN(1,MAX(0,(YEAR(TODAY())-N(Respostas_Brutas!D441))/15))))</f>
        <v/>
      </c>
      <c r="E441" s="4" t="str">
        <f>IF(Respostas_Brutas!B441="","",IF(ISNUMBER(SEARCH("Sim",Respostas_Brutas!S441)),1,0))</f>
        <v/>
      </c>
      <c r="F441" s="4" t="str">
        <f>IF(Respostas_Brutas!B441="","",IFERROR(N(Respostas_Brutas!Y441)/N(Respostas_Brutas!Z441),""))</f>
        <v/>
      </c>
      <c r="G441" s="4" t="str">
        <f>IF(Respostas_Brutas!B441="","",IF(Respostas_Brutas!K441&lt;&gt;"",1,0))</f>
        <v/>
      </c>
      <c r="H441" s="4" t="str">
        <f>IF(Respostas_Brutas!B441="","",IF(ISNUMBER(SEARCH("Não",Respostas_Brutas!AH441)),1,0))</f>
        <v/>
      </c>
      <c r="I441" s="4" t="str">
        <f>IF(Respostas_Brutas!B441="","",IF(ISNUMBER(SEARCH("Sim",Respostas_Brutas!AL441)),1,0))</f>
        <v/>
      </c>
      <c r="J441" s="4" t="str">
        <f>IF(Respostas_Brutas!B441="","",IF(Respostas_Brutas!AN441="","",MIN(1,MAX(0,(N(Respostas_Brutas!AN441)-1)/4))))</f>
        <v/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tr">
        <f>IF(Respostas_Brutas!B442="","",Respostas_Brutas!B442)</f>
        <v/>
      </c>
      <c r="B442" s="4" t="str">
        <f>IF(Respostas_Brutas!B442="","",IFERROR(IF(IFERROR(VALUE(TRIM(SUBSTITUTE(SUBSTITUTE(SUBSTITUTE(TRIM(Respostas_Brutas!AS442),"R$",""),".",""),",","."))),0)=0,"",(IFERROR(VALUE(TRIM(SUBSTITUTE(SUBSTITUTE(SUBSTITUTE(TRIM(Respostas_Brutas!AS442),"R$",""),".",""),",","."))),0)-IFERROR(VALUE(TRIM(SUBSTITUTE(SUBSTITUTE(SUBSTITUTE(TRIM(Respostas_Brutas!T442),"R$",""),".",""),",","."))),0))/IFERROR(VALUE(TRIM(SUBSTITUTE(SUBSTITUTE(SUBSTITUTE(TRIM(Respostas_Brutas!AS442),"R$",""),".",""),",","."))),0)),""))</f>
        <v/>
      </c>
      <c r="C442" s="4" t="str">
        <f>IF(Respostas_Brutas!B442="","",MIN(1,(IFERROR(VALUE(LEFT(Respostas_Brutas!I442,IFERROR(FIND(" ",Respostas_Brutas!I442)-1,LEN(Respostas_Brutas!I442)))),0)+IFERROR(VALUE(LEFT(Respostas_Brutas!O442,IFERROR(FIND(" ",Respostas_Brutas!O442)-1,LEN(Respostas_Brutas!O442)))),0))/20))</f>
        <v/>
      </c>
      <c r="D442" s="4" t="str">
        <f>IF(Respostas_Brutas!B442="","",IF(Respostas_Brutas!D442="","",MIN(1,MAX(0,(YEAR(TODAY())-N(Respostas_Brutas!D442))/15))))</f>
        <v/>
      </c>
      <c r="E442" s="4" t="str">
        <f>IF(Respostas_Brutas!B442="","",IF(ISNUMBER(SEARCH("Sim",Respostas_Brutas!S442)),1,0))</f>
        <v/>
      </c>
      <c r="F442" s="4" t="str">
        <f>IF(Respostas_Brutas!B442="","",IFERROR(N(Respostas_Brutas!Y442)/N(Respostas_Brutas!Z442),""))</f>
        <v/>
      </c>
      <c r="G442" s="4" t="str">
        <f>IF(Respostas_Brutas!B442="","",IF(Respostas_Brutas!K442&lt;&gt;"",1,0))</f>
        <v/>
      </c>
      <c r="H442" s="4" t="str">
        <f>IF(Respostas_Brutas!B442="","",IF(ISNUMBER(SEARCH("Não",Respostas_Brutas!AH442)),1,0))</f>
        <v/>
      </c>
      <c r="I442" s="4" t="str">
        <f>IF(Respostas_Brutas!B442="","",IF(ISNUMBER(SEARCH("Sim",Respostas_Brutas!AL442)),1,0))</f>
        <v/>
      </c>
      <c r="J442" s="4" t="str">
        <f>IF(Respostas_Brutas!B442="","",IF(Respostas_Brutas!AN442="","",MIN(1,MAX(0,(N(Respostas_Brutas!AN442)-1)/4))))</f>
        <v/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tr">
        <f>IF(Respostas_Brutas!B443="","",Respostas_Brutas!B443)</f>
        <v/>
      </c>
      <c r="B443" s="4" t="str">
        <f>IF(Respostas_Brutas!B443="","",IFERROR(IF(IFERROR(VALUE(TRIM(SUBSTITUTE(SUBSTITUTE(SUBSTITUTE(TRIM(Respostas_Brutas!AS443),"R$",""),".",""),",","."))),0)=0,"",(IFERROR(VALUE(TRIM(SUBSTITUTE(SUBSTITUTE(SUBSTITUTE(TRIM(Respostas_Brutas!AS443),"R$",""),".",""),",","."))),0)-IFERROR(VALUE(TRIM(SUBSTITUTE(SUBSTITUTE(SUBSTITUTE(TRIM(Respostas_Brutas!T443),"R$",""),".",""),",","."))),0))/IFERROR(VALUE(TRIM(SUBSTITUTE(SUBSTITUTE(SUBSTITUTE(TRIM(Respostas_Brutas!AS443),"R$",""),".",""),",","."))),0)),""))</f>
        <v/>
      </c>
      <c r="C443" s="4" t="str">
        <f>IF(Respostas_Brutas!B443="","",MIN(1,(IFERROR(VALUE(LEFT(Respostas_Brutas!I443,IFERROR(FIND(" ",Respostas_Brutas!I443)-1,LEN(Respostas_Brutas!I443)))),0)+IFERROR(VALUE(LEFT(Respostas_Brutas!O443,IFERROR(FIND(" ",Respostas_Brutas!O443)-1,LEN(Respostas_Brutas!O443)))),0))/20))</f>
        <v/>
      </c>
      <c r="D443" s="4" t="str">
        <f>IF(Respostas_Brutas!B443="","",IF(Respostas_Brutas!D443="","",MIN(1,MAX(0,(YEAR(TODAY())-N(Respostas_Brutas!D443))/15))))</f>
        <v/>
      </c>
      <c r="E443" s="4" t="str">
        <f>IF(Respostas_Brutas!B443="","",IF(ISNUMBER(SEARCH("Sim",Respostas_Brutas!S443)),1,0))</f>
        <v/>
      </c>
      <c r="F443" s="4" t="str">
        <f>IF(Respostas_Brutas!B443="","",IFERROR(N(Respostas_Brutas!Y443)/N(Respostas_Brutas!Z443),""))</f>
        <v/>
      </c>
      <c r="G443" s="4" t="str">
        <f>IF(Respostas_Brutas!B443="","",IF(Respostas_Brutas!K443&lt;&gt;"",1,0))</f>
        <v/>
      </c>
      <c r="H443" s="4" t="str">
        <f>IF(Respostas_Brutas!B443="","",IF(ISNUMBER(SEARCH("Não",Respostas_Brutas!AH443)),1,0))</f>
        <v/>
      </c>
      <c r="I443" s="4" t="str">
        <f>IF(Respostas_Brutas!B443="","",IF(ISNUMBER(SEARCH("Sim",Respostas_Brutas!AL443)),1,0))</f>
        <v/>
      </c>
      <c r="J443" s="4" t="str">
        <f>IF(Respostas_Brutas!B443="","",IF(Respostas_Brutas!AN443="","",MIN(1,MAX(0,(N(Respostas_Brutas!AN443)-1)/4))))</f>
        <v/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tr">
        <f>IF(Respostas_Brutas!B444="","",Respostas_Brutas!B444)</f>
        <v/>
      </c>
      <c r="B444" s="4" t="str">
        <f>IF(Respostas_Brutas!B444="","",IFERROR(IF(IFERROR(VALUE(TRIM(SUBSTITUTE(SUBSTITUTE(SUBSTITUTE(TRIM(Respostas_Brutas!AS444),"R$",""),".",""),",","."))),0)=0,"",(IFERROR(VALUE(TRIM(SUBSTITUTE(SUBSTITUTE(SUBSTITUTE(TRIM(Respostas_Brutas!AS444),"R$",""),".",""),",","."))),0)-IFERROR(VALUE(TRIM(SUBSTITUTE(SUBSTITUTE(SUBSTITUTE(TRIM(Respostas_Brutas!T444),"R$",""),".",""),",","."))),0))/IFERROR(VALUE(TRIM(SUBSTITUTE(SUBSTITUTE(SUBSTITUTE(TRIM(Respostas_Brutas!AS444),"R$",""),".",""),",","."))),0)),""))</f>
        <v/>
      </c>
      <c r="C444" s="4" t="str">
        <f>IF(Respostas_Brutas!B444="","",MIN(1,(IFERROR(VALUE(LEFT(Respostas_Brutas!I444,IFERROR(FIND(" ",Respostas_Brutas!I444)-1,LEN(Respostas_Brutas!I444)))),0)+IFERROR(VALUE(LEFT(Respostas_Brutas!O444,IFERROR(FIND(" ",Respostas_Brutas!O444)-1,LEN(Respostas_Brutas!O444)))),0))/20))</f>
        <v/>
      </c>
      <c r="D444" s="4" t="str">
        <f>IF(Respostas_Brutas!B444="","",IF(Respostas_Brutas!D444="","",MIN(1,MAX(0,(YEAR(TODAY())-N(Respostas_Brutas!D444))/15))))</f>
        <v/>
      </c>
      <c r="E444" s="4" t="str">
        <f>IF(Respostas_Brutas!B444="","",IF(ISNUMBER(SEARCH("Sim",Respostas_Brutas!S444)),1,0))</f>
        <v/>
      </c>
      <c r="F444" s="4" t="str">
        <f>IF(Respostas_Brutas!B444="","",IFERROR(N(Respostas_Brutas!Y444)/N(Respostas_Brutas!Z444),""))</f>
        <v/>
      </c>
      <c r="G444" s="4" t="str">
        <f>IF(Respostas_Brutas!B444="","",IF(Respostas_Brutas!K444&lt;&gt;"",1,0))</f>
        <v/>
      </c>
      <c r="H444" s="4" t="str">
        <f>IF(Respostas_Brutas!B444="","",IF(ISNUMBER(SEARCH("Não",Respostas_Brutas!AH444)),1,0))</f>
        <v/>
      </c>
      <c r="I444" s="4" t="str">
        <f>IF(Respostas_Brutas!B444="","",IF(ISNUMBER(SEARCH("Sim",Respostas_Brutas!AL444)),1,0))</f>
        <v/>
      </c>
      <c r="J444" s="4" t="str">
        <f>IF(Respostas_Brutas!B444="","",IF(Respostas_Brutas!AN444="","",MIN(1,MAX(0,(N(Respostas_Brutas!AN444)-1)/4))))</f>
        <v/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tr">
        <f>IF(Respostas_Brutas!B445="","",Respostas_Brutas!B445)</f>
        <v/>
      </c>
      <c r="B445" s="4" t="str">
        <f>IF(Respostas_Brutas!B445="","",IFERROR(IF(IFERROR(VALUE(TRIM(SUBSTITUTE(SUBSTITUTE(SUBSTITUTE(TRIM(Respostas_Brutas!AS445),"R$",""),".",""),",","."))),0)=0,"",(IFERROR(VALUE(TRIM(SUBSTITUTE(SUBSTITUTE(SUBSTITUTE(TRIM(Respostas_Brutas!AS445),"R$",""),".",""),",","."))),0)-IFERROR(VALUE(TRIM(SUBSTITUTE(SUBSTITUTE(SUBSTITUTE(TRIM(Respostas_Brutas!T445),"R$",""),".",""),",","."))),0))/IFERROR(VALUE(TRIM(SUBSTITUTE(SUBSTITUTE(SUBSTITUTE(TRIM(Respostas_Brutas!AS445),"R$",""),".",""),",","."))),0)),""))</f>
        <v/>
      </c>
      <c r="C445" s="4" t="str">
        <f>IF(Respostas_Brutas!B445="","",MIN(1,(IFERROR(VALUE(LEFT(Respostas_Brutas!I445,IFERROR(FIND(" ",Respostas_Brutas!I445)-1,LEN(Respostas_Brutas!I445)))),0)+IFERROR(VALUE(LEFT(Respostas_Brutas!O445,IFERROR(FIND(" ",Respostas_Brutas!O445)-1,LEN(Respostas_Brutas!O445)))),0))/20))</f>
        <v/>
      </c>
      <c r="D445" s="4" t="str">
        <f>IF(Respostas_Brutas!B445="","",IF(Respostas_Brutas!D445="","",MIN(1,MAX(0,(YEAR(TODAY())-N(Respostas_Brutas!D445))/15))))</f>
        <v/>
      </c>
      <c r="E445" s="4" t="str">
        <f>IF(Respostas_Brutas!B445="","",IF(ISNUMBER(SEARCH("Sim",Respostas_Brutas!S445)),1,0))</f>
        <v/>
      </c>
      <c r="F445" s="4" t="str">
        <f>IF(Respostas_Brutas!B445="","",IFERROR(N(Respostas_Brutas!Y445)/N(Respostas_Brutas!Z445),""))</f>
        <v/>
      </c>
      <c r="G445" s="4" t="str">
        <f>IF(Respostas_Brutas!B445="","",IF(Respostas_Brutas!K445&lt;&gt;"",1,0))</f>
        <v/>
      </c>
      <c r="H445" s="4" t="str">
        <f>IF(Respostas_Brutas!B445="","",IF(ISNUMBER(SEARCH("Não",Respostas_Brutas!AH445)),1,0))</f>
        <v/>
      </c>
      <c r="I445" s="4" t="str">
        <f>IF(Respostas_Brutas!B445="","",IF(ISNUMBER(SEARCH("Sim",Respostas_Brutas!AL445)),1,0))</f>
        <v/>
      </c>
      <c r="J445" s="4" t="str">
        <f>IF(Respostas_Brutas!B445="","",IF(Respostas_Brutas!AN445="","",MIN(1,MAX(0,(N(Respostas_Brutas!AN445)-1)/4))))</f>
        <v/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tr">
        <f>IF(Respostas_Brutas!B446="","",Respostas_Brutas!B446)</f>
        <v/>
      </c>
      <c r="B446" s="4" t="str">
        <f>IF(Respostas_Brutas!B446="","",IFERROR(IF(IFERROR(VALUE(TRIM(SUBSTITUTE(SUBSTITUTE(SUBSTITUTE(TRIM(Respostas_Brutas!AS446),"R$",""),".",""),",","."))),0)=0,"",(IFERROR(VALUE(TRIM(SUBSTITUTE(SUBSTITUTE(SUBSTITUTE(TRIM(Respostas_Brutas!AS446),"R$",""),".",""),",","."))),0)-IFERROR(VALUE(TRIM(SUBSTITUTE(SUBSTITUTE(SUBSTITUTE(TRIM(Respostas_Brutas!T446),"R$",""),".",""),",","."))),0))/IFERROR(VALUE(TRIM(SUBSTITUTE(SUBSTITUTE(SUBSTITUTE(TRIM(Respostas_Brutas!AS446),"R$",""),".",""),",","."))),0)),""))</f>
        <v/>
      </c>
      <c r="C446" s="4" t="str">
        <f>IF(Respostas_Brutas!B446="","",MIN(1,(IFERROR(VALUE(LEFT(Respostas_Brutas!I446,IFERROR(FIND(" ",Respostas_Brutas!I446)-1,LEN(Respostas_Brutas!I446)))),0)+IFERROR(VALUE(LEFT(Respostas_Brutas!O446,IFERROR(FIND(" ",Respostas_Brutas!O446)-1,LEN(Respostas_Brutas!O446)))),0))/20))</f>
        <v/>
      </c>
      <c r="D446" s="4" t="str">
        <f>IF(Respostas_Brutas!B446="","",IF(Respostas_Brutas!D446="","",MIN(1,MAX(0,(YEAR(TODAY())-N(Respostas_Brutas!D446))/15))))</f>
        <v/>
      </c>
      <c r="E446" s="4" t="str">
        <f>IF(Respostas_Brutas!B446="","",IF(ISNUMBER(SEARCH("Sim",Respostas_Brutas!S446)),1,0))</f>
        <v/>
      </c>
      <c r="F446" s="4" t="str">
        <f>IF(Respostas_Brutas!B446="","",IFERROR(N(Respostas_Brutas!Y446)/N(Respostas_Brutas!Z446),""))</f>
        <v/>
      </c>
      <c r="G446" s="4" t="str">
        <f>IF(Respostas_Brutas!B446="","",IF(Respostas_Brutas!K446&lt;&gt;"",1,0))</f>
        <v/>
      </c>
      <c r="H446" s="4" t="str">
        <f>IF(Respostas_Brutas!B446="","",IF(ISNUMBER(SEARCH("Não",Respostas_Brutas!AH446)),1,0))</f>
        <v/>
      </c>
      <c r="I446" s="4" t="str">
        <f>IF(Respostas_Brutas!B446="","",IF(ISNUMBER(SEARCH("Sim",Respostas_Brutas!AL446)),1,0))</f>
        <v/>
      </c>
      <c r="J446" s="4" t="str">
        <f>IF(Respostas_Brutas!B446="","",IF(Respostas_Brutas!AN446="","",MIN(1,MAX(0,(N(Respostas_Brutas!AN446)-1)/4))))</f>
        <v/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tr">
        <f>IF(Respostas_Brutas!B447="","",Respostas_Brutas!B447)</f>
        <v/>
      </c>
      <c r="B447" s="4" t="str">
        <f>IF(Respostas_Brutas!B447="","",IFERROR(IF(IFERROR(VALUE(TRIM(SUBSTITUTE(SUBSTITUTE(SUBSTITUTE(TRIM(Respostas_Brutas!AS447),"R$",""),".",""),",","."))),0)=0,"",(IFERROR(VALUE(TRIM(SUBSTITUTE(SUBSTITUTE(SUBSTITUTE(TRIM(Respostas_Brutas!AS447),"R$",""),".",""),",","."))),0)-IFERROR(VALUE(TRIM(SUBSTITUTE(SUBSTITUTE(SUBSTITUTE(TRIM(Respostas_Brutas!T447),"R$",""),".",""),",","."))),0))/IFERROR(VALUE(TRIM(SUBSTITUTE(SUBSTITUTE(SUBSTITUTE(TRIM(Respostas_Brutas!AS447),"R$",""),".",""),",","."))),0)),""))</f>
        <v/>
      </c>
      <c r="C447" s="4" t="str">
        <f>IF(Respostas_Brutas!B447="","",MIN(1,(IFERROR(VALUE(LEFT(Respostas_Brutas!I447,IFERROR(FIND(" ",Respostas_Brutas!I447)-1,LEN(Respostas_Brutas!I447)))),0)+IFERROR(VALUE(LEFT(Respostas_Brutas!O447,IFERROR(FIND(" ",Respostas_Brutas!O447)-1,LEN(Respostas_Brutas!O447)))),0))/20))</f>
        <v/>
      </c>
      <c r="D447" s="4" t="str">
        <f>IF(Respostas_Brutas!B447="","",IF(Respostas_Brutas!D447="","",MIN(1,MAX(0,(YEAR(TODAY())-N(Respostas_Brutas!D447))/15))))</f>
        <v/>
      </c>
      <c r="E447" s="4" t="str">
        <f>IF(Respostas_Brutas!B447="","",IF(ISNUMBER(SEARCH("Sim",Respostas_Brutas!S447)),1,0))</f>
        <v/>
      </c>
      <c r="F447" s="4" t="str">
        <f>IF(Respostas_Brutas!B447="","",IFERROR(N(Respostas_Brutas!Y447)/N(Respostas_Brutas!Z447),""))</f>
        <v/>
      </c>
      <c r="G447" s="4" t="str">
        <f>IF(Respostas_Brutas!B447="","",IF(Respostas_Brutas!K447&lt;&gt;"",1,0))</f>
        <v/>
      </c>
      <c r="H447" s="4" t="str">
        <f>IF(Respostas_Brutas!B447="","",IF(ISNUMBER(SEARCH("Não",Respostas_Brutas!AH447)),1,0))</f>
        <v/>
      </c>
      <c r="I447" s="4" t="str">
        <f>IF(Respostas_Brutas!B447="","",IF(ISNUMBER(SEARCH("Sim",Respostas_Brutas!AL447)),1,0))</f>
        <v/>
      </c>
      <c r="J447" s="4" t="str">
        <f>IF(Respostas_Brutas!B447="","",IF(Respostas_Brutas!AN447="","",MIN(1,MAX(0,(N(Respostas_Brutas!AN447)-1)/4))))</f>
        <v/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tr">
        <f>IF(Respostas_Brutas!B448="","",Respostas_Brutas!B448)</f>
        <v/>
      </c>
      <c r="B448" s="4" t="str">
        <f>IF(Respostas_Brutas!B448="","",IFERROR(IF(IFERROR(VALUE(TRIM(SUBSTITUTE(SUBSTITUTE(SUBSTITUTE(TRIM(Respostas_Brutas!AS448),"R$",""),".",""),",","."))),0)=0,"",(IFERROR(VALUE(TRIM(SUBSTITUTE(SUBSTITUTE(SUBSTITUTE(TRIM(Respostas_Brutas!AS448),"R$",""),".",""),",","."))),0)-IFERROR(VALUE(TRIM(SUBSTITUTE(SUBSTITUTE(SUBSTITUTE(TRIM(Respostas_Brutas!T448),"R$",""),".",""),",","."))),0))/IFERROR(VALUE(TRIM(SUBSTITUTE(SUBSTITUTE(SUBSTITUTE(TRIM(Respostas_Brutas!AS448),"R$",""),".",""),",","."))),0)),""))</f>
        <v/>
      </c>
      <c r="C448" s="4" t="str">
        <f>IF(Respostas_Brutas!B448="","",MIN(1,(IFERROR(VALUE(LEFT(Respostas_Brutas!I448,IFERROR(FIND(" ",Respostas_Brutas!I448)-1,LEN(Respostas_Brutas!I448)))),0)+IFERROR(VALUE(LEFT(Respostas_Brutas!O448,IFERROR(FIND(" ",Respostas_Brutas!O448)-1,LEN(Respostas_Brutas!O448)))),0))/20))</f>
        <v/>
      </c>
      <c r="D448" s="4" t="str">
        <f>IF(Respostas_Brutas!B448="","",IF(Respostas_Brutas!D448="","",MIN(1,MAX(0,(YEAR(TODAY())-N(Respostas_Brutas!D448))/15))))</f>
        <v/>
      </c>
      <c r="E448" s="4" t="str">
        <f>IF(Respostas_Brutas!B448="","",IF(ISNUMBER(SEARCH("Sim",Respostas_Brutas!S448)),1,0))</f>
        <v/>
      </c>
      <c r="F448" s="4" t="str">
        <f>IF(Respostas_Brutas!B448="","",IFERROR(N(Respostas_Brutas!Y448)/N(Respostas_Brutas!Z448),""))</f>
        <v/>
      </c>
      <c r="G448" s="4" t="str">
        <f>IF(Respostas_Brutas!B448="","",IF(Respostas_Brutas!K448&lt;&gt;"",1,0))</f>
        <v/>
      </c>
      <c r="H448" s="4" t="str">
        <f>IF(Respostas_Brutas!B448="","",IF(ISNUMBER(SEARCH("Não",Respostas_Brutas!AH448)),1,0))</f>
        <v/>
      </c>
      <c r="I448" s="4" t="str">
        <f>IF(Respostas_Brutas!B448="","",IF(ISNUMBER(SEARCH("Sim",Respostas_Brutas!AL448)),1,0))</f>
        <v/>
      </c>
      <c r="J448" s="4" t="str">
        <f>IF(Respostas_Brutas!B448="","",IF(Respostas_Brutas!AN448="","",MIN(1,MAX(0,(N(Respostas_Brutas!AN448)-1)/4))))</f>
        <v/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tr">
        <f>IF(Respostas_Brutas!B449="","",Respostas_Brutas!B449)</f>
        <v/>
      </c>
      <c r="B449" s="4" t="str">
        <f>IF(Respostas_Brutas!B449="","",IFERROR(IF(IFERROR(VALUE(TRIM(SUBSTITUTE(SUBSTITUTE(SUBSTITUTE(TRIM(Respostas_Brutas!AS449),"R$",""),".",""),",","."))),0)=0,"",(IFERROR(VALUE(TRIM(SUBSTITUTE(SUBSTITUTE(SUBSTITUTE(TRIM(Respostas_Brutas!AS449),"R$",""),".",""),",","."))),0)-IFERROR(VALUE(TRIM(SUBSTITUTE(SUBSTITUTE(SUBSTITUTE(TRIM(Respostas_Brutas!T449),"R$",""),".",""),",","."))),0))/IFERROR(VALUE(TRIM(SUBSTITUTE(SUBSTITUTE(SUBSTITUTE(TRIM(Respostas_Brutas!AS449),"R$",""),".",""),",","."))),0)),""))</f>
        <v/>
      </c>
      <c r="C449" s="4" t="str">
        <f>IF(Respostas_Brutas!B449="","",MIN(1,(IFERROR(VALUE(LEFT(Respostas_Brutas!I449,IFERROR(FIND(" ",Respostas_Brutas!I449)-1,LEN(Respostas_Brutas!I449)))),0)+IFERROR(VALUE(LEFT(Respostas_Brutas!O449,IFERROR(FIND(" ",Respostas_Brutas!O449)-1,LEN(Respostas_Brutas!O449)))),0))/20))</f>
        <v/>
      </c>
      <c r="D449" s="4" t="str">
        <f>IF(Respostas_Brutas!B449="","",IF(Respostas_Brutas!D449="","",MIN(1,MAX(0,(YEAR(TODAY())-N(Respostas_Brutas!D449))/15))))</f>
        <v/>
      </c>
      <c r="E449" s="4" t="str">
        <f>IF(Respostas_Brutas!B449="","",IF(ISNUMBER(SEARCH("Sim",Respostas_Brutas!S449)),1,0))</f>
        <v/>
      </c>
      <c r="F449" s="4" t="str">
        <f>IF(Respostas_Brutas!B449="","",IFERROR(N(Respostas_Brutas!Y449)/N(Respostas_Brutas!Z449),""))</f>
        <v/>
      </c>
      <c r="G449" s="4" t="str">
        <f>IF(Respostas_Brutas!B449="","",IF(Respostas_Brutas!K449&lt;&gt;"",1,0))</f>
        <v/>
      </c>
      <c r="H449" s="4" t="str">
        <f>IF(Respostas_Brutas!B449="","",IF(ISNUMBER(SEARCH("Não",Respostas_Brutas!AH449)),1,0))</f>
        <v/>
      </c>
      <c r="I449" s="4" t="str">
        <f>IF(Respostas_Brutas!B449="","",IF(ISNUMBER(SEARCH("Sim",Respostas_Brutas!AL449)),1,0))</f>
        <v/>
      </c>
      <c r="J449" s="4" t="str">
        <f>IF(Respostas_Brutas!B449="","",IF(Respostas_Brutas!AN449="","",MIN(1,MAX(0,(N(Respostas_Brutas!AN449)-1)/4))))</f>
        <v/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tr">
        <f>IF(Respostas_Brutas!B450="","",Respostas_Brutas!B450)</f>
        <v/>
      </c>
      <c r="B450" s="4" t="str">
        <f>IF(Respostas_Brutas!B450="","",IFERROR(IF(IFERROR(VALUE(TRIM(SUBSTITUTE(SUBSTITUTE(SUBSTITUTE(TRIM(Respostas_Brutas!AS450),"R$",""),".",""),",","."))),0)=0,"",(IFERROR(VALUE(TRIM(SUBSTITUTE(SUBSTITUTE(SUBSTITUTE(TRIM(Respostas_Brutas!AS450),"R$",""),".",""),",","."))),0)-IFERROR(VALUE(TRIM(SUBSTITUTE(SUBSTITUTE(SUBSTITUTE(TRIM(Respostas_Brutas!T450),"R$",""),".",""),",","."))),0))/IFERROR(VALUE(TRIM(SUBSTITUTE(SUBSTITUTE(SUBSTITUTE(TRIM(Respostas_Brutas!AS450),"R$",""),".",""),",","."))),0)),""))</f>
        <v/>
      </c>
      <c r="C450" s="4" t="str">
        <f>IF(Respostas_Brutas!B450="","",MIN(1,(IFERROR(VALUE(LEFT(Respostas_Brutas!I450,IFERROR(FIND(" ",Respostas_Brutas!I450)-1,LEN(Respostas_Brutas!I450)))),0)+IFERROR(VALUE(LEFT(Respostas_Brutas!O450,IFERROR(FIND(" ",Respostas_Brutas!O450)-1,LEN(Respostas_Brutas!O450)))),0))/20))</f>
        <v/>
      </c>
      <c r="D450" s="4" t="str">
        <f>IF(Respostas_Brutas!B450="","",IF(Respostas_Brutas!D450="","",MIN(1,MAX(0,(YEAR(TODAY())-N(Respostas_Brutas!D450))/15))))</f>
        <v/>
      </c>
      <c r="E450" s="4" t="str">
        <f>IF(Respostas_Brutas!B450="","",IF(ISNUMBER(SEARCH("Sim",Respostas_Brutas!S450)),1,0))</f>
        <v/>
      </c>
      <c r="F450" s="4" t="str">
        <f>IF(Respostas_Brutas!B450="","",IFERROR(N(Respostas_Brutas!Y450)/N(Respostas_Brutas!Z450),""))</f>
        <v/>
      </c>
      <c r="G450" s="4" t="str">
        <f>IF(Respostas_Brutas!B450="","",IF(Respostas_Brutas!K450&lt;&gt;"",1,0))</f>
        <v/>
      </c>
      <c r="H450" s="4" t="str">
        <f>IF(Respostas_Brutas!B450="","",IF(ISNUMBER(SEARCH("Não",Respostas_Brutas!AH450)),1,0))</f>
        <v/>
      </c>
      <c r="I450" s="4" t="str">
        <f>IF(Respostas_Brutas!B450="","",IF(ISNUMBER(SEARCH("Sim",Respostas_Brutas!AL450)),1,0))</f>
        <v/>
      </c>
      <c r="J450" s="4" t="str">
        <f>IF(Respostas_Brutas!B450="","",IF(Respostas_Brutas!AN450="","",MIN(1,MAX(0,(N(Respostas_Brutas!AN450)-1)/4))))</f>
        <v/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tr">
        <f>IF(Respostas_Brutas!B451="","",Respostas_Brutas!B451)</f>
        <v/>
      </c>
      <c r="B451" s="4" t="str">
        <f>IF(Respostas_Brutas!B451="","",IFERROR(IF(IFERROR(VALUE(TRIM(SUBSTITUTE(SUBSTITUTE(SUBSTITUTE(TRIM(Respostas_Brutas!AS451),"R$",""),".",""),",","."))),0)=0,"",(IFERROR(VALUE(TRIM(SUBSTITUTE(SUBSTITUTE(SUBSTITUTE(TRIM(Respostas_Brutas!AS451),"R$",""),".",""),",","."))),0)-IFERROR(VALUE(TRIM(SUBSTITUTE(SUBSTITUTE(SUBSTITUTE(TRIM(Respostas_Brutas!T451),"R$",""),".",""),",","."))),0))/IFERROR(VALUE(TRIM(SUBSTITUTE(SUBSTITUTE(SUBSTITUTE(TRIM(Respostas_Brutas!AS451),"R$",""),".",""),",","."))),0)),""))</f>
        <v/>
      </c>
      <c r="C451" s="4" t="str">
        <f>IF(Respostas_Brutas!B451="","",MIN(1,(IFERROR(VALUE(LEFT(Respostas_Brutas!I451,IFERROR(FIND(" ",Respostas_Brutas!I451)-1,LEN(Respostas_Brutas!I451)))),0)+IFERROR(VALUE(LEFT(Respostas_Brutas!O451,IFERROR(FIND(" ",Respostas_Brutas!O451)-1,LEN(Respostas_Brutas!O451)))),0))/20))</f>
        <v/>
      </c>
      <c r="D451" s="4" t="str">
        <f>IF(Respostas_Brutas!B451="","",IF(Respostas_Brutas!D451="","",MIN(1,MAX(0,(YEAR(TODAY())-N(Respostas_Brutas!D451))/15))))</f>
        <v/>
      </c>
      <c r="E451" s="4" t="str">
        <f>IF(Respostas_Brutas!B451="","",IF(ISNUMBER(SEARCH("Sim",Respostas_Brutas!S451)),1,0))</f>
        <v/>
      </c>
      <c r="F451" s="4" t="str">
        <f>IF(Respostas_Brutas!B451="","",IFERROR(N(Respostas_Brutas!Y451)/N(Respostas_Brutas!Z451),""))</f>
        <v/>
      </c>
      <c r="G451" s="4" t="str">
        <f>IF(Respostas_Brutas!B451="","",IF(Respostas_Brutas!K451&lt;&gt;"",1,0))</f>
        <v/>
      </c>
      <c r="H451" s="4" t="str">
        <f>IF(Respostas_Brutas!B451="","",IF(ISNUMBER(SEARCH("Não",Respostas_Brutas!AH451)),1,0))</f>
        <v/>
      </c>
      <c r="I451" s="4" t="str">
        <f>IF(Respostas_Brutas!B451="","",IF(ISNUMBER(SEARCH("Sim",Respostas_Brutas!AL451)),1,0))</f>
        <v/>
      </c>
      <c r="J451" s="4" t="str">
        <f>IF(Respostas_Brutas!B451="","",IF(Respostas_Brutas!AN451="","",MIN(1,MAX(0,(N(Respostas_Brutas!AN451)-1)/4))))</f>
        <v/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tr">
        <f>IF(Respostas_Brutas!B452="","",Respostas_Brutas!B452)</f>
        <v/>
      </c>
      <c r="B452" s="4" t="str">
        <f>IF(Respostas_Brutas!B452="","",IFERROR(IF(IFERROR(VALUE(TRIM(SUBSTITUTE(SUBSTITUTE(SUBSTITUTE(TRIM(Respostas_Brutas!AS452),"R$",""),".",""),",","."))),0)=0,"",(IFERROR(VALUE(TRIM(SUBSTITUTE(SUBSTITUTE(SUBSTITUTE(TRIM(Respostas_Brutas!AS452),"R$",""),".",""),",","."))),0)-IFERROR(VALUE(TRIM(SUBSTITUTE(SUBSTITUTE(SUBSTITUTE(TRIM(Respostas_Brutas!T452),"R$",""),".",""),",","."))),0))/IFERROR(VALUE(TRIM(SUBSTITUTE(SUBSTITUTE(SUBSTITUTE(TRIM(Respostas_Brutas!AS452),"R$",""),".",""),",","."))),0)),""))</f>
        <v/>
      </c>
      <c r="C452" s="4" t="str">
        <f>IF(Respostas_Brutas!B452="","",MIN(1,(IFERROR(VALUE(LEFT(Respostas_Brutas!I452,IFERROR(FIND(" ",Respostas_Brutas!I452)-1,LEN(Respostas_Brutas!I452)))),0)+IFERROR(VALUE(LEFT(Respostas_Brutas!O452,IFERROR(FIND(" ",Respostas_Brutas!O452)-1,LEN(Respostas_Brutas!O452)))),0))/20))</f>
        <v/>
      </c>
      <c r="D452" s="4" t="str">
        <f>IF(Respostas_Brutas!B452="","",IF(Respostas_Brutas!D452="","",MIN(1,MAX(0,(YEAR(TODAY())-N(Respostas_Brutas!D452))/15))))</f>
        <v/>
      </c>
      <c r="E452" s="4" t="str">
        <f>IF(Respostas_Brutas!B452="","",IF(ISNUMBER(SEARCH("Sim",Respostas_Brutas!S452)),1,0))</f>
        <v/>
      </c>
      <c r="F452" s="4" t="str">
        <f>IF(Respostas_Brutas!B452="","",IFERROR(N(Respostas_Brutas!Y452)/N(Respostas_Brutas!Z452),""))</f>
        <v/>
      </c>
      <c r="G452" s="4" t="str">
        <f>IF(Respostas_Brutas!B452="","",IF(Respostas_Brutas!K452&lt;&gt;"",1,0))</f>
        <v/>
      </c>
      <c r="H452" s="4" t="str">
        <f>IF(Respostas_Brutas!B452="","",IF(ISNUMBER(SEARCH("Não",Respostas_Brutas!AH452)),1,0))</f>
        <v/>
      </c>
      <c r="I452" s="4" t="str">
        <f>IF(Respostas_Brutas!B452="","",IF(ISNUMBER(SEARCH("Sim",Respostas_Brutas!AL452)),1,0))</f>
        <v/>
      </c>
      <c r="J452" s="4" t="str">
        <f>IF(Respostas_Brutas!B452="","",IF(Respostas_Brutas!AN452="","",MIN(1,MAX(0,(N(Respostas_Brutas!AN452)-1)/4))))</f>
        <v/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tr">
        <f>IF(Respostas_Brutas!B453="","",Respostas_Brutas!B453)</f>
        <v/>
      </c>
      <c r="B453" s="4" t="str">
        <f>IF(Respostas_Brutas!B453="","",IFERROR(IF(IFERROR(VALUE(TRIM(SUBSTITUTE(SUBSTITUTE(SUBSTITUTE(TRIM(Respostas_Brutas!AS453),"R$",""),".",""),",","."))),0)=0,"",(IFERROR(VALUE(TRIM(SUBSTITUTE(SUBSTITUTE(SUBSTITUTE(TRIM(Respostas_Brutas!AS453),"R$",""),".",""),",","."))),0)-IFERROR(VALUE(TRIM(SUBSTITUTE(SUBSTITUTE(SUBSTITUTE(TRIM(Respostas_Brutas!T453),"R$",""),".",""),",","."))),0))/IFERROR(VALUE(TRIM(SUBSTITUTE(SUBSTITUTE(SUBSTITUTE(TRIM(Respostas_Brutas!AS453),"R$",""),".",""),",","."))),0)),""))</f>
        <v/>
      </c>
      <c r="C453" s="4" t="str">
        <f>IF(Respostas_Brutas!B453="","",MIN(1,(IFERROR(VALUE(LEFT(Respostas_Brutas!I453,IFERROR(FIND(" ",Respostas_Brutas!I453)-1,LEN(Respostas_Brutas!I453)))),0)+IFERROR(VALUE(LEFT(Respostas_Brutas!O453,IFERROR(FIND(" ",Respostas_Brutas!O453)-1,LEN(Respostas_Brutas!O453)))),0))/20))</f>
        <v/>
      </c>
      <c r="D453" s="4" t="str">
        <f>IF(Respostas_Brutas!B453="","",IF(Respostas_Brutas!D453="","",MIN(1,MAX(0,(YEAR(TODAY())-N(Respostas_Brutas!D453))/15))))</f>
        <v/>
      </c>
      <c r="E453" s="4" t="str">
        <f>IF(Respostas_Brutas!B453="","",IF(ISNUMBER(SEARCH("Sim",Respostas_Brutas!S453)),1,0))</f>
        <v/>
      </c>
      <c r="F453" s="4" t="str">
        <f>IF(Respostas_Brutas!B453="","",IFERROR(N(Respostas_Brutas!Y453)/N(Respostas_Brutas!Z453),""))</f>
        <v/>
      </c>
      <c r="G453" s="4" t="str">
        <f>IF(Respostas_Brutas!B453="","",IF(Respostas_Brutas!K453&lt;&gt;"",1,0))</f>
        <v/>
      </c>
      <c r="H453" s="4" t="str">
        <f>IF(Respostas_Brutas!B453="","",IF(ISNUMBER(SEARCH("Não",Respostas_Brutas!AH453)),1,0))</f>
        <v/>
      </c>
      <c r="I453" s="4" t="str">
        <f>IF(Respostas_Brutas!B453="","",IF(ISNUMBER(SEARCH("Sim",Respostas_Brutas!AL453)),1,0))</f>
        <v/>
      </c>
      <c r="J453" s="4" t="str">
        <f>IF(Respostas_Brutas!B453="","",IF(Respostas_Brutas!AN453="","",MIN(1,MAX(0,(N(Respostas_Brutas!AN453)-1)/4))))</f>
        <v/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tr">
        <f>IF(Respostas_Brutas!B454="","",Respostas_Brutas!B454)</f>
        <v/>
      </c>
      <c r="B454" s="4" t="str">
        <f>IF(Respostas_Brutas!B454="","",IFERROR(IF(IFERROR(VALUE(TRIM(SUBSTITUTE(SUBSTITUTE(SUBSTITUTE(TRIM(Respostas_Brutas!AS454),"R$",""),".",""),",","."))),0)=0,"",(IFERROR(VALUE(TRIM(SUBSTITUTE(SUBSTITUTE(SUBSTITUTE(TRIM(Respostas_Brutas!AS454),"R$",""),".",""),",","."))),0)-IFERROR(VALUE(TRIM(SUBSTITUTE(SUBSTITUTE(SUBSTITUTE(TRIM(Respostas_Brutas!T454),"R$",""),".",""),",","."))),0))/IFERROR(VALUE(TRIM(SUBSTITUTE(SUBSTITUTE(SUBSTITUTE(TRIM(Respostas_Brutas!AS454),"R$",""),".",""),",","."))),0)),""))</f>
        <v/>
      </c>
      <c r="C454" s="4" t="str">
        <f>IF(Respostas_Brutas!B454="","",MIN(1,(IFERROR(VALUE(LEFT(Respostas_Brutas!I454,IFERROR(FIND(" ",Respostas_Brutas!I454)-1,LEN(Respostas_Brutas!I454)))),0)+IFERROR(VALUE(LEFT(Respostas_Brutas!O454,IFERROR(FIND(" ",Respostas_Brutas!O454)-1,LEN(Respostas_Brutas!O454)))),0))/20))</f>
        <v/>
      </c>
      <c r="D454" s="4" t="str">
        <f>IF(Respostas_Brutas!B454="","",IF(Respostas_Brutas!D454="","",MIN(1,MAX(0,(YEAR(TODAY())-N(Respostas_Brutas!D454))/15))))</f>
        <v/>
      </c>
      <c r="E454" s="4" t="str">
        <f>IF(Respostas_Brutas!B454="","",IF(ISNUMBER(SEARCH("Sim",Respostas_Brutas!S454)),1,0))</f>
        <v/>
      </c>
      <c r="F454" s="4" t="str">
        <f>IF(Respostas_Brutas!B454="","",IFERROR(N(Respostas_Brutas!Y454)/N(Respostas_Brutas!Z454),""))</f>
        <v/>
      </c>
      <c r="G454" s="4" t="str">
        <f>IF(Respostas_Brutas!B454="","",IF(Respostas_Brutas!K454&lt;&gt;"",1,0))</f>
        <v/>
      </c>
      <c r="H454" s="4" t="str">
        <f>IF(Respostas_Brutas!B454="","",IF(ISNUMBER(SEARCH("Não",Respostas_Brutas!AH454)),1,0))</f>
        <v/>
      </c>
      <c r="I454" s="4" t="str">
        <f>IF(Respostas_Brutas!B454="","",IF(ISNUMBER(SEARCH("Sim",Respostas_Brutas!AL454)),1,0))</f>
        <v/>
      </c>
      <c r="J454" s="4" t="str">
        <f>IF(Respostas_Brutas!B454="","",IF(Respostas_Brutas!AN454="","",MIN(1,MAX(0,(N(Respostas_Brutas!AN454)-1)/4))))</f>
        <v/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tr">
        <f>IF(Respostas_Brutas!B455="","",Respostas_Brutas!B455)</f>
        <v/>
      </c>
      <c r="B455" s="4" t="str">
        <f>IF(Respostas_Brutas!B455="","",IFERROR(IF(IFERROR(VALUE(TRIM(SUBSTITUTE(SUBSTITUTE(SUBSTITUTE(TRIM(Respostas_Brutas!AS455),"R$",""),".",""),",","."))),0)=0,"",(IFERROR(VALUE(TRIM(SUBSTITUTE(SUBSTITUTE(SUBSTITUTE(TRIM(Respostas_Brutas!AS455),"R$",""),".",""),",","."))),0)-IFERROR(VALUE(TRIM(SUBSTITUTE(SUBSTITUTE(SUBSTITUTE(TRIM(Respostas_Brutas!T455),"R$",""),".",""),",","."))),0))/IFERROR(VALUE(TRIM(SUBSTITUTE(SUBSTITUTE(SUBSTITUTE(TRIM(Respostas_Brutas!AS455),"R$",""),".",""),",","."))),0)),""))</f>
        <v/>
      </c>
      <c r="C455" s="4" t="str">
        <f>IF(Respostas_Brutas!B455="","",MIN(1,(IFERROR(VALUE(LEFT(Respostas_Brutas!I455,IFERROR(FIND(" ",Respostas_Brutas!I455)-1,LEN(Respostas_Brutas!I455)))),0)+IFERROR(VALUE(LEFT(Respostas_Brutas!O455,IFERROR(FIND(" ",Respostas_Brutas!O455)-1,LEN(Respostas_Brutas!O455)))),0))/20))</f>
        <v/>
      </c>
      <c r="D455" s="4" t="str">
        <f>IF(Respostas_Brutas!B455="","",IF(Respostas_Brutas!D455="","",MIN(1,MAX(0,(YEAR(TODAY())-N(Respostas_Brutas!D455))/15))))</f>
        <v/>
      </c>
      <c r="E455" s="4" t="str">
        <f>IF(Respostas_Brutas!B455="","",IF(ISNUMBER(SEARCH("Sim",Respostas_Brutas!S455)),1,0))</f>
        <v/>
      </c>
      <c r="F455" s="4" t="str">
        <f>IF(Respostas_Brutas!B455="","",IFERROR(N(Respostas_Brutas!Y455)/N(Respostas_Brutas!Z455),""))</f>
        <v/>
      </c>
      <c r="G455" s="4" t="str">
        <f>IF(Respostas_Brutas!B455="","",IF(Respostas_Brutas!K455&lt;&gt;"",1,0))</f>
        <v/>
      </c>
      <c r="H455" s="4" t="str">
        <f>IF(Respostas_Brutas!B455="","",IF(ISNUMBER(SEARCH("Não",Respostas_Brutas!AH455)),1,0))</f>
        <v/>
      </c>
      <c r="I455" s="4" t="str">
        <f>IF(Respostas_Brutas!B455="","",IF(ISNUMBER(SEARCH("Sim",Respostas_Brutas!AL455)),1,0))</f>
        <v/>
      </c>
      <c r="J455" s="4" t="str">
        <f>IF(Respostas_Brutas!B455="","",IF(Respostas_Brutas!AN455="","",MIN(1,MAX(0,(N(Respostas_Brutas!AN455)-1)/4))))</f>
        <v/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tr">
        <f>IF(Respostas_Brutas!B456="","",Respostas_Brutas!B456)</f>
        <v/>
      </c>
      <c r="B456" s="4" t="str">
        <f>IF(Respostas_Brutas!B456="","",IFERROR(IF(IFERROR(VALUE(TRIM(SUBSTITUTE(SUBSTITUTE(SUBSTITUTE(TRIM(Respostas_Brutas!AS456),"R$",""),".",""),",","."))),0)=0,"",(IFERROR(VALUE(TRIM(SUBSTITUTE(SUBSTITUTE(SUBSTITUTE(TRIM(Respostas_Brutas!AS456),"R$",""),".",""),",","."))),0)-IFERROR(VALUE(TRIM(SUBSTITUTE(SUBSTITUTE(SUBSTITUTE(TRIM(Respostas_Brutas!T456),"R$",""),".",""),",","."))),0))/IFERROR(VALUE(TRIM(SUBSTITUTE(SUBSTITUTE(SUBSTITUTE(TRIM(Respostas_Brutas!AS456),"R$",""),".",""),",","."))),0)),""))</f>
        <v/>
      </c>
      <c r="C456" s="4" t="str">
        <f>IF(Respostas_Brutas!B456="","",MIN(1,(IFERROR(VALUE(LEFT(Respostas_Brutas!I456,IFERROR(FIND(" ",Respostas_Brutas!I456)-1,LEN(Respostas_Brutas!I456)))),0)+IFERROR(VALUE(LEFT(Respostas_Brutas!O456,IFERROR(FIND(" ",Respostas_Brutas!O456)-1,LEN(Respostas_Brutas!O456)))),0))/20))</f>
        <v/>
      </c>
      <c r="D456" s="4" t="str">
        <f>IF(Respostas_Brutas!B456="","",IF(Respostas_Brutas!D456="","",MIN(1,MAX(0,(YEAR(TODAY())-N(Respostas_Brutas!D456))/15))))</f>
        <v/>
      </c>
      <c r="E456" s="4" t="str">
        <f>IF(Respostas_Brutas!B456="","",IF(ISNUMBER(SEARCH("Sim",Respostas_Brutas!S456)),1,0))</f>
        <v/>
      </c>
      <c r="F456" s="4" t="str">
        <f>IF(Respostas_Brutas!B456="","",IFERROR(N(Respostas_Brutas!Y456)/N(Respostas_Brutas!Z456),""))</f>
        <v/>
      </c>
      <c r="G456" s="4" t="str">
        <f>IF(Respostas_Brutas!B456="","",IF(Respostas_Brutas!K456&lt;&gt;"",1,0))</f>
        <v/>
      </c>
      <c r="H456" s="4" t="str">
        <f>IF(Respostas_Brutas!B456="","",IF(ISNUMBER(SEARCH("Não",Respostas_Brutas!AH456)),1,0))</f>
        <v/>
      </c>
      <c r="I456" s="4" t="str">
        <f>IF(Respostas_Brutas!B456="","",IF(ISNUMBER(SEARCH("Sim",Respostas_Brutas!AL456)),1,0))</f>
        <v/>
      </c>
      <c r="J456" s="4" t="str">
        <f>IF(Respostas_Brutas!B456="","",IF(Respostas_Brutas!AN456="","",MIN(1,MAX(0,(N(Respostas_Brutas!AN456)-1)/4))))</f>
        <v/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tr">
        <f>IF(Respostas_Brutas!B457="","",Respostas_Brutas!B457)</f>
        <v/>
      </c>
      <c r="B457" s="4" t="str">
        <f>IF(Respostas_Brutas!B457="","",IFERROR(IF(IFERROR(VALUE(TRIM(SUBSTITUTE(SUBSTITUTE(SUBSTITUTE(TRIM(Respostas_Brutas!AS457),"R$",""),".",""),",","."))),0)=0,"",(IFERROR(VALUE(TRIM(SUBSTITUTE(SUBSTITUTE(SUBSTITUTE(TRIM(Respostas_Brutas!AS457),"R$",""),".",""),",","."))),0)-IFERROR(VALUE(TRIM(SUBSTITUTE(SUBSTITUTE(SUBSTITUTE(TRIM(Respostas_Brutas!T457),"R$",""),".",""),",","."))),0))/IFERROR(VALUE(TRIM(SUBSTITUTE(SUBSTITUTE(SUBSTITUTE(TRIM(Respostas_Brutas!AS457),"R$",""),".",""),",","."))),0)),""))</f>
        <v/>
      </c>
      <c r="C457" s="4" t="str">
        <f>IF(Respostas_Brutas!B457="","",MIN(1,(IFERROR(VALUE(LEFT(Respostas_Brutas!I457,IFERROR(FIND(" ",Respostas_Brutas!I457)-1,LEN(Respostas_Brutas!I457)))),0)+IFERROR(VALUE(LEFT(Respostas_Brutas!O457,IFERROR(FIND(" ",Respostas_Brutas!O457)-1,LEN(Respostas_Brutas!O457)))),0))/20))</f>
        <v/>
      </c>
      <c r="D457" s="4" t="str">
        <f>IF(Respostas_Brutas!B457="","",IF(Respostas_Brutas!D457="","",MIN(1,MAX(0,(YEAR(TODAY())-N(Respostas_Brutas!D457))/15))))</f>
        <v/>
      </c>
      <c r="E457" s="4" t="str">
        <f>IF(Respostas_Brutas!B457="","",IF(ISNUMBER(SEARCH("Sim",Respostas_Brutas!S457)),1,0))</f>
        <v/>
      </c>
      <c r="F457" s="4" t="str">
        <f>IF(Respostas_Brutas!B457="","",IFERROR(N(Respostas_Brutas!Y457)/N(Respostas_Brutas!Z457),""))</f>
        <v/>
      </c>
      <c r="G457" s="4" t="str">
        <f>IF(Respostas_Brutas!B457="","",IF(Respostas_Brutas!K457&lt;&gt;"",1,0))</f>
        <v/>
      </c>
      <c r="H457" s="4" t="str">
        <f>IF(Respostas_Brutas!B457="","",IF(ISNUMBER(SEARCH("Não",Respostas_Brutas!AH457)),1,0))</f>
        <v/>
      </c>
      <c r="I457" s="4" t="str">
        <f>IF(Respostas_Brutas!B457="","",IF(ISNUMBER(SEARCH("Sim",Respostas_Brutas!AL457)),1,0))</f>
        <v/>
      </c>
      <c r="J457" s="4" t="str">
        <f>IF(Respostas_Brutas!B457="","",IF(Respostas_Brutas!AN457="","",MIN(1,MAX(0,(N(Respostas_Brutas!AN457)-1)/4))))</f>
        <v/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tr">
        <f>IF(Respostas_Brutas!B458="","",Respostas_Brutas!B458)</f>
        <v/>
      </c>
      <c r="B458" s="4" t="str">
        <f>IF(Respostas_Brutas!B458="","",IFERROR(IF(IFERROR(VALUE(TRIM(SUBSTITUTE(SUBSTITUTE(SUBSTITUTE(TRIM(Respostas_Brutas!AS458),"R$",""),".",""),",","."))),0)=0,"",(IFERROR(VALUE(TRIM(SUBSTITUTE(SUBSTITUTE(SUBSTITUTE(TRIM(Respostas_Brutas!AS458),"R$",""),".",""),",","."))),0)-IFERROR(VALUE(TRIM(SUBSTITUTE(SUBSTITUTE(SUBSTITUTE(TRIM(Respostas_Brutas!T458),"R$",""),".",""),",","."))),0))/IFERROR(VALUE(TRIM(SUBSTITUTE(SUBSTITUTE(SUBSTITUTE(TRIM(Respostas_Brutas!AS458),"R$",""),".",""),",","."))),0)),""))</f>
        <v/>
      </c>
      <c r="C458" s="4" t="str">
        <f>IF(Respostas_Brutas!B458="","",MIN(1,(IFERROR(VALUE(LEFT(Respostas_Brutas!I458,IFERROR(FIND(" ",Respostas_Brutas!I458)-1,LEN(Respostas_Brutas!I458)))),0)+IFERROR(VALUE(LEFT(Respostas_Brutas!O458,IFERROR(FIND(" ",Respostas_Brutas!O458)-1,LEN(Respostas_Brutas!O458)))),0))/20))</f>
        <v/>
      </c>
      <c r="D458" s="4" t="str">
        <f>IF(Respostas_Brutas!B458="","",IF(Respostas_Brutas!D458="","",MIN(1,MAX(0,(YEAR(TODAY())-N(Respostas_Brutas!D458))/15))))</f>
        <v/>
      </c>
      <c r="E458" s="4" t="str">
        <f>IF(Respostas_Brutas!B458="","",IF(ISNUMBER(SEARCH("Sim",Respostas_Brutas!S458)),1,0))</f>
        <v/>
      </c>
      <c r="F458" s="4" t="str">
        <f>IF(Respostas_Brutas!B458="","",IFERROR(N(Respostas_Brutas!Y458)/N(Respostas_Brutas!Z458),""))</f>
        <v/>
      </c>
      <c r="G458" s="4" t="str">
        <f>IF(Respostas_Brutas!B458="","",IF(Respostas_Brutas!K458&lt;&gt;"",1,0))</f>
        <v/>
      </c>
      <c r="H458" s="4" t="str">
        <f>IF(Respostas_Brutas!B458="","",IF(ISNUMBER(SEARCH("Não",Respostas_Brutas!AH458)),1,0))</f>
        <v/>
      </c>
      <c r="I458" s="4" t="str">
        <f>IF(Respostas_Brutas!B458="","",IF(ISNUMBER(SEARCH("Sim",Respostas_Brutas!AL458)),1,0))</f>
        <v/>
      </c>
      <c r="J458" s="4" t="str">
        <f>IF(Respostas_Brutas!B458="","",IF(Respostas_Brutas!AN458="","",MIN(1,MAX(0,(N(Respostas_Brutas!AN458)-1)/4))))</f>
        <v/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tr">
        <f>IF(Respostas_Brutas!B459="","",Respostas_Brutas!B459)</f>
        <v/>
      </c>
      <c r="B459" s="4" t="str">
        <f>IF(Respostas_Brutas!B459="","",IFERROR(IF(IFERROR(VALUE(TRIM(SUBSTITUTE(SUBSTITUTE(SUBSTITUTE(TRIM(Respostas_Brutas!AS459),"R$",""),".",""),",","."))),0)=0,"",(IFERROR(VALUE(TRIM(SUBSTITUTE(SUBSTITUTE(SUBSTITUTE(TRIM(Respostas_Brutas!AS459),"R$",""),".",""),",","."))),0)-IFERROR(VALUE(TRIM(SUBSTITUTE(SUBSTITUTE(SUBSTITUTE(TRIM(Respostas_Brutas!T459),"R$",""),".",""),",","."))),0))/IFERROR(VALUE(TRIM(SUBSTITUTE(SUBSTITUTE(SUBSTITUTE(TRIM(Respostas_Brutas!AS459),"R$",""),".",""),",","."))),0)),""))</f>
        <v/>
      </c>
      <c r="C459" s="4" t="str">
        <f>IF(Respostas_Brutas!B459="","",MIN(1,(IFERROR(VALUE(LEFT(Respostas_Brutas!I459,IFERROR(FIND(" ",Respostas_Brutas!I459)-1,LEN(Respostas_Brutas!I459)))),0)+IFERROR(VALUE(LEFT(Respostas_Brutas!O459,IFERROR(FIND(" ",Respostas_Brutas!O459)-1,LEN(Respostas_Brutas!O459)))),0))/20))</f>
        <v/>
      </c>
      <c r="D459" s="4" t="str">
        <f>IF(Respostas_Brutas!B459="","",IF(Respostas_Brutas!D459="","",MIN(1,MAX(0,(YEAR(TODAY())-N(Respostas_Brutas!D459))/15))))</f>
        <v/>
      </c>
      <c r="E459" s="4" t="str">
        <f>IF(Respostas_Brutas!B459="","",IF(ISNUMBER(SEARCH("Sim",Respostas_Brutas!S459)),1,0))</f>
        <v/>
      </c>
      <c r="F459" s="4" t="str">
        <f>IF(Respostas_Brutas!B459="","",IFERROR(N(Respostas_Brutas!Y459)/N(Respostas_Brutas!Z459),""))</f>
        <v/>
      </c>
      <c r="G459" s="4" t="str">
        <f>IF(Respostas_Brutas!B459="","",IF(Respostas_Brutas!K459&lt;&gt;"",1,0))</f>
        <v/>
      </c>
      <c r="H459" s="4" t="str">
        <f>IF(Respostas_Brutas!B459="","",IF(ISNUMBER(SEARCH("Não",Respostas_Brutas!AH459)),1,0))</f>
        <v/>
      </c>
      <c r="I459" s="4" t="str">
        <f>IF(Respostas_Brutas!B459="","",IF(ISNUMBER(SEARCH("Sim",Respostas_Brutas!AL459)),1,0))</f>
        <v/>
      </c>
      <c r="J459" s="4" t="str">
        <f>IF(Respostas_Brutas!B459="","",IF(Respostas_Brutas!AN459="","",MIN(1,MAX(0,(N(Respostas_Brutas!AN459)-1)/4))))</f>
        <v/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tr">
        <f>IF(Respostas_Brutas!B460="","",Respostas_Brutas!B460)</f>
        <v/>
      </c>
      <c r="B460" s="4" t="str">
        <f>IF(Respostas_Brutas!B460="","",IFERROR(IF(IFERROR(VALUE(TRIM(SUBSTITUTE(SUBSTITUTE(SUBSTITUTE(TRIM(Respostas_Brutas!AS460),"R$",""),".",""),",","."))),0)=0,"",(IFERROR(VALUE(TRIM(SUBSTITUTE(SUBSTITUTE(SUBSTITUTE(TRIM(Respostas_Brutas!AS460),"R$",""),".",""),",","."))),0)-IFERROR(VALUE(TRIM(SUBSTITUTE(SUBSTITUTE(SUBSTITUTE(TRIM(Respostas_Brutas!T460),"R$",""),".",""),",","."))),0))/IFERROR(VALUE(TRIM(SUBSTITUTE(SUBSTITUTE(SUBSTITUTE(TRIM(Respostas_Brutas!AS460),"R$",""),".",""),",","."))),0)),""))</f>
        <v/>
      </c>
      <c r="C460" s="4" t="str">
        <f>IF(Respostas_Brutas!B460="","",MIN(1,(IFERROR(VALUE(LEFT(Respostas_Brutas!I460,IFERROR(FIND(" ",Respostas_Brutas!I460)-1,LEN(Respostas_Brutas!I460)))),0)+IFERROR(VALUE(LEFT(Respostas_Brutas!O460,IFERROR(FIND(" ",Respostas_Brutas!O460)-1,LEN(Respostas_Brutas!O460)))),0))/20))</f>
        <v/>
      </c>
      <c r="D460" s="4" t="str">
        <f>IF(Respostas_Brutas!B460="","",IF(Respostas_Brutas!D460="","",MIN(1,MAX(0,(YEAR(TODAY())-N(Respostas_Brutas!D460))/15))))</f>
        <v/>
      </c>
      <c r="E460" s="4" t="str">
        <f>IF(Respostas_Brutas!B460="","",IF(ISNUMBER(SEARCH("Sim",Respostas_Brutas!S460)),1,0))</f>
        <v/>
      </c>
      <c r="F460" s="4" t="str">
        <f>IF(Respostas_Brutas!B460="","",IFERROR(N(Respostas_Brutas!Y460)/N(Respostas_Brutas!Z460),""))</f>
        <v/>
      </c>
      <c r="G460" s="4" t="str">
        <f>IF(Respostas_Brutas!B460="","",IF(Respostas_Brutas!K460&lt;&gt;"",1,0))</f>
        <v/>
      </c>
      <c r="H460" s="4" t="str">
        <f>IF(Respostas_Brutas!B460="","",IF(ISNUMBER(SEARCH("Não",Respostas_Brutas!AH460)),1,0))</f>
        <v/>
      </c>
      <c r="I460" s="4" t="str">
        <f>IF(Respostas_Brutas!B460="","",IF(ISNUMBER(SEARCH("Sim",Respostas_Brutas!AL460)),1,0))</f>
        <v/>
      </c>
      <c r="J460" s="4" t="str">
        <f>IF(Respostas_Brutas!B460="","",IF(Respostas_Brutas!AN460="","",MIN(1,MAX(0,(N(Respostas_Brutas!AN460)-1)/4))))</f>
        <v/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tr">
        <f>IF(Respostas_Brutas!B461="","",Respostas_Brutas!B461)</f>
        <v/>
      </c>
      <c r="B461" s="4" t="str">
        <f>IF(Respostas_Brutas!B461="","",IFERROR(IF(IFERROR(VALUE(TRIM(SUBSTITUTE(SUBSTITUTE(SUBSTITUTE(TRIM(Respostas_Brutas!AS461),"R$",""),".",""),",","."))),0)=0,"",(IFERROR(VALUE(TRIM(SUBSTITUTE(SUBSTITUTE(SUBSTITUTE(TRIM(Respostas_Brutas!AS461),"R$",""),".",""),",","."))),0)-IFERROR(VALUE(TRIM(SUBSTITUTE(SUBSTITUTE(SUBSTITUTE(TRIM(Respostas_Brutas!T461),"R$",""),".",""),",","."))),0))/IFERROR(VALUE(TRIM(SUBSTITUTE(SUBSTITUTE(SUBSTITUTE(TRIM(Respostas_Brutas!AS461),"R$",""),".",""),",","."))),0)),""))</f>
        <v/>
      </c>
      <c r="C461" s="4" t="str">
        <f>IF(Respostas_Brutas!B461="","",MIN(1,(IFERROR(VALUE(LEFT(Respostas_Brutas!I461,IFERROR(FIND(" ",Respostas_Brutas!I461)-1,LEN(Respostas_Brutas!I461)))),0)+IFERROR(VALUE(LEFT(Respostas_Brutas!O461,IFERROR(FIND(" ",Respostas_Brutas!O461)-1,LEN(Respostas_Brutas!O461)))),0))/20))</f>
        <v/>
      </c>
      <c r="D461" s="4" t="str">
        <f>IF(Respostas_Brutas!B461="","",IF(Respostas_Brutas!D461="","",MIN(1,MAX(0,(YEAR(TODAY())-N(Respostas_Brutas!D461))/15))))</f>
        <v/>
      </c>
      <c r="E461" s="4" t="str">
        <f>IF(Respostas_Brutas!B461="","",IF(ISNUMBER(SEARCH("Sim",Respostas_Brutas!S461)),1,0))</f>
        <v/>
      </c>
      <c r="F461" s="4" t="str">
        <f>IF(Respostas_Brutas!B461="","",IFERROR(N(Respostas_Brutas!Y461)/N(Respostas_Brutas!Z461),""))</f>
        <v/>
      </c>
      <c r="G461" s="4" t="str">
        <f>IF(Respostas_Brutas!B461="","",IF(Respostas_Brutas!K461&lt;&gt;"",1,0))</f>
        <v/>
      </c>
      <c r="H461" s="4" t="str">
        <f>IF(Respostas_Brutas!B461="","",IF(ISNUMBER(SEARCH("Não",Respostas_Brutas!AH461)),1,0))</f>
        <v/>
      </c>
      <c r="I461" s="4" t="str">
        <f>IF(Respostas_Brutas!B461="","",IF(ISNUMBER(SEARCH("Sim",Respostas_Brutas!AL461)),1,0))</f>
        <v/>
      </c>
      <c r="J461" s="4" t="str">
        <f>IF(Respostas_Brutas!B461="","",IF(Respostas_Brutas!AN461="","",MIN(1,MAX(0,(N(Respostas_Brutas!AN461)-1)/4))))</f>
        <v/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tr">
        <f>IF(Respostas_Brutas!B462="","",Respostas_Brutas!B462)</f>
        <v/>
      </c>
      <c r="B462" s="4" t="str">
        <f>IF(Respostas_Brutas!B462="","",IFERROR(IF(IFERROR(VALUE(TRIM(SUBSTITUTE(SUBSTITUTE(SUBSTITUTE(TRIM(Respostas_Brutas!AS462),"R$",""),".",""),",","."))),0)=0,"",(IFERROR(VALUE(TRIM(SUBSTITUTE(SUBSTITUTE(SUBSTITUTE(TRIM(Respostas_Brutas!AS462),"R$",""),".",""),",","."))),0)-IFERROR(VALUE(TRIM(SUBSTITUTE(SUBSTITUTE(SUBSTITUTE(TRIM(Respostas_Brutas!T462),"R$",""),".",""),",","."))),0))/IFERROR(VALUE(TRIM(SUBSTITUTE(SUBSTITUTE(SUBSTITUTE(TRIM(Respostas_Brutas!AS462),"R$",""),".",""),",","."))),0)),""))</f>
        <v/>
      </c>
      <c r="C462" s="4" t="str">
        <f>IF(Respostas_Brutas!B462="","",MIN(1,(IFERROR(VALUE(LEFT(Respostas_Brutas!I462,IFERROR(FIND(" ",Respostas_Brutas!I462)-1,LEN(Respostas_Brutas!I462)))),0)+IFERROR(VALUE(LEFT(Respostas_Brutas!O462,IFERROR(FIND(" ",Respostas_Brutas!O462)-1,LEN(Respostas_Brutas!O462)))),0))/20))</f>
        <v/>
      </c>
      <c r="D462" s="4" t="str">
        <f>IF(Respostas_Brutas!B462="","",IF(Respostas_Brutas!D462="","",MIN(1,MAX(0,(YEAR(TODAY())-N(Respostas_Brutas!D462))/15))))</f>
        <v/>
      </c>
      <c r="E462" s="4" t="str">
        <f>IF(Respostas_Brutas!B462="","",IF(ISNUMBER(SEARCH("Sim",Respostas_Brutas!S462)),1,0))</f>
        <v/>
      </c>
      <c r="F462" s="4" t="str">
        <f>IF(Respostas_Brutas!B462="","",IFERROR(N(Respostas_Brutas!Y462)/N(Respostas_Brutas!Z462),""))</f>
        <v/>
      </c>
      <c r="G462" s="4" t="str">
        <f>IF(Respostas_Brutas!B462="","",IF(Respostas_Brutas!K462&lt;&gt;"",1,0))</f>
        <v/>
      </c>
      <c r="H462" s="4" t="str">
        <f>IF(Respostas_Brutas!B462="","",IF(ISNUMBER(SEARCH("Não",Respostas_Brutas!AH462)),1,0))</f>
        <v/>
      </c>
      <c r="I462" s="4" t="str">
        <f>IF(Respostas_Brutas!B462="","",IF(ISNUMBER(SEARCH("Sim",Respostas_Brutas!AL462)),1,0))</f>
        <v/>
      </c>
      <c r="J462" s="4" t="str">
        <f>IF(Respostas_Brutas!B462="","",IF(Respostas_Brutas!AN462="","",MIN(1,MAX(0,(N(Respostas_Brutas!AN462)-1)/4))))</f>
        <v/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tr">
        <f>IF(Respostas_Brutas!B463="","",Respostas_Brutas!B463)</f>
        <v/>
      </c>
      <c r="B463" s="4" t="str">
        <f>IF(Respostas_Brutas!B463="","",IFERROR(IF(IFERROR(VALUE(TRIM(SUBSTITUTE(SUBSTITUTE(SUBSTITUTE(TRIM(Respostas_Brutas!AS463),"R$",""),".",""),",","."))),0)=0,"",(IFERROR(VALUE(TRIM(SUBSTITUTE(SUBSTITUTE(SUBSTITUTE(TRIM(Respostas_Brutas!AS463),"R$",""),".",""),",","."))),0)-IFERROR(VALUE(TRIM(SUBSTITUTE(SUBSTITUTE(SUBSTITUTE(TRIM(Respostas_Brutas!T463),"R$",""),".",""),",","."))),0))/IFERROR(VALUE(TRIM(SUBSTITUTE(SUBSTITUTE(SUBSTITUTE(TRIM(Respostas_Brutas!AS463),"R$",""),".",""),",","."))),0)),""))</f>
        <v/>
      </c>
      <c r="C463" s="4" t="str">
        <f>IF(Respostas_Brutas!B463="","",MIN(1,(IFERROR(VALUE(LEFT(Respostas_Brutas!I463,IFERROR(FIND(" ",Respostas_Brutas!I463)-1,LEN(Respostas_Brutas!I463)))),0)+IFERROR(VALUE(LEFT(Respostas_Brutas!O463,IFERROR(FIND(" ",Respostas_Brutas!O463)-1,LEN(Respostas_Brutas!O463)))),0))/20))</f>
        <v/>
      </c>
      <c r="D463" s="4" t="str">
        <f>IF(Respostas_Brutas!B463="","",IF(Respostas_Brutas!D463="","",MIN(1,MAX(0,(YEAR(TODAY())-N(Respostas_Brutas!D463))/15))))</f>
        <v/>
      </c>
      <c r="E463" s="4" t="str">
        <f>IF(Respostas_Brutas!B463="","",IF(ISNUMBER(SEARCH("Sim",Respostas_Brutas!S463)),1,0))</f>
        <v/>
      </c>
      <c r="F463" s="4" t="str">
        <f>IF(Respostas_Brutas!B463="","",IFERROR(N(Respostas_Brutas!Y463)/N(Respostas_Brutas!Z463),""))</f>
        <v/>
      </c>
      <c r="G463" s="4" t="str">
        <f>IF(Respostas_Brutas!B463="","",IF(Respostas_Brutas!K463&lt;&gt;"",1,0))</f>
        <v/>
      </c>
      <c r="H463" s="4" t="str">
        <f>IF(Respostas_Brutas!B463="","",IF(ISNUMBER(SEARCH("Não",Respostas_Brutas!AH463)),1,0))</f>
        <v/>
      </c>
      <c r="I463" s="4" t="str">
        <f>IF(Respostas_Brutas!B463="","",IF(ISNUMBER(SEARCH("Sim",Respostas_Brutas!AL463)),1,0))</f>
        <v/>
      </c>
      <c r="J463" s="4" t="str">
        <f>IF(Respostas_Brutas!B463="","",IF(Respostas_Brutas!AN463="","",MIN(1,MAX(0,(N(Respostas_Brutas!AN463)-1)/4))))</f>
        <v/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tr">
        <f>IF(Respostas_Brutas!B464="","",Respostas_Brutas!B464)</f>
        <v/>
      </c>
      <c r="B464" s="4" t="str">
        <f>IF(Respostas_Brutas!B464="","",IFERROR(IF(IFERROR(VALUE(TRIM(SUBSTITUTE(SUBSTITUTE(SUBSTITUTE(TRIM(Respostas_Brutas!AS464),"R$",""),".",""),",","."))),0)=0,"",(IFERROR(VALUE(TRIM(SUBSTITUTE(SUBSTITUTE(SUBSTITUTE(TRIM(Respostas_Brutas!AS464),"R$",""),".",""),",","."))),0)-IFERROR(VALUE(TRIM(SUBSTITUTE(SUBSTITUTE(SUBSTITUTE(TRIM(Respostas_Brutas!T464),"R$",""),".",""),",","."))),0))/IFERROR(VALUE(TRIM(SUBSTITUTE(SUBSTITUTE(SUBSTITUTE(TRIM(Respostas_Brutas!AS464),"R$",""),".",""),",","."))),0)),""))</f>
        <v/>
      </c>
      <c r="C464" s="4" t="str">
        <f>IF(Respostas_Brutas!B464="","",MIN(1,(IFERROR(VALUE(LEFT(Respostas_Brutas!I464,IFERROR(FIND(" ",Respostas_Brutas!I464)-1,LEN(Respostas_Brutas!I464)))),0)+IFERROR(VALUE(LEFT(Respostas_Brutas!O464,IFERROR(FIND(" ",Respostas_Brutas!O464)-1,LEN(Respostas_Brutas!O464)))),0))/20))</f>
        <v/>
      </c>
      <c r="D464" s="4" t="str">
        <f>IF(Respostas_Brutas!B464="","",IF(Respostas_Brutas!D464="","",MIN(1,MAX(0,(YEAR(TODAY())-N(Respostas_Brutas!D464))/15))))</f>
        <v/>
      </c>
      <c r="E464" s="4" t="str">
        <f>IF(Respostas_Brutas!B464="","",IF(ISNUMBER(SEARCH("Sim",Respostas_Brutas!S464)),1,0))</f>
        <v/>
      </c>
      <c r="F464" s="4" t="str">
        <f>IF(Respostas_Brutas!B464="","",IFERROR(N(Respostas_Brutas!Y464)/N(Respostas_Brutas!Z464),""))</f>
        <v/>
      </c>
      <c r="G464" s="4" t="str">
        <f>IF(Respostas_Brutas!B464="","",IF(Respostas_Brutas!K464&lt;&gt;"",1,0))</f>
        <v/>
      </c>
      <c r="H464" s="4" t="str">
        <f>IF(Respostas_Brutas!B464="","",IF(ISNUMBER(SEARCH("Não",Respostas_Brutas!AH464)),1,0))</f>
        <v/>
      </c>
      <c r="I464" s="4" t="str">
        <f>IF(Respostas_Brutas!B464="","",IF(ISNUMBER(SEARCH("Sim",Respostas_Brutas!AL464)),1,0))</f>
        <v/>
      </c>
      <c r="J464" s="4" t="str">
        <f>IF(Respostas_Brutas!B464="","",IF(Respostas_Brutas!AN464="","",MIN(1,MAX(0,(N(Respostas_Brutas!AN464)-1)/4))))</f>
        <v/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tr">
        <f>IF(Respostas_Brutas!B465="","",Respostas_Brutas!B465)</f>
        <v/>
      </c>
      <c r="B465" s="4" t="str">
        <f>IF(Respostas_Brutas!B465="","",IFERROR(IF(IFERROR(VALUE(TRIM(SUBSTITUTE(SUBSTITUTE(SUBSTITUTE(TRIM(Respostas_Brutas!AS465),"R$",""),".",""),",","."))),0)=0,"",(IFERROR(VALUE(TRIM(SUBSTITUTE(SUBSTITUTE(SUBSTITUTE(TRIM(Respostas_Brutas!AS465),"R$",""),".",""),",","."))),0)-IFERROR(VALUE(TRIM(SUBSTITUTE(SUBSTITUTE(SUBSTITUTE(TRIM(Respostas_Brutas!T465),"R$",""),".",""),",","."))),0))/IFERROR(VALUE(TRIM(SUBSTITUTE(SUBSTITUTE(SUBSTITUTE(TRIM(Respostas_Brutas!AS465),"R$",""),".",""),",","."))),0)),""))</f>
        <v/>
      </c>
      <c r="C465" s="4" t="str">
        <f>IF(Respostas_Brutas!B465="","",MIN(1,(IFERROR(VALUE(LEFT(Respostas_Brutas!I465,IFERROR(FIND(" ",Respostas_Brutas!I465)-1,LEN(Respostas_Brutas!I465)))),0)+IFERROR(VALUE(LEFT(Respostas_Brutas!O465,IFERROR(FIND(" ",Respostas_Brutas!O465)-1,LEN(Respostas_Brutas!O465)))),0))/20))</f>
        <v/>
      </c>
      <c r="D465" s="4" t="str">
        <f>IF(Respostas_Brutas!B465="","",IF(Respostas_Brutas!D465="","",MIN(1,MAX(0,(YEAR(TODAY())-N(Respostas_Brutas!D465))/15))))</f>
        <v/>
      </c>
      <c r="E465" s="4" t="str">
        <f>IF(Respostas_Brutas!B465="","",IF(ISNUMBER(SEARCH("Sim",Respostas_Brutas!S465)),1,0))</f>
        <v/>
      </c>
      <c r="F465" s="4" t="str">
        <f>IF(Respostas_Brutas!B465="","",IFERROR(N(Respostas_Brutas!Y465)/N(Respostas_Brutas!Z465),""))</f>
        <v/>
      </c>
      <c r="G465" s="4" t="str">
        <f>IF(Respostas_Brutas!B465="","",IF(Respostas_Brutas!K465&lt;&gt;"",1,0))</f>
        <v/>
      </c>
      <c r="H465" s="4" t="str">
        <f>IF(Respostas_Brutas!B465="","",IF(ISNUMBER(SEARCH("Não",Respostas_Brutas!AH465)),1,0))</f>
        <v/>
      </c>
      <c r="I465" s="4" t="str">
        <f>IF(Respostas_Brutas!B465="","",IF(ISNUMBER(SEARCH("Sim",Respostas_Brutas!AL465)),1,0))</f>
        <v/>
      </c>
      <c r="J465" s="4" t="str">
        <f>IF(Respostas_Brutas!B465="","",IF(Respostas_Brutas!AN465="","",MIN(1,MAX(0,(N(Respostas_Brutas!AN465)-1)/4))))</f>
        <v/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tr">
        <f>IF(Respostas_Brutas!B466="","",Respostas_Brutas!B466)</f>
        <v/>
      </c>
      <c r="B466" s="4" t="str">
        <f>IF(Respostas_Brutas!B466="","",IFERROR(IF(IFERROR(VALUE(TRIM(SUBSTITUTE(SUBSTITUTE(SUBSTITUTE(TRIM(Respostas_Brutas!AS466),"R$",""),".",""),",","."))),0)=0,"",(IFERROR(VALUE(TRIM(SUBSTITUTE(SUBSTITUTE(SUBSTITUTE(TRIM(Respostas_Brutas!AS466),"R$",""),".",""),",","."))),0)-IFERROR(VALUE(TRIM(SUBSTITUTE(SUBSTITUTE(SUBSTITUTE(TRIM(Respostas_Brutas!T466),"R$",""),".",""),",","."))),0))/IFERROR(VALUE(TRIM(SUBSTITUTE(SUBSTITUTE(SUBSTITUTE(TRIM(Respostas_Brutas!AS466),"R$",""),".",""),",","."))),0)),""))</f>
        <v/>
      </c>
      <c r="C466" s="4" t="str">
        <f>IF(Respostas_Brutas!B466="","",MIN(1,(IFERROR(VALUE(LEFT(Respostas_Brutas!I466,IFERROR(FIND(" ",Respostas_Brutas!I466)-1,LEN(Respostas_Brutas!I466)))),0)+IFERROR(VALUE(LEFT(Respostas_Brutas!O466,IFERROR(FIND(" ",Respostas_Brutas!O466)-1,LEN(Respostas_Brutas!O466)))),0))/20))</f>
        <v/>
      </c>
      <c r="D466" s="4" t="str">
        <f>IF(Respostas_Brutas!B466="","",IF(Respostas_Brutas!D466="","",MIN(1,MAX(0,(YEAR(TODAY())-N(Respostas_Brutas!D466))/15))))</f>
        <v/>
      </c>
      <c r="E466" s="4" t="str">
        <f>IF(Respostas_Brutas!B466="","",IF(ISNUMBER(SEARCH("Sim",Respostas_Brutas!S466)),1,0))</f>
        <v/>
      </c>
      <c r="F466" s="4" t="str">
        <f>IF(Respostas_Brutas!B466="","",IFERROR(N(Respostas_Brutas!Y466)/N(Respostas_Brutas!Z466),""))</f>
        <v/>
      </c>
      <c r="G466" s="4" t="str">
        <f>IF(Respostas_Brutas!B466="","",IF(Respostas_Brutas!K466&lt;&gt;"",1,0))</f>
        <v/>
      </c>
      <c r="H466" s="4" t="str">
        <f>IF(Respostas_Brutas!B466="","",IF(ISNUMBER(SEARCH("Não",Respostas_Brutas!AH466)),1,0))</f>
        <v/>
      </c>
      <c r="I466" s="4" t="str">
        <f>IF(Respostas_Brutas!B466="","",IF(ISNUMBER(SEARCH("Sim",Respostas_Brutas!AL466)),1,0))</f>
        <v/>
      </c>
      <c r="J466" s="4" t="str">
        <f>IF(Respostas_Brutas!B466="","",IF(Respostas_Brutas!AN466="","",MIN(1,MAX(0,(N(Respostas_Brutas!AN466)-1)/4))))</f>
        <v/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tr">
        <f>IF(Respostas_Brutas!B467="","",Respostas_Brutas!B467)</f>
        <v/>
      </c>
      <c r="B467" s="4" t="str">
        <f>IF(Respostas_Brutas!B467="","",IFERROR(IF(IFERROR(VALUE(TRIM(SUBSTITUTE(SUBSTITUTE(SUBSTITUTE(TRIM(Respostas_Brutas!AS467),"R$",""),".",""),",","."))),0)=0,"",(IFERROR(VALUE(TRIM(SUBSTITUTE(SUBSTITUTE(SUBSTITUTE(TRIM(Respostas_Brutas!AS467),"R$",""),".",""),",","."))),0)-IFERROR(VALUE(TRIM(SUBSTITUTE(SUBSTITUTE(SUBSTITUTE(TRIM(Respostas_Brutas!T467),"R$",""),".",""),",","."))),0))/IFERROR(VALUE(TRIM(SUBSTITUTE(SUBSTITUTE(SUBSTITUTE(TRIM(Respostas_Brutas!AS467),"R$",""),".",""),",","."))),0)),""))</f>
        <v/>
      </c>
      <c r="C467" s="4" t="str">
        <f>IF(Respostas_Brutas!B467="","",MIN(1,(IFERROR(VALUE(LEFT(Respostas_Brutas!I467,IFERROR(FIND(" ",Respostas_Brutas!I467)-1,LEN(Respostas_Brutas!I467)))),0)+IFERROR(VALUE(LEFT(Respostas_Brutas!O467,IFERROR(FIND(" ",Respostas_Brutas!O467)-1,LEN(Respostas_Brutas!O467)))),0))/20))</f>
        <v/>
      </c>
      <c r="D467" s="4" t="str">
        <f>IF(Respostas_Brutas!B467="","",IF(Respostas_Brutas!D467="","",MIN(1,MAX(0,(YEAR(TODAY())-N(Respostas_Brutas!D467))/15))))</f>
        <v/>
      </c>
      <c r="E467" s="4" t="str">
        <f>IF(Respostas_Brutas!B467="","",IF(ISNUMBER(SEARCH("Sim",Respostas_Brutas!S467)),1,0))</f>
        <v/>
      </c>
      <c r="F467" s="4" t="str">
        <f>IF(Respostas_Brutas!B467="","",IFERROR(N(Respostas_Brutas!Y467)/N(Respostas_Brutas!Z467),""))</f>
        <v/>
      </c>
      <c r="G467" s="4" t="str">
        <f>IF(Respostas_Brutas!B467="","",IF(Respostas_Brutas!K467&lt;&gt;"",1,0))</f>
        <v/>
      </c>
      <c r="H467" s="4" t="str">
        <f>IF(Respostas_Brutas!B467="","",IF(ISNUMBER(SEARCH("Não",Respostas_Brutas!AH467)),1,0))</f>
        <v/>
      </c>
      <c r="I467" s="4" t="str">
        <f>IF(Respostas_Brutas!B467="","",IF(ISNUMBER(SEARCH("Sim",Respostas_Brutas!AL467)),1,0))</f>
        <v/>
      </c>
      <c r="J467" s="4" t="str">
        <f>IF(Respostas_Brutas!B467="","",IF(Respostas_Brutas!AN467="","",MIN(1,MAX(0,(N(Respostas_Brutas!AN467)-1)/4))))</f>
        <v/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tr">
        <f>IF(Respostas_Brutas!B468="","",Respostas_Brutas!B468)</f>
        <v/>
      </c>
      <c r="B468" s="4" t="str">
        <f>IF(Respostas_Brutas!B468="","",IFERROR(IF(IFERROR(VALUE(TRIM(SUBSTITUTE(SUBSTITUTE(SUBSTITUTE(TRIM(Respostas_Brutas!AS468),"R$",""),".",""),",","."))),0)=0,"",(IFERROR(VALUE(TRIM(SUBSTITUTE(SUBSTITUTE(SUBSTITUTE(TRIM(Respostas_Brutas!AS468),"R$",""),".",""),",","."))),0)-IFERROR(VALUE(TRIM(SUBSTITUTE(SUBSTITUTE(SUBSTITUTE(TRIM(Respostas_Brutas!T468),"R$",""),".",""),",","."))),0))/IFERROR(VALUE(TRIM(SUBSTITUTE(SUBSTITUTE(SUBSTITUTE(TRIM(Respostas_Brutas!AS468),"R$",""),".",""),",","."))),0)),""))</f>
        <v/>
      </c>
      <c r="C468" s="4" t="str">
        <f>IF(Respostas_Brutas!B468="","",MIN(1,(IFERROR(VALUE(LEFT(Respostas_Brutas!I468,IFERROR(FIND(" ",Respostas_Brutas!I468)-1,LEN(Respostas_Brutas!I468)))),0)+IFERROR(VALUE(LEFT(Respostas_Brutas!O468,IFERROR(FIND(" ",Respostas_Brutas!O468)-1,LEN(Respostas_Brutas!O468)))),0))/20))</f>
        <v/>
      </c>
      <c r="D468" s="4" t="str">
        <f>IF(Respostas_Brutas!B468="","",IF(Respostas_Brutas!D468="","",MIN(1,MAX(0,(YEAR(TODAY())-N(Respostas_Brutas!D468))/15))))</f>
        <v/>
      </c>
      <c r="E468" s="4" t="str">
        <f>IF(Respostas_Brutas!B468="","",IF(ISNUMBER(SEARCH("Sim",Respostas_Brutas!S468)),1,0))</f>
        <v/>
      </c>
      <c r="F468" s="4" t="str">
        <f>IF(Respostas_Brutas!B468="","",IFERROR(N(Respostas_Brutas!Y468)/N(Respostas_Brutas!Z468),""))</f>
        <v/>
      </c>
      <c r="G468" s="4" t="str">
        <f>IF(Respostas_Brutas!B468="","",IF(Respostas_Brutas!K468&lt;&gt;"",1,0))</f>
        <v/>
      </c>
      <c r="H468" s="4" t="str">
        <f>IF(Respostas_Brutas!B468="","",IF(ISNUMBER(SEARCH("Não",Respostas_Brutas!AH468)),1,0))</f>
        <v/>
      </c>
      <c r="I468" s="4" t="str">
        <f>IF(Respostas_Brutas!B468="","",IF(ISNUMBER(SEARCH("Sim",Respostas_Brutas!AL468)),1,0))</f>
        <v/>
      </c>
      <c r="J468" s="4" t="str">
        <f>IF(Respostas_Brutas!B468="","",IF(Respostas_Brutas!AN468="","",MIN(1,MAX(0,(N(Respostas_Brutas!AN468)-1)/4))))</f>
        <v/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tr">
        <f>IF(Respostas_Brutas!B469="","",Respostas_Brutas!B469)</f>
        <v/>
      </c>
      <c r="B469" s="4" t="str">
        <f>IF(Respostas_Brutas!B469="","",IFERROR(IF(IFERROR(VALUE(TRIM(SUBSTITUTE(SUBSTITUTE(SUBSTITUTE(TRIM(Respostas_Brutas!AS469),"R$",""),".",""),",","."))),0)=0,"",(IFERROR(VALUE(TRIM(SUBSTITUTE(SUBSTITUTE(SUBSTITUTE(TRIM(Respostas_Brutas!AS469),"R$",""),".",""),",","."))),0)-IFERROR(VALUE(TRIM(SUBSTITUTE(SUBSTITUTE(SUBSTITUTE(TRIM(Respostas_Brutas!T469),"R$",""),".",""),",","."))),0))/IFERROR(VALUE(TRIM(SUBSTITUTE(SUBSTITUTE(SUBSTITUTE(TRIM(Respostas_Brutas!AS469),"R$",""),".",""),",","."))),0)),""))</f>
        <v/>
      </c>
      <c r="C469" s="4" t="str">
        <f>IF(Respostas_Brutas!B469="","",MIN(1,(IFERROR(VALUE(LEFT(Respostas_Brutas!I469,IFERROR(FIND(" ",Respostas_Brutas!I469)-1,LEN(Respostas_Brutas!I469)))),0)+IFERROR(VALUE(LEFT(Respostas_Brutas!O469,IFERROR(FIND(" ",Respostas_Brutas!O469)-1,LEN(Respostas_Brutas!O469)))),0))/20))</f>
        <v/>
      </c>
      <c r="D469" s="4" t="str">
        <f>IF(Respostas_Brutas!B469="","",IF(Respostas_Brutas!D469="","",MIN(1,MAX(0,(YEAR(TODAY())-N(Respostas_Brutas!D469))/15))))</f>
        <v/>
      </c>
      <c r="E469" s="4" t="str">
        <f>IF(Respostas_Brutas!B469="","",IF(ISNUMBER(SEARCH("Sim",Respostas_Brutas!S469)),1,0))</f>
        <v/>
      </c>
      <c r="F469" s="4" t="str">
        <f>IF(Respostas_Brutas!B469="","",IFERROR(N(Respostas_Brutas!Y469)/N(Respostas_Brutas!Z469),""))</f>
        <v/>
      </c>
      <c r="G469" s="4" t="str">
        <f>IF(Respostas_Brutas!B469="","",IF(Respostas_Brutas!K469&lt;&gt;"",1,0))</f>
        <v/>
      </c>
      <c r="H469" s="4" t="str">
        <f>IF(Respostas_Brutas!B469="","",IF(ISNUMBER(SEARCH("Não",Respostas_Brutas!AH469)),1,0))</f>
        <v/>
      </c>
      <c r="I469" s="4" t="str">
        <f>IF(Respostas_Brutas!B469="","",IF(ISNUMBER(SEARCH("Sim",Respostas_Brutas!AL469)),1,0))</f>
        <v/>
      </c>
      <c r="J469" s="4" t="str">
        <f>IF(Respostas_Brutas!B469="","",IF(Respostas_Brutas!AN469="","",MIN(1,MAX(0,(N(Respostas_Brutas!AN469)-1)/4))))</f>
        <v/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tr">
        <f>IF(Respostas_Brutas!B470="","",Respostas_Brutas!B470)</f>
        <v/>
      </c>
      <c r="B470" s="4" t="str">
        <f>IF(Respostas_Brutas!B470="","",IFERROR(IF(IFERROR(VALUE(TRIM(SUBSTITUTE(SUBSTITUTE(SUBSTITUTE(TRIM(Respostas_Brutas!AS470),"R$",""),".",""),",","."))),0)=0,"",(IFERROR(VALUE(TRIM(SUBSTITUTE(SUBSTITUTE(SUBSTITUTE(TRIM(Respostas_Brutas!AS470),"R$",""),".",""),",","."))),0)-IFERROR(VALUE(TRIM(SUBSTITUTE(SUBSTITUTE(SUBSTITUTE(TRIM(Respostas_Brutas!T470),"R$",""),".",""),",","."))),0))/IFERROR(VALUE(TRIM(SUBSTITUTE(SUBSTITUTE(SUBSTITUTE(TRIM(Respostas_Brutas!AS470),"R$",""),".",""),",","."))),0)),""))</f>
        <v/>
      </c>
      <c r="C470" s="4" t="str">
        <f>IF(Respostas_Brutas!B470="","",MIN(1,(IFERROR(VALUE(LEFT(Respostas_Brutas!I470,IFERROR(FIND(" ",Respostas_Brutas!I470)-1,LEN(Respostas_Brutas!I470)))),0)+IFERROR(VALUE(LEFT(Respostas_Brutas!O470,IFERROR(FIND(" ",Respostas_Brutas!O470)-1,LEN(Respostas_Brutas!O470)))),0))/20))</f>
        <v/>
      </c>
      <c r="D470" s="4" t="str">
        <f>IF(Respostas_Brutas!B470="","",IF(Respostas_Brutas!D470="","",MIN(1,MAX(0,(YEAR(TODAY())-N(Respostas_Brutas!D470))/15))))</f>
        <v/>
      </c>
      <c r="E470" s="4" t="str">
        <f>IF(Respostas_Brutas!B470="","",IF(ISNUMBER(SEARCH("Sim",Respostas_Brutas!S470)),1,0))</f>
        <v/>
      </c>
      <c r="F470" s="4" t="str">
        <f>IF(Respostas_Brutas!B470="","",IFERROR(N(Respostas_Brutas!Y470)/N(Respostas_Brutas!Z470),""))</f>
        <v/>
      </c>
      <c r="G470" s="4" t="str">
        <f>IF(Respostas_Brutas!B470="","",IF(Respostas_Brutas!K470&lt;&gt;"",1,0))</f>
        <v/>
      </c>
      <c r="H470" s="4" t="str">
        <f>IF(Respostas_Brutas!B470="","",IF(ISNUMBER(SEARCH("Não",Respostas_Brutas!AH470)),1,0))</f>
        <v/>
      </c>
      <c r="I470" s="4" t="str">
        <f>IF(Respostas_Brutas!B470="","",IF(ISNUMBER(SEARCH("Sim",Respostas_Brutas!AL470)),1,0))</f>
        <v/>
      </c>
      <c r="J470" s="4" t="str">
        <f>IF(Respostas_Brutas!B470="","",IF(Respostas_Brutas!AN470="","",MIN(1,MAX(0,(N(Respostas_Brutas!AN470)-1)/4))))</f>
        <v/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tr">
        <f>IF(Respostas_Brutas!B471="","",Respostas_Brutas!B471)</f>
        <v/>
      </c>
      <c r="B471" s="4" t="str">
        <f>IF(Respostas_Brutas!B471="","",IFERROR(IF(IFERROR(VALUE(TRIM(SUBSTITUTE(SUBSTITUTE(SUBSTITUTE(TRIM(Respostas_Brutas!AS471),"R$",""),".",""),",","."))),0)=0,"",(IFERROR(VALUE(TRIM(SUBSTITUTE(SUBSTITUTE(SUBSTITUTE(TRIM(Respostas_Brutas!AS471),"R$",""),".",""),",","."))),0)-IFERROR(VALUE(TRIM(SUBSTITUTE(SUBSTITUTE(SUBSTITUTE(TRIM(Respostas_Brutas!T471),"R$",""),".",""),",","."))),0))/IFERROR(VALUE(TRIM(SUBSTITUTE(SUBSTITUTE(SUBSTITUTE(TRIM(Respostas_Brutas!AS471),"R$",""),".",""),",","."))),0)),""))</f>
        <v/>
      </c>
      <c r="C471" s="4" t="str">
        <f>IF(Respostas_Brutas!B471="","",MIN(1,(IFERROR(VALUE(LEFT(Respostas_Brutas!I471,IFERROR(FIND(" ",Respostas_Brutas!I471)-1,LEN(Respostas_Brutas!I471)))),0)+IFERROR(VALUE(LEFT(Respostas_Brutas!O471,IFERROR(FIND(" ",Respostas_Brutas!O471)-1,LEN(Respostas_Brutas!O471)))),0))/20))</f>
        <v/>
      </c>
      <c r="D471" s="4" t="str">
        <f>IF(Respostas_Brutas!B471="","",IF(Respostas_Brutas!D471="","",MIN(1,MAX(0,(YEAR(TODAY())-N(Respostas_Brutas!D471))/15))))</f>
        <v/>
      </c>
      <c r="E471" s="4" t="str">
        <f>IF(Respostas_Brutas!B471="","",IF(ISNUMBER(SEARCH("Sim",Respostas_Brutas!S471)),1,0))</f>
        <v/>
      </c>
      <c r="F471" s="4" t="str">
        <f>IF(Respostas_Brutas!B471="","",IFERROR(N(Respostas_Brutas!Y471)/N(Respostas_Brutas!Z471),""))</f>
        <v/>
      </c>
      <c r="G471" s="4" t="str">
        <f>IF(Respostas_Brutas!B471="","",IF(Respostas_Brutas!K471&lt;&gt;"",1,0))</f>
        <v/>
      </c>
      <c r="H471" s="4" t="str">
        <f>IF(Respostas_Brutas!B471="","",IF(ISNUMBER(SEARCH("Não",Respostas_Brutas!AH471)),1,0))</f>
        <v/>
      </c>
      <c r="I471" s="4" t="str">
        <f>IF(Respostas_Brutas!B471="","",IF(ISNUMBER(SEARCH("Sim",Respostas_Brutas!AL471)),1,0))</f>
        <v/>
      </c>
      <c r="J471" s="4" t="str">
        <f>IF(Respostas_Brutas!B471="","",IF(Respostas_Brutas!AN471="","",MIN(1,MAX(0,(N(Respostas_Brutas!AN471)-1)/4))))</f>
        <v/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tr">
        <f>IF(Respostas_Brutas!B472="","",Respostas_Brutas!B472)</f>
        <v/>
      </c>
      <c r="B472" s="4" t="str">
        <f>IF(Respostas_Brutas!B472="","",IFERROR(IF(IFERROR(VALUE(TRIM(SUBSTITUTE(SUBSTITUTE(SUBSTITUTE(TRIM(Respostas_Brutas!AS472),"R$",""),".",""),",","."))),0)=0,"",(IFERROR(VALUE(TRIM(SUBSTITUTE(SUBSTITUTE(SUBSTITUTE(TRIM(Respostas_Brutas!AS472),"R$",""),".",""),",","."))),0)-IFERROR(VALUE(TRIM(SUBSTITUTE(SUBSTITUTE(SUBSTITUTE(TRIM(Respostas_Brutas!T472),"R$",""),".",""),",","."))),0))/IFERROR(VALUE(TRIM(SUBSTITUTE(SUBSTITUTE(SUBSTITUTE(TRIM(Respostas_Brutas!AS472),"R$",""),".",""),",","."))),0)),""))</f>
        <v/>
      </c>
      <c r="C472" s="4" t="str">
        <f>IF(Respostas_Brutas!B472="","",MIN(1,(IFERROR(VALUE(LEFT(Respostas_Brutas!I472,IFERROR(FIND(" ",Respostas_Brutas!I472)-1,LEN(Respostas_Brutas!I472)))),0)+IFERROR(VALUE(LEFT(Respostas_Brutas!O472,IFERROR(FIND(" ",Respostas_Brutas!O472)-1,LEN(Respostas_Brutas!O472)))),0))/20))</f>
        <v/>
      </c>
      <c r="D472" s="4" t="str">
        <f>IF(Respostas_Brutas!B472="","",IF(Respostas_Brutas!D472="","",MIN(1,MAX(0,(YEAR(TODAY())-N(Respostas_Brutas!D472))/15))))</f>
        <v/>
      </c>
      <c r="E472" s="4" t="str">
        <f>IF(Respostas_Brutas!B472="","",IF(ISNUMBER(SEARCH("Sim",Respostas_Brutas!S472)),1,0))</f>
        <v/>
      </c>
      <c r="F472" s="4" t="str">
        <f>IF(Respostas_Brutas!B472="","",IFERROR(N(Respostas_Brutas!Y472)/N(Respostas_Brutas!Z472),""))</f>
        <v/>
      </c>
      <c r="G472" s="4" t="str">
        <f>IF(Respostas_Brutas!B472="","",IF(Respostas_Brutas!K472&lt;&gt;"",1,0))</f>
        <v/>
      </c>
      <c r="H472" s="4" t="str">
        <f>IF(Respostas_Brutas!B472="","",IF(ISNUMBER(SEARCH("Não",Respostas_Brutas!AH472)),1,0))</f>
        <v/>
      </c>
      <c r="I472" s="4" t="str">
        <f>IF(Respostas_Brutas!B472="","",IF(ISNUMBER(SEARCH("Sim",Respostas_Brutas!AL472)),1,0))</f>
        <v/>
      </c>
      <c r="J472" s="4" t="str">
        <f>IF(Respostas_Brutas!B472="","",IF(Respostas_Brutas!AN472="","",MIN(1,MAX(0,(N(Respostas_Brutas!AN472)-1)/4))))</f>
        <v/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tr">
        <f>IF(Respostas_Brutas!B473="","",Respostas_Brutas!B473)</f>
        <v/>
      </c>
      <c r="B473" s="4" t="str">
        <f>IF(Respostas_Brutas!B473="","",IFERROR(IF(IFERROR(VALUE(TRIM(SUBSTITUTE(SUBSTITUTE(SUBSTITUTE(TRIM(Respostas_Brutas!AS473),"R$",""),".",""),",","."))),0)=0,"",(IFERROR(VALUE(TRIM(SUBSTITUTE(SUBSTITUTE(SUBSTITUTE(TRIM(Respostas_Brutas!AS473),"R$",""),".",""),",","."))),0)-IFERROR(VALUE(TRIM(SUBSTITUTE(SUBSTITUTE(SUBSTITUTE(TRIM(Respostas_Brutas!T473),"R$",""),".",""),",","."))),0))/IFERROR(VALUE(TRIM(SUBSTITUTE(SUBSTITUTE(SUBSTITUTE(TRIM(Respostas_Brutas!AS473),"R$",""),".",""),",","."))),0)),""))</f>
        <v/>
      </c>
      <c r="C473" s="4" t="str">
        <f>IF(Respostas_Brutas!B473="","",MIN(1,(IFERROR(VALUE(LEFT(Respostas_Brutas!I473,IFERROR(FIND(" ",Respostas_Brutas!I473)-1,LEN(Respostas_Brutas!I473)))),0)+IFERROR(VALUE(LEFT(Respostas_Brutas!O473,IFERROR(FIND(" ",Respostas_Brutas!O473)-1,LEN(Respostas_Brutas!O473)))),0))/20))</f>
        <v/>
      </c>
      <c r="D473" s="4" t="str">
        <f>IF(Respostas_Brutas!B473="","",IF(Respostas_Brutas!D473="","",MIN(1,MAX(0,(YEAR(TODAY())-N(Respostas_Brutas!D473))/15))))</f>
        <v/>
      </c>
      <c r="E473" s="4" t="str">
        <f>IF(Respostas_Brutas!B473="","",IF(ISNUMBER(SEARCH("Sim",Respostas_Brutas!S473)),1,0))</f>
        <v/>
      </c>
      <c r="F473" s="4" t="str">
        <f>IF(Respostas_Brutas!B473="","",IFERROR(N(Respostas_Brutas!Y473)/N(Respostas_Brutas!Z473),""))</f>
        <v/>
      </c>
      <c r="G473" s="4" t="str">
        <f>IF(Respostas_Brutas!B473="","",IF(Respostas_Brutas!K473&lt;&gt;"",1,0))</f>
        <v/>
      </c>
      <c r="H473" s="4" t="str">
        <f>IF(Respostas_Brutas!B473="","",IF(ISNUMBER(SEARCH("Não",Respostas_Brutas!AH473)),1,0))</f>
        <v/>
      </c>
      <c r="I473" s="4" t="str">
        <f>IF(Respostas_Brutas!B473="","",IF(ISNUMBER(SEARCH("Sim",Respostas_Brutas!AL473)),1,0))</f>
        <v/>
      </c>
      <c r="J473" s="4" t="str">
        <f>IF(Respostas_Brutas!B473="","",IF(Respostas_Brutas!AN473="","",MIN(1,MAX(0,(N(Respostas_Brutas!AN473)-1)/4))))</f>
        <v/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tr">
        <f>IF(Respostas_Brutas!B474="","",Respostas_Brutas!B474)</f>
        <v/>
      </c>
      <c r="B474" s="4" t="str">
        <f>IF(Respostas_Brutas!B474="","",IFERROR(IF(IFERROR(VALUE(TRIM(SUBSTITUTE(SUBSTITUTE(SUBSTITUTE(TRIM(Respostas_Brutas!AS474),"R$",""),".",""),",","."))),0)=0,"",(IFERROR(VALUE(TRIM(SUBSTITUTE(SUBSTITUTE(SUBSTITUTE(TRIM(Respostas_Brutas!AS474),"R$",""),".",""),",","."))),0)-IFERROR(VALUE(TRIM(SUBSTITUTE(SUBSTITUTE(SUBSTITUTE(TRIM(Respostas_Brutas!T474),"R$",""),".",""),",","."))),0))/IFERROR(VALUE(TRIM(SUBSTITUTE(SUBSTITUTE(SUBSTITUTE(TRIM(Respostas_Brutas!AS474),"R$",""),".",""),",","."))),0)),""))</f>
        <v/>
      </c>
      <c r="C474" s="4" t="str">
        <f>IF(Respostas_Brutas!B474="","",MIN(1,(IFERROR(VALUE(LEFT(Respostas_Brutas!I474,IFERROR(FIND(" ",Respostas_Brutas!I474)-1,LEN(Respostas_Brutas!I474)))),0)+IFERROR(VALUE(LEFT(Respostas_Brutas!O474,IFERROR(FIND(" ",Respostas_Brutas!O474)-1,LEN(Respostas_Brutas!O474)))),0))/20))</f>
        <v/>
      </c>
      <c r="D474" s="4" t="str">
        <f>IF(Respostas_Brutas!B474="","",IF(Respostas_Brutas!D474="","",MIN(1,MAX(0,(YEAR(TODAY())-N(Respostas_Brutas!D474))/15))))</f>
        <v/>
      </c>
      <c r="E474" s="4" t="str">
        <f>IF(Respostas_Brutas!B474="","",IF(ISNUMBER(SEARCH("Sim",Respostas_Brutas!S474)),1,0))</f>
        <v/>
      </c>
      <c r="F474" s="4" t="str">
        <f>IF(Respostas_Brutas!B474="","",IFERROR(N(Respostas_Brutas!Y474)/N(Respostas_Brutas!Z474),""))</f>
        <v/>
      </c>
      <c r="G474" s="4" t="str">
        <f>IF(Respostas_Brutas!B474="","",IF(Respostas_Brutas!K474&lt;&gt;"",1,0))</f>
        <v/>
      </c>
      <c r="H474" s="4" t="str">
        <f>IF(Respostas_Brutas!B474="","",IF(ISNUMBER(SEARCH("Não",Respostas_Brutas!AH474)),1,0))</f>
        <v/>
      </c>
      <c r="I474" s="4" t="str">
        <f>IF(Respostas_Brutas!B474="","",IF(ISNUMBER(SEARCH("Sim",Respostas_Brutas!AL474)),1,0))</f>
        <v/>
      </c>
      <c r="J474" s="4" t="str">
        <f>IF(Respostas_Brutas!B474="","",IF(Respostas_Brutas!AN474="","",MIN(1,MAX(0,(N(Respostas_Brutas!AN474)-1)/4))))</f>
        <v/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tr">
        <f>IF(Respostas_Brutas!B475="","",Respostas_Brutas!B475)</f>
        <v/>
      </c>
      <c r="B475" s="4" t="str">
        <f>IF(Respostas_Brutas!B475="","",IFERROR(IF(IFERROR(VALUE(TRIM(SUBSTITUTE(SUBSTITUTE(SUBSTITUTE(TRIM(Respostas_Brutas!AS475),"R$",""),".",""),",","."))),0)=0,"",(IFERROR(VALUE(TRIM(SUBSTITUTE(SUBSTITUTE(SUBSTITUTE(TRIM(Respostas_Brutas!AS475),"R$",""),".",""),",","."))),0)-IFERROR(VALUE(TRIM(SUBSTITUTE(SUBSTITUTE(SUBSTITUTE(TRIM(Respostas_Brutas!T475),"R$",""),".",""),",","."))),0))/IFERROR(VALUE(TRIM(SUBSTITUTE(SUBSTITUTE(SUBSTITUTE(TRIM(Respostas_Brutas!AS475),"R$",""),".",""),",","."))),0)),""))</f>
        <v/>
      </c>
      <c r="C475" s="4" t="str">
        <f>IF(Respostas_Brutas!B475="","",MIN(1,(IFERROR(VALUE(LEFT(Respostas_Brutas!I475,IFERROR(FIND(" ",Respostas_Brutas!I475)-1,LEN(Respostas_Brutas!I475)))),0)+IFERROR(VALUE(LEFT(Respostas_Brutas!O475,IFERROR(FIND(" ",Respostas_Brutas!O475)-1,LEN(Respostas_Brutas!O475)))),0))/20))</f>
        <v/>
      </c>
      <c r="D475" s="4" t="str">
        <f>IF(Respostas_Brutas!B475="","",IF(Respostas_Brutas!D475="","",MIN(1,MAX(0,(YEAR(TODAY())-N(Respostas_Brutas!D475))/15))))</f>
        <v/>
      </c>
      <c r="E475" s="4" t="str">
        <f>IF(Respostas_Brutas!B475="","",IF(ISNUMBER(SEARCH("Sim",Respostas_Brutas!S475)),1,0))</f>
        <v/>
      </c>
      <c r="F475" s="4" t="str">
        <f>IF(Respostas_Brutas!B475="","",IFERROR(N(Respostas_Brutas!Y475)/N(Respostas_Brutas!Z475),""))</f>
        <v/>
      </c>
      <c r="G475" s="4" t="str">
        <f>IF(Respostas_Brutas!B475="","",IF(Respostas_Brutas!K475&lt;&gt;"",1,0))</f>
        <v/>
      </c>
      <c r="H475" s="4" t="str">
        <f>IF(Respostas_Brutas!B475="","",IF(ISNUMBER(SEARCH("Não",Respostas_Brutas!AH475)),1,0))</f>
        <v/>
      </c>
      <c r="I475" s="4" t="str">
        <f>IF(Respostas_Brutas!B475="","",IF(ISNUMBER(SEARCH("Sim",Respostas_Brutas!AL475)),1,0))</f>
        <v/>
      </c>
      <c r="J475" s="4" t="str">
        <f>IF(Respostas_Brutas!B475="","",IF(Respostas_Brutas!AN475="","",MIN(1,MAX(0,(N(Respostas_Brutas!AN475)-1)/4))))</f>
        <v/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tr">
        <f>IF(Respostas_Brutas!B476="","",Respostas_Brutas!B476)</f>
        <v/>
      </c>
      <c r="B476" s="4" t="str">
        <f>IF(Respostas_Brutas!B476="","",IFERROR(IF(IFERROR(VALUE(TRIM(SUBSTITUTE(SUBSTITUTE(SUBSTITUTE(TRIM(Respostas_Brutas!AS476),"R$",""),".",""),",","."))),0)=0,"",(IFERROR(VALUE(TRIM(SUBSTITUTE(SUBSTITUTE(SUBSTITUTE(TRIM(Respostas_Brutas!AS476),"R$",""),".",""),",","."))),0)-IFERROR(VALUE(TRIM(SUBSTITUTE(SUBSTITUTE(SUBSTITUTE(TRIM(Respostas_Brutas!T476),"R$",""),".",""),",","."))),0))/IFERROR(VALUE(TRIM(SUBSTITUTE(SUBSTITUTE(SUBSTITUTE(TRIM(Respostas_Brutas!AS476),"R$",""),".",""),",","."))),0)),""))</f>
        <v/>
      </c>
      <c r="C476" s="4" t="str">
        <f>IF(Respostas_Brutas!B476="","",MIN(1,(IFERROR(VALUE(LEFT(Respostas_Brutas!I476,IFERROR(FIND(" ",Respostas_Brutas!I476)-1,LEN(Respostas_Brutas!I476)))),0)+IFERROR(VALUE(LEFT(Respostas_Brutas!O476,IFERROR(FIND(" ",Respostas_Brutas!O476)-1,LEN(Respostas_Brutas!O476)))),0))/20))</f>
        <v/>
      </c>
      <c r="D476" s="4" t="str">
        <f>IF(Respostas_Brutas!B476="","",IF(Respostas_Brutas!D476="","",MIN(1,MAX(0,(YEAR(TODAY())-N(Respostas_Brutas!D476))/15))))</f>
        <v/>
      </c>
      <c r="E476" s="4" t="str">
        <f>IF(Respostas_Brutas!B476="","",IF(ISNUMBER(SEARCH("Sim",Respostas_Brutas!S476)),1,0))</f>
        <v/>
      </c>
      <c r="F476" s="4" t="str">
        <f>IF(Respostas_Brutas!B476="","",IFERROR(N(Respostas_Brutas!Y476)/N(Respostas_Brutas!Z476),""))</f>
        <v/>
      </c>
      <c r="G476" s="4" t="str">
        <f>IF(Respostas_Brutas!B476="","",IF(Respostas_Brutas!K476&lt;&gt;"",1,0))</f>
        <v/>
      </c>
      <c r="H476" s="4" t="str">
        <f>IF(Respostas_Brutas!B476="","",IF(ISNUMBER(SEARCH("Não",Respostas_Brutas!AH476)),1,0))</f>
        <v/>
      </c>
      <c r="I476" s="4" t="str">
        <f>IF(Respostas_Brutas!B476="","",IF(ISNUMBER(SEARCH("Sim",Respostas_Brutas!AL476)),1,0))</f>
        <v/>
      </c>
      <c r="J476" s="4" t="str">
        <f>IF(Respostas_Brutas!B476="","",IF(Respostas_Brutas!AN476="","",MIN(1,MAX(0,(N(Respostas_Brutas!AN476)-1)/4))))</f>
        <v/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tr">
        <f>IF(Respostas_Brutas!B477="","",Respostas_Brutas!B477)</f>
        <v/>
      </c>
      <c r="B477" s="4" t="str">
        <f>IF(Respostas_Brutas!B477="","",IFERROR(IF(IFERROR(VALUE(TRIM(SUBSTITUTE(SUBSTITUTE(SUBSTITUTE(TRIM(Respostas_Brutas!AS477),"R$",""),".",""),",","."))),0)=0,"",(IFERROR(VALUE(TRIM(SUBSTITUTE(SUBSTITUTE(SUBSTITUTE(TRIM(Respostas_Brutas!AS477),"R$",""),".",""),",","."))),0)-IFERROR(VALUE(TRIM(SUBSTITUTE(SUBSTITUTE(SUBSTITUTE(TRIM(Respostas_Brutas!T477),"R$",""),".",""),",","."))),0))/IFERROR(VALUE(TRIM(SUBSTITUTE(SUBSTITUTE(SUBSTITUTE(TRIM(Respostas_Brutas!AS477),"R$",""),".",""),",","."))),0)),""))</f>
        <v/>
      </c>
      <c r="C477" s="4" t="str">
        <f>IF(Respostas_Brutas!B477="","",MIN(1,(IFERROR(VALUE(LEFT(Respostas_Brutas!I477,IFERROR(FIND(" ",Respostas_Brutas!I477)-1,LEN(Respostas_Brutas!I477)))),0)+IFERROR(VALUE(LEFT(Respostas_Brutas!O477,IFERROR(FIND(" ",Respostas_Brutas!O477)-1,LEN(Respostas_Brutas!O477)))),0))/20))</f>
        <v/>
      </c>
      <c r="D477" s="4" t="str">
        <f>IF(Respostas_Brutas!B477="","",IF(Respostas_Brutas!D477="","",MIN(1,MAX(0,(YEAR(TODAY())-N(Respostas_Brutas!D477))/15))))</f>
        <v/>
      </c>
      <c r="E477" s="4" t="str">
        <f>IF(Respostas_Brutas!B477="","",IF(ISNUMBER(SEARCH("Sim",Respostas_Brutas!S477)),1,0))</f>
        <v/>
      </c>
      <c r="F477" s="4" t="str">
        <f>IF(Respostas_Brutas!B477="","",IFERROR(N(Respostas_Brutas!Y477)/N(Respostas_Brutas!Z477),""))</f>
        <v/>
      </c>
      <c r="G477" s="4" t="str">
        <f>IF(Respostas_Brutas!B477="","",IF(Respostas_Brutas!K477&lt;&gt;"",1,0))</f>
        <v/>
      </c>
      <c r="H477" s="4" t="str">
        <f>IF(Respostas_Brutas!B477="","",IF(ISNUMBER(SEARCH("Não",Respostas_Brutas!AH477)),1,0))</f>
        <v/>
      </c>
      <c r="I477" s="4" t="str">
        <f>IF(Respostas_Brutas!B477="","",IF(ISNUMBER(SEARCH("Sim",Respostas_Brutas!AL477)),1,0))</f>
        <v/>
      </c>
      <c r="J477" s="4" t="str">
        <f>IF(Respostas_Brutas!B477="","",IF(Respostas_Brutas!AN477="","",MIN(1,MAX(0,(N(Respostas_Brutas!AN477)-1)/4))))</f>
        <v/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tr">
        <f>IF(Respostas_Brutas!B478="","",Respostas_Brutas!B478)</f>
        <v/>
      </c>
      <c r="B478" s="4" t="str">
        <f>IF(Respostas_Brutas!B478="","",IFERROR(IF(IFERROR(VALUE(TRIM(SUBSTITUTE(SUBSTITUTE(SUBSTITUTE(TRIM(Respostas_Brutas!AS478),"R$",""),".",""),",","."))),0)=0,"",(IFERROR(VALUE(TRIM(SUBSTITUTE(SUBSTITUTE(SUBSTITUTE(TRIM(Respostas_Brutas!AS478),"R$",""),".",""),",","."))),0)-IFERROR(VALUE(TRIM(SUBSTITUTE(SUBSTITUTE(SUBSTITUTE(TRIM(Respostas_Brutas!T478),"R$",""),".",""),",","."))),0))/IFERROR(VALUE(TRIM(SUBSTITUTE(SUBSTITUTE(SUBSTITUTE(TRIM(Respostas_Brutas!AS478),"R$",""),".",""),",","."))),0)),""))</f>
        <v/>
      </c>
      <c r="C478" s="4" t="str">
        <f>IF(Respostas_Brutas!B478="","",MIN(1,(IFERROR(VALUE(LEFT(Respostas_Brutas!I478,IFERROR(FIND(" ",Respostas_Brutas!I478)-1,LEN(Respostas_Brutas!I478)))),0)+IFERROR(VALUE(LEFT(Respostas_Brutas!O478,IFERROR(FIND(" ",Respostas_Brutas!O478)-1,LEN(Respostas_Brutas!O478)))),0))/20))</f>
        <v/>
      </c>
      <c r="D478" s="4" t="str">
        <f>IF(Respostas_Brutas!B478="","",IF(Respostas_Brutas!D478="","",MIN(1,MAX(0,(YEAR(TODAY())-N(Respostas_Brutas!D478))/15))))</f>
        <v/>
      </c>
      <c r="E478" s="4" t="str">
        <f>IF(Respostas_Brutas!B478="","",IF(ISNUMBER(SEARCH("Sim",Respostas_Brutas!S478)),1,0))</f>
        <v/>
      </c>
      <c r="F478" s="4" t="str">
        <f>IF(Respostas_Brutas!B478="","",IFERROR(N(Respostas_Brutas!Y478)/N(Respostas_Brutas!Z478),""))</f>
        <v/>
      </c>
      <c r="G478" s="4" t="str">
        <f>IF(Respostas_Brutas!B478="","",IF(Respostas_Brutas!K478&lt;&gt;"",1,0))</f>
        <v/>
      </c>
      <c r="H478" s="4" t="str">
        <f>IF(Respostas_Brutas!B478="","",IF(ISNUMBER(SEARCH("Não",Respostas_Brutas!AH478)),1,0))</f>
        <v/>
      </c>
      <c r="I478" s="4" t="str">
        <f>IF(Respostas_Brutas!B478="","",IF(ISNUMBER(SEARCH("Sim",Respostas_Brutas!AL478)),1,0))</f>
        <v/>
      </c>
      <c r="J478" s="4" t="str">
        <f>IF(Respostas_Brutas!B478="","",IF(Respostas_Brutas!AN478="","",MIN(1,MAX(0,(N(Respostas_Brutas!AN478)-1)/4))))</f>
        <v/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tr">
        <f>IF(Respostas_Brutas!B479="","",Respostas_Brutas!B479)</f>
        <v/>
      </c>
      <c r="B479" s="4" t="str">
        <f>IF(Respostas_Brutas!B479="","",IFERROR(IF(IFERROR(VALUE(TRIM(SUBSTITUTE(SUBSTITUTE(SUBSTITUTE(TRIM(Respostas_Brutas!AS479),"R$",""),".",""),",","."))),0)=0,"",(IFERROR(VALUE(TRIM(SUBSTITUTE(SUBSTITUTE(SUBSTITUTE(TRIM(Respostas_Brutas!AS479),"R$",""),".",""),",","."))),0)-IFERROR(VALUE(TRIM(SUBSTITUTE(SUBSTITUTE(SUBSTITUTE(TRIM(Respostas_Brutas!T479),"R$",""),".",""),",","."))),0))/IFERROR(VALUE(TRIM(SUBSTITUTE(SUBSTITUTE(SUBSTITUTE(TRIM(Respostas_Brutas!AS479),"R$",""),".",""),",","."))),0)),""))</f>
        <v/>
      </c>
      <c r="C479" s="4" t="str">
        <f>IF(Respostas_Brutas!B479="","",MIN(1,(IFERROR(VALUE(LEFT(Respostas_Brutas!I479,IFERROR(FIND(" ",Respostas_Brutas!I479)-1,LEN(Respostas_Brutas!I479)))),0)+IFERROR(VALUE(LEFT(Respostas_Brutas!O479,IFERROR(FIND(" ",Respostas_Brutas!O479)-1,LEN(Respostas_Brutas!O479)))),0))/20))</f>
        <v/>
      </c>
      <c r="D479" s="4" t="str">
        <f>IF(Respostas_Brutas!B479="","",IF(Respostas_Brutas!D479="","",MIN(1,MAX(0,(YEAR(TODAY())-N(Respostas_Brutas!D479))/15))))</f>
        <v/>
      </c>
      <c r="E479" s="4" t="str">
        <f>IF(Respostas_Brutas!B479="","",IF(ISNUMBER(SEARCH("Sim",Respostas_Brutas!S479)),1,0))</f>
        <v/>
      </c>
      <c r="F479" s="4" t="str">
        <f>IF(Respostas_Brutas!B479="","",IFERROR(N(Respostas_Brutas!Y479)/N(Respostas_Brutas!Z479),""))</f>
        <v/>
      </c>
      <c r="G479" s="4" t="str">
        <f>IF(Respostas_Brutas!B479="","",IF(Respostas_Brutas!K479&lt;&gt;"",1,0))</f>
        <v/>
      </c>
      <c r="H479" s="4" t="str">
        <f>IF(Respostas_Brutas!B479="","",IF(ISNUMBER(SEARCH("Não",Respostas_Brutas!AH479)),1,0))</f>
        <v/>
      </c>
      <c r="I479" s="4" t="str">
        <f>IF(Respostas_Brutas!B479="","",IF(ISNUMBER(SEARCH("Sim",Respostas_Brutas!AL479)),1,0))</f>
        <v/>
      </c>
      <c r="J479" s="4" t="str">
        <f>IF(Respostas_Brutas!B479="","",IF(Respostas_Brutas!AN479="","",MIN(1,MAX(0,(N(Respostas_Brutas!AN479)-1)/4))))</f>
        <v/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tr">
        <f>IF(Respostas_Brutas!B480="","",Respostas_Brutas!B480)</f>
        <v/>
      </c>
      <c r="B480" s="4" t="str">
        <f>IF(Respostas_Brutas!B480="","",IFERROR(IF(IFERROR(VALUE(TRIM(SUBSTITUTE(SUBSTITUTE(SUBSTITUTE(TRIM(Respostas_Brutas!AS480),"R$",""),".",""),",","."))),0)=0,"",(IFERROR(VALUE(TRIM(SUBSTITUTE(SUBSTITUTE(SUBSTITUTE(TRIM(Respostas_Brutas!AS480),"R$",""),".",""),",","."))),0)-IFERROR(VALUE(TRIM(SUBSTITUTE(SUBSTITUTE(SUBSTITUTE(TRIM(Respostas_Brutas!T480),"R$",""),".",""),",","."))),0))/IFERROR(VALUE(TRIM(SUBSTITUTE(SUBSTITUTE(SUBSTITUTE(TRIM(Respostas_Brutas!AS480),"R$",""),".",""),",","."))),0)),""))</f>
        <v/>
      </c>
      <c r="C480" s="4" t="str">
        <f>IF(Respostas_Brutas!B480="","",MIN(1,(IFERROR(VALUE(LEFT(Respostas_Brutas!I480,IFERROR(FIND(" ",Respostas_Brutas!I480)-1,LEN(Respostas_Brutas!I480)))),0)+IFERROR(VALUE(LEFT(Respostas_Brutas!O480,IFERROR(FIND(" ",Respostas_Brutas!O480)-1,LEN(Respostas_Brutas!O480)))),0))/20))</f>
        <v/>
      </c>
      <c r="D480" s="4" t="str">
        <f>IF(Respostas_Brutas!B480="","",IF(Respostas_Brutas!D480="","",MIN(1,MAX(0,(YEAR(TODAY())-N(Respostas_Brutas!D480))/15))))</f>
        <v/>
      </c>
      <c r="E480" s="4" t="str">
        <f>IF(Respostas_Brutas!B480="","",IF(ISNUMBER(SEARCH("Sim",Respostas_Brutas!S480)),1,0))</f>
        <v/>
      </c>
      <c r="F480" s="4" t="str">
        <f>IF(Respostas_Brutas!B480="","",IFERROR(N(Respostas_Brutas!Y480)/N(Respostas_Brutas!Z480),""))</f>
        <v/>
      </c>
      <c r="G480" s="4" t="str">
        <f>IF(Respostas_Brutas!B480="","",IF(Respostas_Brutas!K480&lt;&gt;"",1,0))</f>
        <v/>
      </c>
      <c r="H480" s="4" t="str">
        <f>IF(Respostas_Brutas!B480="","",IF(ISNUMBER(SEARCH("Não",Respostas_Brutas!AH480)),1,0))</f>
        <v/>
      </c>
      <c r="I480" s="4" t="str">
        <f>IF(Respostas_Brutas!B480="","",IF(ISNUMBER(SEARCH("Sim",Respostas_Brutas!AL480)),1,0))</f>
        <v/>
      </c>
      <c r="J480" s="4" t="str">
        <f>IF(Respostas_Brutas!B480="","",IF(Respostas_Brutas!AN480="","",MIN(1,MAX(0,(N(Respostas_Brutas!AN480)-1)/4))))</f>
        <v/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tr">
        <f>IF(Respostas_Brutas!B481="","",Respostas_Brutas!B481)</f>
        <v/>
      </c>
      <c r="B481" s="4" t="str">
        <f>IF(Respostas_Brutas!B481="","",IFERROR(IF(IFERROR(VALUE(TRIM(SUBSTITUTE(SUBSTITUTE(SUBSTITUTE(TRIM(Respostas_Brutas!AS481),"R$",""),".",""),",","."))),0)=0,"",(IFERROR(VALUE(TRIM(SUBSTITUTE(SUBSTITUTE(SUBSTITUTE(TRIM(Respostas_Brutas!AS481),"R$",""),".",""),",","."))),0)-IFERROR(VALUE(TRIM(SUBSTITUTE(SUBSTITUTE(SUBSTITUTE(TRIM(Respostas_Brutas!T481),"R$",""),".",""),",","."))),0))/IFERROR(VALUE(TRIM(SUBSTITUTE(SUBSTITUTE(SUBSTITUTE(TRIM(Respostas_Brutas!AS481),"R$",""),".",""),",","."))),0)),""))</f>
        <v/>
      </c>
      <c r="C481" s="4" t="str">
        <f>IF(Respostas_Brutas!B481="","",MIN(1,(IFERROR(VALUE(LEFT(Respostas_Brutas!I481,IFERROR(FIND(" ",Respostas_Brutas!I481)-1,LEN(Respostas_Brutas!I481)))),0)+IFERROR(VALUE(LEFT(Respostas_Brutas!O481,IFERROR(FIND(" ",Respostas_Brutas!O481)-1,LEN(Respostas_Brutas!O481)))),0))/20))</f>
        <v/>
      </c>
      <c r="D481" s="4" t="str">
        <f>IF(Respostas_Brutas!B481="","",IF(Respostas_Brutas!D481="","",MIN(1,MAX(0,(YEAR(TODAY())-N(Respostas_Brutas!D481))/15))))</f>
        <v/>
      </c>
      <c r="E481" s="4" t="str">
        <f>IF(Respostas_Brutas!B481="","",IF(ISNUMBER(SEARCH("Sim",Respostas_Brutas!S481)),1,0))</f>
        <v/>
      </c>
      <c r="F481" s="4" t="str">
        <f>IF(Respostas_Brutas!B481="","",IFERROR(N(Respostas_Brutas!Y481)/N(Respostas_Brutas!Z481),""))</f>
        <v/>
      </c>
      <c r="G481" s="4" t="str">
        <f>IF(Respostas_Brutas!B481="","",IF(Respostas_Brutas!K481&lt;&gt;"",1,0))</f>
        <v/>
      </c>
      <c r="H481" s="4" t="str">
        <f>IF(Respostas_Brutas!B481="","",IF(ISNUMBER(SEARCH("Não",Respostas_Brutas!AH481)),1,0))</f>
        <v/>
      </c>
      <c r="I481" s="4" t="str">
        <f>IF(Respostas_Brutas!B481="","",IF(ISNUMBER(SEARCH("Sim",Respostas_Brutas!AL481)),1,0))</f>
        <v/>
      </c>
      <c r="J481" s="4" t="str">
        <f>IF(Respostas_Brutas!B481="","",IF(Respostas_Brutas!AN481="","",MIN(1,MAX(0,(N(Respostas_Brutas!AN481)-1)/4))))</f>
        <v/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tr">
        <f>IF(Respostas_Brutas!B482="","",Respostas_Brutas!B482)</f>
        <v/>
      </c>
      <c r="B482" s="4" t="str">
        <f>IF(Respostas_Brutas!B482="","",IFERROR(IF(IFERROR(VALUE(TRIM(SUBSTITUTE(SUBSTITUTE(SUBSTITUTE(TRIM(Respostas_Brutas!AS482),"R$",""),".",""),",","."))),0)=0,"",(IFERROR(VALUE(TRIM(SUBSTITUTE(SUBSTITUTE(SUBSTITUTE(TRIM(Respostas_Brutas!AS482),"R$",""),".",""),",","."))),0)-IFERROR(VALUE(TRIM(SUBSTITUTE(SUBSTITUTE(SUBSTITUTE(TRIM(Respostas_Brutas!T482),"R$",""),".",""),",","."))),0))/IFERROR(VALUE(TRIM(SUBSTITUTE(SUBSTITUTE(SUBSTITUTE(TRIM(Respostas_Brutas!AS482),"R$",""),".",""),",","."))),0)),""))</f>
        <v/>
      </c>
      <c r="C482" s="4" t="str">
        <f>IF(Respostas_Brutas!B482="","",MIN(1,(IFERROR(VALUE(LEFT(Respostas_Brutas!I482,IFERROR(FIND(" ",Respostas_Brutas!I482)-1,LEN(Respostas_Brutas!I482)))),0)+IFERROR(VALUE(LEFT(Respostas_Brutas!O482,IFERROR(FIND(" ",Respostas_Brutas!O482)-1,LEN(Respostas_Brutas!O482)))),0))/20))</f>
        <v/>
      </c>
      <c r="D482" s="4" t="str">
        <f>IF(Respostas_Brutas!B482="","",IF(Respostas_Brutas!D482="","",MIN(1,MAX(0,(YEAR(TODAY())-N(Respostas_Brutas!D482))/15))))</f>
        <v/>
      </c>
      <c r="E482" s="4" t="str">
        <f>IF(Respostas_Brutas!B482="","",IF(ISNUMBER(SEARCH("Sim",Respostas_Brutas!S482)),1,0))</f>
        <v/>
      </c>
      <c r="F482" s="4" t="str">
        <f>IF(Respostas_Brutas!B482="","",IFERROR(N(Respostas_Brutas!Y482)/N(Respostas_Brutas!Z482),""))</f>
        <v/>
      </c>
      <c r="G482" s="4" t="str">
        <f>IF(Respostas_Brutas!B482="","",IF(Respostas_Brutas!K482&lt;&gt;"",1,0))</f>
        <v/>
      </c>
      <c r="H482" s="4" t="str">
        <f>IF(Respostas_Brutas!B482="","",IF(ISNUMBER(SEARCH("Não",Respostas_Brutas!AH482)),1,0))</f>
        <v/>
      </c>
      <c r="I482" s="4" t="str">
        <f>IF(Respostas_Brutas!B482="","",IF(ISNUMBER(SEARCH("Sim",Respostas_Brutas!AL482)),1,0))</f>
        <v/>
      </c>
      <c r="J482" s="4" t="str">
        <f>IF(Respostas_Brutas!B482="","",IF(Respostas_Brutas!AN482="","",MIN(1,MAX(0,(N(Respostas_Brutas!AN482)-1)/4))))</f>
        <v/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tr">
        <f>IF(Respostas_Brutas!B483="","",Respostas_Brutas!B483)</f>
        <v/>
      </c>
      <c r="B483" s="4" t="str">
        <f>IF(Respostas_Brutas!B483="","",IFERROR(IF(IFERROR(VALUE(TRIM(SUBSTITUTE(SUBSTITUTE(SUBSTITUTE(TRIM(Respostas_Brutas!AS483),"R$",""),".",""),",","."))),0)=0,"",(IFERROR(VALUE(TRIM(SUBSTITUTE(SUBSTITUTE(SUBSTITUTE(TRIM(Respostas_Brutas!AS483),"R$",""),".",""),",","."))),0)-IFERROR(VALUE(TRIM(SUBSTITUTE(SUBSTITUTE(SUBSTITUTE(TRIM(Respostas_Brutas!T483),"R$",""),".",""),",","."))),0))/IFERROR(VALUE(TRIM(SUBSTITUTE(SUBSTITUTE(SUBSTITUTE(TRIM(Respostas_Brutas!AS483),"R$",""),".",""),",","."))),0)),""))</f>
        <v/>
      </c>
      <c r="C483" s="4" t="str">
        <f>IF(Respostas_Brutas!B483="","",MIN(1,(IFERROR(VALUE(LEFT(Respostas_Brutas!I483,IFERROR(FIND(" ",Respostas_Brutas!I483)-1,LEN(Respostas_Brutas!I483)))),0)+IFERROR(VALUE(LEFT(Respostas_Brutas!O483,IFERROR(FIND(" ",Respostas_Brutas!O483)-1,LEN(Respostas_Brutas!O483)))),0))/20))</f>
        <v/>
      </c>
      <c r="D483" s="4" t="str">
        <f>IF(Respostas_Brutas!B483="","",IF(Respostas_Brutas!D483="","",MIN(1,MAX(0,(YEAR(TODAY())-N(Respostas_Brutas!D483))/15))))</f>
        <v/>
      </c>
      <c r="E483" s="4" t="str">
        <f>IF(Respostas_Brutas!B483="","",IF(ISNUMBER(SEARCH("Sim",Respostas_Brutas!S483)),1,0))</f>
        <v/>
      </c>
      <c r="F483" s="4" t="str">
        <f>IF(Respostas_Brutas!B483="","",IFERROR(N(Respostas_Brutas!Y483)/N(Respostas_Brutas!Z483),""))</f>
        <v/>
      </c>
      <c r="G483" s="4" t="str">
        <f>IF(Respostas_Brutas!B483="","",IF(Respostas_Brutas!K483&lt;&gt;"",1,0))</f>
        <v/>
      </c>
      <c r="H483" s="4" t="str">
        <f>IF(Respostas_Brutas!B483="","",IF(ISNUMBER(SEARCH("Não",Respostas_Brutas!AH483)),1,0))</f>
        <v/>
      </c>
      <c r="I483" s="4" t="str">
        <f>IF(Respostas_Brutas!B483="","",IF(ISNUMBER(SEARCH("Sim",Respostas_Brutas!AL483)),1,0))</f>
        <v/>
      </c>
      <c r="J483" s="4" t="str">
        <f>IF(Respostas_Brutas!B483="","",IF(Respostas_Brutas!AN483="","",MIN(1,MAX(0,(N(Respostas_Brutas!AN483)-1)/4))))</f>
        <v/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tr">
        <f>IF(Respostas_Brutas!B484="","",Respostas_Brutas!B484)</f>
        <v/>
      </c>
      <c r="B484" s="4" t="str">
        <f>IF(Respostas_Brutas!B484="","",IFERROR(IF(IFERROR(VALUE(TRIM(SUBSTITUTE(SUBSTITUTE(SUBSTITUTE(TRIM(Respostas_Brutas!AS484),"R$",""),".",""),",","."))),0)=0,"",(IFERROR(VALUE(TRIM(SUBSTITUTE(SUBSTITUTE(SUBSTITUTE(TRIM(Respostas_Brutas!AS484),"R$",""),".",""),",","."))),0)-IFERROR(VALUE(TRIM(SUBSTITUTE(SUBSTITUTE(SUBSTITUTE(TRIM(Respostas_Brutas!T484),"R$",""),".",""),",","."))),0))/IFERROR(VALUE(TRIM(SUBSTITUTE(SUBSTITUTE(SUBSTITUTE(TRIM(Respostas_Brutas!AS484),"R$",""),".",""),",","."))),0)),""))</f>
        <v/>
      </c>
      <c r="C484" s="4" t="str">
        <f>IF(Respostas_Brutas!B484="","",MIN(1,(IFERROR(VALUE(LEFT(Respostas_Brutas!I484,IFERROR(FIND(" ",Respostas_Brutas!I484)-1,LEN(Respostas_Brutas!I484)))),0)+IFERROR(VALUE(LEFT(Respostas_Brutas!O484,IFERROR(FIND(" ",Respostas_Brutas!O484)-1,LEN(Respostas_Brutas!O484)))),0))/20))</f>
        <v/>
      </c>
      <c r="D484" s="4" t="str">
        <f>IF(Respostas_Brutas!B484="","",IF(Respostas_Brutas!D484="","",MIN(1,MAX(0,(YEAR(TODAY())-N(Respostas_Brutas!D484))/15))))</f>
        <v/>
      </c>
      <c r="E484" s="4" t="str">
        <f>IF(Respostas_Brutas!B484="","",IF(ISNUMBER(SEARCH("Sim",Respostas_Brutas!S484)),1,0))</f>
        <v/>
      </c>
      <c r="F484" s="4" t="str">
        <f>IF(Respostas_Brutas!B484="","",IFERROR(N(Respostas_Brutas!Y484)/N(Respostas_Brutas!Z484),""))</f>
        <v/>
      </c>
      <c r="G484" s="4" t="str">
        <f>IF(Respostas_Brutas!B484="","",IF(Respostas_Brutas!K484&lt;&gt;"",1,0))</f>
        <v/>
      </c>
      <c r="H484" s="4" t="str">
        <f>IF(Respostas_Brutas!B484="","",IF(ISNUMBER(SEARCH("Não",Respostas_Brutas!AH484)),1,0))</f>
        <v/>
      </c>
      <c r="I484" s="4" t="str">
        <f>IF(Respostas_Brutas!B484="","",IF(ISNUMBER(SEARCH("Sim",Respostas_Brutas!AL484)),1,0))</f>
        <v/>
      </c>
      <c r="J484" s="4" t="str">
        <f>IF(Respostas_Brutas!B484="","",IF(Respostas_Brutas!AN484="","",MIN(1,MAX(0,(N(Respostas_Brutas!AN484)-1)/4))))</f>
        <v/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tr">
        <f>IF(Respostas_Brutas!B485="","",Respostas_Brutas!B485)</f>
        <v/>
      </c>
      <c r="B485" s="4" t="str">
        <f>IF(Respostas_Brutas!B485="","",IFERROR(IF(IFERROR(VALUE(TRIM(SUBSTITUTE(SUBSTITUTE(SUBSTITUTE(TRIM(Respostas_Brutas!AS485),"R$",""),".",""),",","."))),0)=0,"",(IFERROR(VALUE(TRIM(SUBSTITUTE(SUBSTITUTE(SUBSTITUTE(TRIM(Respostas_Brutas!AS485),"R$",""),".",""),",","."))),0)-IFERROR(VALUE(TRIM(SUBSTITUTE(SUBSTITUTE(SUBSTITUTE(TRIM(Respostas_Brutas!T485),"R$",""),".",""),",","."))),0))/IFERROR(VALUE(TRIM(SUBSTITUTE(SUBSTITUTE(SUBSTITUTE(TRIM(Respostas_Brutas!AS485),"R$",""),".",""),",","."))),0)),""))</f>
        <v/>
      </c>
      <c r="C485" s="4" t="str">
        <f>IF(Respostas_Brutas!B485="","",MIN(1,(IFERROR(VALUE(LEFT(Respostas_Brutas!I485,IFERROR(FIND(" ",Respostas_Brutas!I485)-1,LEN(Respostas_Brutas!I485)))),0)+IFERROR(VALUE(LEFT(Respostas_Brutas!O485,IFERROR(FIND(" ",Respostas_Brutas!O485)-1,LEN(Respostas_Brutas!O485)))),0))/20))</f>
        <v/>
      </c>
      <c r="D485" s="4" t="str">
        <f>IF(Respostas_Brutas!B485="","",IF(Respostas_Brutas!D485="","",MIN(1,MAX(0,(YEAR(TODAY())-N(Respostas_Brutas!D485))/15))))</f>
        <v/>
      </c>
      <c r="E485" s="4" t="str">
        <f>IF(Respostas_Brutas!B485="","",IF(ISNUMBER(SEARCH("Sim",Respostas_Brutas!S485)),1,0))</f>
        <v/>
      </c>
      <c r="F485" s="4" t="str">
        <f>IF(Respostas_Brutas!B485="","",IFERROR(N(Respostas_Brutas!Y485)/N(Respostas_Brutas!Z485),""))</f>
        <v/>
      </c>
      <c r="G485" s="4" t="str">
        <f>IF(Respostas_Brutas!B485="","",IF(Respostas_Brutas!K485&lt;&gt;"",1,0))</f>
        <v/>
      </c>
      <c r="H485" s="4" t="str">
        <f>IF(Respostas_Brutas!B485="","",IF(ISNUMBER(SEARCH("Não",Respostas_Brutas!AH485)),1,0))</f>
        <v/>
      </c>
      <c r="I485" s="4" t="str">
        <f>IF(Respostas_Brutas!B485="","",IF(ISNUMBER(SEARCH("Sim",Respostas_Brutas!AL485)),1,0))</f>
        <v/>
      </c>
      <c r="J485" s="4" t="str">
        <f>IF(Respostas_Brutas!B485="","",IF(Respostas_Brutas!AN485="","",MIN(1,MAX(0,(N(Respostas_Brutas!AN485)-1)/4))))</f>
        <v/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tr">
        <f>IF(Respostas_Brutas!B486="","",Respostas_Brutas!B486)</f>
        <v/>
      </c>
      <c r="B486" s="4" t="str">
        <f>IF(Respostas_Brutas!B486="","",IFERROR(IF(IFERROR(VALUE(TRIM(SUBSTITUTE(SUBSTITUTE(SUBSTITUTE(TRIM(Respostas_Brutas!AS486),"R$",""),".",""),",","."))),0)=0,"",(IFERROR(VALUE(TRIM(SUBSTITUTE(SUBSTITUTE(SUBSTITUTE(TRIM(Respostas_Brutas!AS486),"R$",""),".",""),",","."))),0)-IFERROR(VALUE(TRIM(SUBSTITUTE(SUBSTITUTE(SUBSTITUTE(TRIM(Respostas_Brutas!T486),"R$",""),".",""),",","."))),0))/IFERROR(VALUE(TRIM(SUBSTITUTE(SUBSTITUTE(SUBSTITUTE(TRIM(Respostas_Brutas!AS486),"R$",""),".",""),",","."))),0)),""))</f>
        <v/>
      </c>
      <c r="C486" s="4" t="str">
        <f>IF(Respostas_Brutas!B486="","",MIN(1,(IFERROR(VALUE(LEFT(Respostas_Brutas!I486,IFERROR(FIND(" ",Respostas_Brutas!I486)-1,LEN(Respostas_Brutas!I486)))),0)+IFERROR(VALUE(LEFT(Respostas_Brutas!O486,IFERROR(FIND(" ",Respostas_Brutas!O486)-1,LEN(Respostas_Brutas!O486)))),0))/20))</f>
        <v/>
      </c>
      <c r="D486" s="4" t="str">
        <f>IF(Respostas_Brutas!B486="","",IF(Respostas_Brutas!D486="","",MIN(1,MAX(0,(YEAR(TODAY())-N(Respostas_Brutas!D486))/15))))</f>
        <v/>
      </c>
      <c r="E486" s="4" t="str">
        <f>IF(Respostas_Brutas!B486="","",IF(ISNUMBER(SEARCH("Sim",Respostas_Brutas!S486)),1,0))</f>
        <v/>
      </c>
      <c r="F486" s="4" t="str">
        <f>IF(Respostas_Brutas!B486="","",IFERROR(N(Respostas_Brutas!Y486)/N(Respostas_Brutas!Z486),""))</f>
        <v/>
      </c>
      <c r="G486" s="4" t="str">
        <f>IF(Respostas_Brutas!B486="","",IF(Respostas_Brutas!K486&lt;&gt;"",1,0))</f>
        <v/>
      </c>
      <c r="H486" s="4" t="str">
        <f>IF(Respostas_Brutas!B486="","",IF(ISNUMBER(SEARCH("Não",Respostas_Brutas!AH486)),1,0))</f>
        <v/>
      </c>
      <c r="I486" s="4" t="str">
        <f>IF(Respostas_Brutas!B486="","",IF(ISNUMBER(SEARCH("Sim",Respostas_Brutas!AL486)),1,0))</f>
        <v/>
      </c>
      <c r="J486" s="4" t="str">
        <f>IF(Respostas_Brutas!B486="","",IF(Respostas_Brutas!AN486="","",MIN(1,MAX(0,(N(Respostas_Brutas!AN486)-1)/4))))</f>
        <v/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tr">
        <f>IF(Respostas_Brutas!B487="","",Respostas_Brutas!B487)</f>
        <v/>
      </c>
      <c r="B487" s="4" t="str">
        <f>IF(Respostas_Brutas!B487="","",IFERROR(IF(IFERROR(VALUE(TRIM(SUBSTITUTE(SUBSTITUTE(SUBSTITUTE(TRIM(Respostas_Brutas!AS487),"R$",""),".",""),",","."))),0)=0,"",(IFERROR(VALUE(TRIM(SUBSTITUTE(SUBSTITUTE(SUBSTITUTE(TRIM(Respostas_Brutas!AS487),"R$",""),".",""),",","."))),0)-IFERROR(VALUE(TRIM(SUBSTITUTE(SUBSTITUTE(SUBSTITUTE(TRIM(Respostas_Brutas!T487),"R$",""),".",""),",","."))),0))/IFERROR(VALUE(TRIM(SUBSTITUTE(SUBSTITUTE(SUBSTITUTE(TRIM(Respostas_Brutas!AS487),"R$",""),".",""),",","."))),0)),""))</f>
        <v/>
      </c>
      <c r="C487" s="4" t="str">
        <f>IF(Respostas_Brutas!B487="","",MIN(1,(IFERROR(VALUE(LEFT(Respostas_Brutas!I487,IFERROR(FIND(" ",Respostas_Brutas!I487)-1,LEN(Respostas_Brutas!I487)))),0)+IFERROR(VALUE(LEFT(Respostas_Brutas!O487,IFERROR(FIND(" ",Respostas_Brutas!O487)-1,LEN(Respostas_Brutas!O487)))),0))/20))</f>
        <v/>
      </c>
      <c r="D487" s="4" t="str">
        <f>IF(Respostas_Brutas!B487="","",IF(Respostas_Brutas!D487="","",MIN(1,MAX(0,(YEAR(TODAY())-N(Respostas_Brutas!D487))/15))))</f>
        <v/>
      </c>
      <c r="E487" s="4" t="str">
        <f>IF(Respostas_Brutas!B487="","",IF(ISNUMBER(SEARCH("Sim",Respostas_Brutas!S487)),1,0))</f>
        <v/>
      </c>
      <c r="F487" s="4" t="str">
        <f>IF(Respostas_Brutas!B487="","",IFERROR(N(Respostas_Brutas!Y487)/N(Respostas_Brutas!Z487),""))</f>
        <v/>
      </c>
      <c r="G487" s="4" t="str">
        <f>IF(Respostas_Brutas!B487="","",IF(Respostas_Brutas!K487&lt;&gt;"",1,0))</f>
        <v/>
      </c>
      <c r="H487" s="4" t="str">
        <f>IF(Respostas_Brutas!B487="","",IF(ISNUMBER(SEARCH("Não",Respostas_Brutas!AH487)),1,0))</f>
        <v/>
      </c>
      <c r="I487" s="4" t="str">
        <f>IF(Respostas_Brutas!B487="","",IF(ISNUMBER(SEARCH("Sim",Respostas_Brutas!AL487)),1,0))</f>
        <v/>
      </c>
      <c r="J487" s="4" t="str">
        <f>IF(Respostas_Brutas!B487="","",IF(Respostas_Brutas!AN487="","",MIN(1,MAX(0,(N(Respostas_Brutas!AN487)-1)/4))))</f>
        <v/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tr">
        <f>IF(Respostas_Brutas!B488="","",Respostas_Brutas!B488)</f>
        <v/>
      </c>
      <c r="B488" s="4" t="str">
        <f>IF(Respostas_Brutas!B488="","",IFERROR(IF(IFERROR(VALUE(TRIM(SUBSTITUTE(SUBSTITUTE(SUBSTITUTE(TRIM(Respostas_Brutas!AS488),"R$",""),".",""),",","."))),0)=0,"",(IFERROR(VALUE(TRIM(SUBSTITUTE(SUBSTITUTE(SUBSTITUTE(TRIM(Respostas_Brutas!AS488),"R$",""),".",""),",","."))),0)-IFERROR(VALUE(TRIM(SUBSTITUTE(SUBSTITUTE(SUBSTITUTE(TRIM(Respostas_Brutas!T488),"R$",""),".",""),",","."))),0))/IFERROR(VALUE(TRIM(SUBSTITUTE(SUBSTITUTE(SUBSTITUTE(TRIM(Respostas_Brutas!AS488),"R$",""),".",""),",","."))),0)),""))</f>
        <v/>
      </c>
      <c r="C488" s="4" t="str">
        <f>IF(Respostas_Brutas!B488="","",MIN(1,(IFERROR(VALUE(LEFT(Respostas_Brutas!I488,IFERROR(FIND(" ",Respostas_Brutas!I488)-1,LEN(Respostas_Brutas!I488)))),0)+IFERROR(VALUE(LEFT(Respostas_Brutas!O488,IFERROR(FIND(" ",Respostas_Brutas!O488)-1,LEN(Respostas_Brutas!O488)))),0))/20))</f>
        <v/>
      </c>
      <c r="D488" s="4" t="str">
        <f>IF(Respostas_Brutas!B488="","",IF(Respostas_Brutas!D488="","",MIN(1,MAX(0,(YEAR(TODAY())-N(Respostas_Brutas!D488))/15))))</f>
        <v/>
      </c>
      <c r="E488" s="4" t="str">
        <f>IF(Respostas_Brutas!B488="","",IF(ISNUMBER(SEARCH("Sim",Respostas_Brutas!S488)),1,0))</f>
        <v/>
      </c>
      <c r="F488" s="4" t="str">
        <f>IF(Respostas_Brutas!B488="","",IFERROR(N(Respostas_Brutas!Y488)/N(Respostas_Brutas!Z488),""))</f>
        <v/>
      </c>
      <c r="G488" s="4" t="str">
        <f>IF(Respostas_Brutas!B488="","",IF(Respostas_Brutas!K488&lt;&gt;"",1,0))</f>
        <v/>
      </c>
      <c r="H488" s="4" t="str">
        <f>IF(Respostas_Brutas!B488="","",IF(ISNUMBER(SEARCH("Não",Respostas_Brutas!AH488)),1,0))</f>
        <v/>
      </c>
      <c r="I488" s="4" t="str">
        <f>IF(Respostas_Brutas!B488="","",IF(ISNUMBER(SEARCH("Sim",Respostas_Brutas!AL488)),1,0))</f>
        <v/>
      </c>
      <c r="J488" s="4" t="str">
        <f>IF(Respostas_Brutas!B488="","",IF(Respostas_Brutas!AN488="","",MIN(1,MAX(0,(N(Respostas_Brutas!AN488)-1)/4))))</f>
        <v/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tr">
        <f>IF(Respostas_Brutas!B489="","",Respostas_Brutas!B489)</f>
        <v/>
      </c>
      <c r="B489" s="4" t="str">
        <f>IF(Respostas_Brutas!B489="","",IFERROR(IF(IFERROR(VALUE(TRIM(SUBSTITUTE(SUBSTITUTE(SUBSTITUTE(TRIM(Respostas_Brutas!AS489),"R$",""),".",""),",","."))),0)=0,"",(IFERROR(VALUE(TRIM(SUBSTITUTE(SUBSTITUTE(SUBSTITUTE(TRIM(Respostas_Brutas!AS489),"R$",""),".",""),",","."))),0)-IFERROR(VALUE(TRIM(SUBSTITUTE(SUBSTITUTE(SUBSTITUTE(TRIM(Respostas_Brutas!T489),"R$",""),".",""),",","."))),0))/IFERROR(VALUE(TRIM(SUBSTITUTE(SUBSTITUTE(SUBSTITUTE(TRIM(Respostas_Brutas!AS489),"R$",""),".",""),",","."))),0)),""))</f>
        <v/>
      </c>
      <c r="C489" s="4" t="str">
        <f>IF(Respostas_Brutas!B489="","",MIN(1,(IFERROR(VALUE(LEFT(Respostas_Brutas!I489,IFERROR(FIND(" ",Respostas_Brutas!I489)-1,LEN(Respostas_Brutas!I489)))),0)+IFERROR(VALUE(LEFT(Respostas_Brutas!O489,IFERROR(FIND(" ",Respostas_Brutas!O489)-1,LEN(Respostas_Brutas!O489)))),0))/20))</f>
        <v/>
      </c>
      <c r="D489" s="4" t="str">
        <f>IF(Respostas_Brutas!B489="","",IF(Respostas_Brutas!D489="","",MIN(1,MAX(0,(YEAR(TODAY())-N(Respostas_Brutas!D489))/15))))</f>
        <v/>
      </c>
      <c r="E489" s="4" t="str">
        <f>IF(Respostas_Brutas!B489="","",IF(ISNUMBER(SEARCH("Sim",Respostas_Brutas!S489)),1,0))</f>
        <v/>
      </c>
      <c r="F489" s="4" t="str">
        <f>IF(Respostas_Brutas!B489="","",IFERROR(N(Respostas_Brutas!Y489)/N(Respostas_Brutas!Z489),""))</f>
        <v/>
      </c>
      <c r="G489" s="4" t="str">
        <f>IF(Respostas_Brutas!B489="","",IF(Respostas_Brutas!K489&lt;&gt;"",1,0))</f>
        <v/>
      </c>
      <c r="H489" s="4" t="str">
        <f>IF(Respostas_Brutas!B489="","",IF(ISNUMBER(SEARCH("Não",Respostas_Brutas!AH489)),1,0))</f>
        <v/>
      </c>
      <c r="I489" s="4" t="str">
        <f>IF(Respostas_Brutas!B489="","",IF(ISNUMBER(SEARCH("Sim",Respostas_Brutas!AL489)),1,0))</f>
        <v/>
      </c>
      <c r="J489" s="4" t="str">
        <f>IF(Respostas_Brutas!B489="","",IF(Respostas_Brutas!AN489="","",MIN(1,MAX(0,(N(Respostas_Brutas!AN489)-1)/4))))</f>
        <v/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tr">
        <f>IF(Respostas_Brutas!B490="","",Respostas_Brutas!B490)</f>
        <v/>
      </c>
      <c r="B490" s="4" t="str">
        <f>IF(Respostas_Brutas!B490="","",IFERROR(IF(IFERROR(VALUE(TRIM(SUBSTITUTE(SUBSTITUTE(SUBSTITUTE(TRIM(Respostas_Brutas!AS490),"R$",""),".",""),",","."))),0)=0,"",(IFERROR(VALUE(TRIM(SUBSTITUTE(SUBSTITUTE(SUBSTITUTE(TRIM(Respostas_Brutas!AS490),"R$",""),".",""),",","."))),0)-IFERROR(VALUE(TRIM(SUBSTITUTE(SUBSTITUTE(SUBSTITUTE(TRIM(Respostas_Brutas!T490),"R$",""),".",""),",","."))),0))/IFERROR(VALUE(TRIM(SUBSTITUTE(SUBSTITUTE(SUBSTITUTE(TRIM(Respostas_Brutas!AS490),"R$",""),".",""),",","."))),0)),""))</f>
        <v/>
      </c>
      <c r="C490" s="4" t="str">
        <f>IF(Respostas_Brutas!B490="","",MIN(1,(IFERROR(VALUE(LEFT(Respostas_Brutas!I490,IFERROR(FIND(" ",Respostas_Brutas!I490)-1,LEN(Respostas_Brutas!I490)))),0)+IFERROR(VALUE(LEFT(Respostas_Brutas!O490,IFERROR(FIND(" ",Respostas_Brutas!O490)-1,LEN(Respostas_Brutas!O490)))),0))/20))</f>
        <v/>
      </c>
      <c r="D490" s="4" t="str">
        <f>IF(Respostas_Brutas!B490="","",IF(Respostas_Brutas!D490="","",MIN(1,MAX(0,(YEAR(TODAY())-N(Respostas_Brutas!D490))/15))))</f>
        <v/>
      </c>
      <c r="E490" s="4" t="str">
        <f>IF(Respostas_Brutas!B490="","",IF(ISNUMBER(SEARCH("Sim",Respostas_Brutas!S490)),1,0))</f>
        <v/>
      </c>
      <c r="F490" s="4" t="str">
        <f>IF(Respostas_Brutas!B490="","",IFERROR(N(Respostas_Brutas!Y490)/N(Respostas_Brutas!Z490),""))</f>
        <v/>
      </c>
      <c r="G490" s="4" t="str">
        <f>IF(Respostas_Brutas!B490="","",IF(Respostas_Brutas!K490&lt;&gt;"",1,0))</f>
        <v/>
      </c>
      <c r="H490" s="4" t="str">
        <f>IF(Respostas_Brutas!B490="","",IF(ISNUMBER(SEARCH("Não",Respostas_Brutas!AH490)),1,0))</f>
        <v/>
      </c>
      <c r="I490" s="4" t="str">
        <f>IF(Respostas_Brutas!B490="","",IF(ISNUMBER(SEARCH("Sim",Respostas_Brutas!AL490)),1,0))</f>
        <v/>
      </c>
      <c r="J490" s="4" t="str">
        <f>IF(Respostas_Brutas!B490="","",IF(Respostas_Brutas!AN490="","",MIN(1,MAX(0,(N(Respostas_Brutas!AN490)-1)/4))))</f>
        <v/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tr">
        <f>IF(Respostas_Brutas!B491="","",Respostas_Brutas!B491)</f>
        <v/>
      </c>
      <c r="B491" s="4" t="str">
        <f>IF(Respostas_Brutas!B491="","",IFERROR(IF(IFERROR(VALUE(TRIM(SUBSTITUTE(SUBSTITUTE(SUBSTITUTE(TRIM(Respostas_Brutas!AS491),"R$",""),".",""),",","."))),0)=0,"",(IFERROR(VALUE(TRIM(SUBSTITUTE(SUBSTITUTE(SUBSTITUTE(TRIM(Respostas_Brutas!AS491),"R$",""),".",""),",","."))),0)-IFERROR(VALUE(TRIM(SUBSTITUTE(SUBSTITUTE(SUBSTITUTE(TRIM(Respostas_Brutas!T491),"R$",""),".",""),",","."))),0))/IFERROR(VALUE(TRIM(SUBSTITUTE(SUBSTITUTE(SUBSTITUTE(TRIM(Respostas_Brutas!AS491),"R$",""),".",""),",","."))),0)),""))</f>
        <v/>
      </c>
      <c r="C491" s="4" t="str">
        <f>IF(Respostas_Brutas!B491="","",MIN(1,(IFERROR(VALUE(LEFT(Respostas_Brutas!I491,IFERROR(FIND(" ",Respostas_Brutas!I491)-1,LEN(Respostas_Brutas!I491)))),0)+IFERROR(VALUE(LEFT(Respostas_Brutas!O491,IFERROR(FIND(" ",Respostas_Brutas!O491)-1,LEN(Respostas_Brutas!O491)))),0))/20))</f>
        <v/>
      </c>
      <c r="D491" s="4" t="str">
        <f>IF(Respostas_Brutas!B491="","",IF(Respostas_Brutas!D491="","",MIN(1,MAX(0,(YEAR(TODAY())-N(Respostas_Brutas!D491))/15))))</f>
        <v/>
      </c>
      <c r="E491" s="4" t="str">
        <f>IF(Respostas_Brutas!B491="","",IF(ISNUMBER(SEARCH("Sim",Respostas_Brutas!S491)),1,0))</f>
        <v/>
      </c>
      <c r="F491" s="4" t="str">
        <f>IF(Respostas_Brutas!B491="","",IFERROR(N(Respostas_Brutas!Y491)/N(Respostas_Brutas!Z491),""))</f>
        <v/>
      </c>
      <c r="G491" s="4" t="str">
        <f>IF(Respostas_Brutas!B491="","",IF(Respostas_Brutas!K491&lt;&gt;"",1,0))</f>
        <v/>
      </c>
      <c r="H491" s="4" t="str">
        <f>IF(Respostas_Brutas!B491="","",IF(ISNUMBER(SEARCH("Não",Respostas_Brutas!AH491)),1,0))</f>
        <v/>
      </c>
      <c r="I491" s="4" t="str">
        <f>IF(Respostas_Brutas!B491="","",IF(ISNUMBER(SEARCH("Sim",Respostas_Brutas!AL491)),1,0))</f>
        <v/>
      </c>
      <c r="J491" s="4" t="str">
        <f>IF(Respostas_Brutas!B491="","",IF(Respostas_Brutas!AN491="","",MIN(1,MAX(0,(N(Respostas_Brutas!AN491)-1)/4))))</f>
        <v/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tr">
        <f>IF(Respostas_Brutas!B492="","",Respostas_Brutas!B492)</f>
        <v/>
      </c>
      <c r="B492" s="4" t="str">
        <f>IF(Respostas_Brutas!B492="","",IFERROR(IF(IFERROR(VALUE(TRIM(SUBSTITUTE(SUBSTITUTE(SUBSTITUTE(TRIM(Respostas_Brutas!AS492),"R$",""),".",""),",","."))),0)=0,"",(IFERROR(VALUE(TRIM(SUBSTITUTE(SUBSTITUTE(SUBSTITUTE(TRIM(Respostas_Brutas!AS492),"R$",""),".",""),",","."))),0)-IFERROR(VALUE(TRIM(SUBSTITUTE(SUBSTITUTE(SUBSTITUTE(TRIM(Respostas_Brutas!T492),"R$",""),".",""),",","."))),0))/IFERROR(VALUE(TRIM(SUBSTITUTE(SUBSTITUTE(SUBSTITUTE(TRIM(Respostas_Brutas!AS492),"R$",""),".",""),",","."))),0)),""))</f>
        <v/>
      </c>
      <c r="C492" s="4" t="str">
        <f>IF(Respostas_Brutas!B492="","",MIN(1,(IFERROR(VALUE(LEFT(Respostas_Brutas!I492,IFERROR(FIND(" ",Respostas_Brutas!I492)-1,LEN(Respostas_Brutas!I492)))),0)+IFERROR(VALUE(LEFT(Respostas_Brutas!O492,IFERROR(FIND(" ",Respostas_Brutas!O492)-1,LEN(Respostas_Brutas!O492)))),0))/20))</f>
        <v/>
      </c>
      <c r="D492" s="4" t="str">
        <f>IF(Respostas_Brutas!B492="","",IF(Respostas_Brutas!D492="","",MIN(1,MAX(0,(YEAR(TODAY())-N(Respostas_Brutas!D492))/15))))</f>
        <v/>
      </c>
      <c r="E492" s="4" t="str">
        <f>IF(Respostas_Brutas!B492="","",IF(ISNUMBER(SEARCH("Sim",Respostas_Brutas!S492)),1,0))</f>
        <v/>
      </c>
      <c r="F492" s="4" t="str">
        <f>IF(Respostas_Brutas!B492="","",IFERROR(N(Respostas_Brutas!Y492)/N(Respostas_Brutas!Z492),""))</f>
        <v/>
      </c>
      <c r="G492" s="4" t="str">
        <f>IF(Respostas_Brutas!B492="","",IF(Respostas_Brutas!K492&lt;&gt;"",1,0))</f>
        <v/>
      </c>
      <c r="H492" s="4" t="str">
        <f>IF(Respostas_Brutas!B492="","",IF(ISNUMBER(SEARCH("Não",Respostas_Brutas!AH492)),1,0))</f>
        <v/>
      </c>
      <c r="I492" s="4" t="str">
        <f>IF(Respostas_Brutas!B492="","",IF(ISNUMBER(SEARCH("Sim",Respostas_Brutas!AL492)),1,0))</f>
        <v/>
      </c>
      <c r="J492" s="4" t="str">
        <f>IF(Respostas_Brutas!B492="","",IF(Respostas_Brutas!AN492="","",MIN(1,MAX(0,(N(Respostas_Brutas!AN492)-1)/4))))</f>
        <v/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tr">
        <f>IF(Respostas_Brutas!B493="","",Respostas_Brutas!B493)</f>
        <v/>
      </c>
      <c r="B493" s="4" t="str">
        <f>IF(Respostas_Brutas!B493="","",IFERROR(IF(IFERROR(VALUE(TRIM(SUBSTITUTE(SUBSTITUTE(SUBSTITUTE(TRIM(Respostas_Brutas!AS493),"R$",""),".",""),",","."))),0)=0,"",(IFERROR(VALUE(TRIM(SUBSTITUTE(SUBSTITUTE(SUBSTITUTE(TRIM(Respostas_Brutas!AS493),"R$",""),".",""),",","."))),0)-IFERROR(VALUE(TRIM(SUBSTITUTE(SUBSTITUTE(SUBSTITUTE(TRIM(Respostas_Brutas!T493),"R$",""),".",""),",","."))),0))/IFERROR(VALUE(TRIM(SUBSTITUTE(SUBSTITUTE(SUBSTITUTE(TRIM(Respostas_Brutas!AS493),"R$",""),".",""),",","."))),0)),""))</f>
        <v/>
      </c>
      <c r="C493" s="4" t="str">
        <f>IF(Respostas_Brutas!B493="","",MIN(1,(IFERROR(VALUE(LEFT(Respostas_Brutas!I493,IFERROR(FIND(" ",Respostas_Brutas!I493)-1,LEN(Respostas_Brutas!I493)))),0)+IFERROR(VALUE(LEFT(Respostas_Brutas!O493,IFERROR(FIND(" ",Respostas_Brutas!O493)-1,LEN(Respostas_Brutas!O493)))),0))/20))</f>
        <v/>
      </c>
      <c r="D493" s="4" t="str">
        <f>IF(Respostas_Brutas!B493="","",IF(Respostas_Brutas!D493="","",MIN(1,MAX(0,(YEAR(TODAY())-N(Respostas_Brutas!D493))/15))))</f>
        <v/>
      </c>
      <c r="E493" s="4" t="str">
        <f>IF(Respostas_Brutas!B493="","",IF(ISNUMBER(SEARCH("Sim",Respostas_Brutas!S493)),1,0))</f>
        <v/>
      </c>
      <c r="F493" s="4" t="str">
        <f>IF(Respostas_Brutas!B493="","",IFERROR(N(Respostas_Brutas!Y493)/N(Respostas_Brutas!Z493),""))</f>
        <v/>
      </c>
      <c r="G493" s="4" t="str">
        <f>IF(Respostas_Brutas!B493="","",IF(Respostas_Brutas!K493&lt;&gt;"",1,0))</f>
        <v/>
      </c>
      <c r="H493" s="4" t="str">
        <f>IF(Respostas_Brutas!B493="","",IF(ISNUMBER(SEARCH("Não",Respostas_Brutas!AH493)),1,0))</f>
        <v/>
      </c>
      <c r="I493" s="4" t="str">
        <f>IF(Respostas_Brutas!B493="","",IF(ISNUMBER(SEARCH("Sim",Respostas_Brutas!AL493)),1,0))</f>
        <v/>
      </c>
      <c r="J493" s="4" t="str">
        <f>IF(Respostas_Brutas!B493="","",IF(Respostas_Brutas!AN493="","",MIN(1,MAX(0,(N(Respostas_Brutas!AN493)-1)/4))))</f>
        <v/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tr">
        <f>IF(Respostas_Brutas!B494="","",Respostas_Brutas!B494)</f>
        <v/>
      </c>
      <c r="B494" s="4" t="str">
        <f>IF(Respostas_Brutas!B494="","",IFERROR(IF(IFERROR(VALUE(TRIM(SUBSTITUTE(SUBSTITUTE(SUBSTITUTE(TRIM(Respostas_Brutas!AS494),"R$",""),".",""),",","."))),0)=0,"",(IFERROR(VALUE(TRIM(SUBSTITUTE(SUBSTITUTE(SUBSTITUTE(TRIM(Respostas_Brutas!AS494),"R$",""),".",""),",","."))),0)-IFERROR(VALUE(TRIM(SUBSTITUTE(SUBSTITUTE(SUBSTITUTE(TRIM(Respostas_Brutas!T494),"R$",""),".",""),",","."))),0))/IFERROR(VALUE(TRIM(SUBSTITUTE(SUBSTITUTE(SUBSTITUTE(TRIM(Respostas_Brutas!AS494),"R$",""),".",""),",","."))),0)),""))</f>
        <v/>
      </c>
      <c r="C494" s="4" t="str">
        <f>IF(Respostas_Brutas!B494="","",MIN(1,(IFERROR(VALUE(LEFT(Respostas_Brutas!I494,IFERROR(FIND(" ",Respostas_Brutas!I494)-1,LEN(Respostas_Brutas!I494)))),0)+IFERROR(VALUE(LEFT(Respostas_Brutas!O494,IFERROR(FIND(" ",Respostas_Brutas!O494)-1,LEN(Respostas_Brutas!O494)))),0))/20))</f>
        <v/>
      </c>
      <c r="D494" s="4" t="str">
        <f>IF(Respostas_Brutas!B494="","",IF(Respostas_Brutas!D494="","",MIN(1,MAX(0,(YEAR(TODAY())-N(Respostas_Brutas!D494))/15))))</f>
        <v/>
      </c>
      <c r="E494" s="4" t="str">
        <f>IF(Respostas_Brutas!B494="","",IF(ISNUMBER(SEARCH("Sim",Respostas_Brutas!S494)),1,0))</f>
        <v/>
      </c>
      <c r="F494" s="4" t="str">
        <f>IF(Respostas_Brutas!B494="","",IFERROR(N(Respostas_Brutas!Y494)/N(Respostas_Brutas!Z494),""))</f>
        <v/>
      </c>
      <c r="G494" s="4" t="str">
        <f>IF(Respostas_Brutas!B494="","",IF(Respostas_Brutas!K494&lt;&gt;"",1,0))</f>
        <v/>
      </c>
      <c r="H494" s="4" t="str">
        <f>IF(Respostas_Brutas!B494="","",IF(ISNUMBER(SEARCH("Não",Respostas_Brutas!AH494)),1,0))</f>
        <v/>
      </c>
      <c r="I494" s="4" t="str">
        <f>IF(Respostas_Brutas!B494="","",IF(ISNUMBER(SEARCH("Sim",Respostas_Brutas!AL494)),1,0))</f>
        <v/>
      </c>
      <c r="J494" s="4" t="str">
        <f>IF(Respostas_Brutas!B494="","",IF(Respostas_Brutas!AN494="","",MIN(1,MAX(0,(N(Respostas_Brutas!AN494)-1)/4))))</f>
        <v/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tr">
        <f>IF(Respostas_Brutas!B495="","",Respostas_Brutas!B495)</f>
        <v/>
      </c>
      <c r="B495" s="4" t="str">
        <f>IF(Respostas_Brutas!B495="","",IFERROR(IF(IFERROR(VALUE(TRIM(SUBSTITUTE(SUBSTITUTE(SUBSTITUTE(TRIM(Respostas_Brutas!AS495),"R$",""),".",""),",","."))),0)=0,"",(IFERROR(VALUE(TRIM(SUBSTITUTE(SUBSTITUTE(SUBSTITUTE(TRIM(Respostas_Brutas!AS495),"R$",""),".",""),",","."))),0)-IFERROR(VALUE(TRIM(SUBSTITUTE(SUBSTITUTE(SUBSTITUTE(TRIM(Respostas_Brutas!T495),"R$",""),".",""),",","."))),0))/IFERROR(VALUE(TRIM(SUBSTITUTE(SUBSTITUTE(SUBSTITUTE(TRIM(Respostas_Brutas!AS495),"R$",""),".",""),",","."))),0)),""))</f>
        <v/>
      </c>
      <c r="C495" s="4" t="str">
        <f>IF(Respostas_Brutas!B495="","",MIN(1,(IFERROR(VALUE(LEFT(Respostas_Brutas!I495,IFERROR(FIND(" ",Respostas_Brutas!I495)-1,LEN(Respostas_Brutas!I495)))),0)+IFERROR(VALUE(LEFT(Respostas_Brutas!O495,IFERROR(FIND(" ",Respostas_Brutas!O495)-1,LEN(Respostas_Brutas!O495)))),0))/20))</f>
        <v/>
      </c>
      <c r="D495" s="4" t="str">
        <f>IF(Respostas_Brutas!B495="","",IF(Respostas_Brutas!D495="","",MIN(1,MAX(0,(YEAR(TODAY())-N(Respostas_Brutas!D495))/15))))</f>
        <v/>
      </c>
      <c r="E495" s="4" t="str">
        <f>IF(Respostas_Brutas!B495="","",IF(ISNUMBER(SEARCH("Sim",Respostas_Brutas!S495)),1,0))</f>
        <v/>
      </c>
      <c r="F495" s="4" t="str">
        <f>IF(Respostas_Brutas!B495="","",IFERROR(N(Respostas_Brutas!Y495)/N(Respostas_Brutas!Z495),""))</f>
        <v/>
      </c>
      <c r="G495" s="4" t="str">
        <f>IF(Respostas_Brutas!B495="","",IF(Respostas_Brutas!K495&lt;&gt;"",1,0))</f>
        <v/>
      </c>
      <c r="H495" s="4" t="str">
        <f>IF(Respostas_Brutas!B495="","",IF(ISNUMBER(SEARCH("Não",Respostas_Brutas!AH495)),1,0))</f>
        <v/>
      </c>
      <c r="I495" s="4" t="str">
        <f>IF(Respostas_Brutas!B495="","",IF(ISNUMBER(SEARCH("Sim",Respostas_Brutas!AL495)),1,0))</f>
        <v/>
      </c>
      <c r="J495" s="4" t="str">
        <f>IF(Respostas_Brutas!B495="","",IF(Respostas_Brutas!AN495="","",MIN(1,MAX(0,(N(Respostas_Brutas!AN495)-1)/4))))</f>
        <v/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tr">
        <f>IF(Respostas_Brutas!B496="","",Respostas_Brutas!B496)</f>
        <v/>
      </c>
      <c r="B496" s="4" t="str">
        <f>IF(Respostas_Brutas!B496="","",IFERROR(IF(IFERROR(VALUE(TRIM(SUBSTITUTE(SUBSTITUTE(SUBSTITUTE(TRIM(Respostas_Brutas!AS496),"R$",""),".",""),",","."))),0)=0,"",(IFERROR(VALUE(TRIM(SUBSTITUTE(SUBSTITUTE(SUBSTITUTE(TRIM(Respostas_Brutas!AS496),"R$",""),".",""),",","."))),0)-IFERROR(VALUE(TRIM(SUBSTITUTE(SUBSTITUTE(SUBSTITUTE(TRIM(Respostas_Brutas!T496),"R$",""),".",""),",","."))),0))/IFERROR(VALUE(TRIM(SUBSTITUTE(SUBSTITUTE(SUBSTITUTE(TRIM(Respostas_Brutas!AS496),"R$",""),".",""),",","."))),0)),""))</f>
        <v/>
      </c>
      <c r="C496" s="4" t="str">
        <f>IF(Respostas_Brutas!B496="","",MIN(1,(IFERROR(VALUE(LEFT(Respostas_Brutas!I496,IFERROR(FIND(" ",Respostas_Brutas!I496)-1,LEN(Respostas_Brutas!I496)))),0)+IFERROR(VALUE(LEFT(Respostas_Brutas!O496,IFERROR(FIND(" ",Respostas_Brutas!O496)-1,LEN(Respostas_Brutas!O496)))),0))/20))</f>
        <v/>
      </c>
      <c r="D496" s="4" t="str">
        <f>IF(Respostas_Brutas!B496="","",IF(Respostas_Brutas!D496="","",MIN(1,MAX(0,(YEAR(TODAY())-N(Respostas_Brutas!D496))/15))))</f>
        <v/>
      </c>
      <c r="E496" s="4" t="str">
        <f>IF(Respostas_Brutas!B496="","",IF(ISNUMBER(SEARCH("Sim",Respostas_Brutas!S496)),1,0))</f>
        <v/>
      </c>
      <c r="F496" s="4" t="str">
        <f>IF(Respostas_Brutas!B496="","",IFERROR(N(Respostas_Brutas!Y496)/N(Respostas_Brutas!Z496),""))</f>
        <v/>
      </c>
      <c r="G496" s="4" t="str">
        <f>IF(Respostas_Brutas!B496="","",IF(Respostas_Brutas!K496&lt;&gt;"",1,0))</f>
        <v/>
      </c>
      <c r="H496" s="4" t="str">
        <f>IF(Respostas_Brutas!B496="","",IF(ISNUMBER(SEARCH("Não",Respostas_Brutas!AH496)),1,0))</f>
        <v/>
      </c>
      <c r="I496" s="4" t="str">
        <f>IF(Respostas_Brutas!B496="","",IF(ISNUMBER(SEARCH("Sim",Respostas_Brutas!AL496)),1,0))</f>
        <v/>
      </c>
      <c r="J496" s="4" t="str">
        <f>IF(Respostas_Brutas!B496="","",IF(Respostas_Brutas!AN496="","",MIN(1,MAX(0,(N(Respostas_Brutas!AN496)-1)/4))))</f>
        <v/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tr">
        <f>IF(Respostas_Brutas!B497="","",Respostas_Brutas!B497)</f>
        <v/>
      </c>
      <c r="B497" s="4" t="str">
        <f>IF(Respostas_Brutas!B497="","",IFERROR(IF(IFERROR(VALUE(TRIM(SUBSTITUTE(SUBSTITUTE(SUBSTITUTE(TRIM(Respostas_Brutas!AS497),"R$",""),".",""),",","."))),0)=0,"",(IFERROR(VALUE(TRIM(SUBSTITUTE(SUBSTITUTE(SUBSTITUTE(TRIM(Respostas_Brutas!AS497),"R$",""),".",""),",","."))),0)-IFERROR(VALUE(TRIM(SUBSTITUTE(SUBSTITUTE(SUBSTITUTE(TRIM(Respostas_Brutas!T497),"R$",""),".",""),",","."))),0))/IFERROR(VALUE(TRIM(SUBSTITUTE(SUBSTITUTE(SUBSTITUTE(TRIM(Respostas_Brutas!AS497),"R$",""),".",""),",","."))),0)),""))</f>
        <v/>
      </c>
      <c r="C497" s="4" t="str">
        <f>IF(Respostas_Brutas!B497="","",MIN(1,(IFERROR(VALUE(LEFT(Respostas_Brutas!I497,IFERROR(FIND(" ",Respostas_Brutas!I497)-1,LEN(Respostas_Brutas!I497)))),0)+IFERROR(VALUE(LEFT(Respostas_Brutas!O497,IFERROR(FIND(" ",Respostas_Brutas!O497)-1,LEN(Respostas_Brutas!O497)))),0))/20))</f>
        <v/>
      </c>
      <c r="D497" s="4" t="str">
        <f>IF(Respostas_Brutas!B497="","",IF(Respostas_Brutas!D497="","",MIN(1,MAX(0,(YEAR(TODAY())-N(Respostas_Brutas!D497))/15))))</f>
        <v/>
      </c>
      <c r="E497" s="4" t="str">
        <f>IF(Respostas_Brutas!B497="","",IF(ISNUMBER(SEARCH("Sim",Respostas_Brutas!S497)),1,0))</f>
        <v/>
      </c>
      <c r="F497" s="4" t="str">
        <f>IF(Respostas_Brutas!B497="","",IFERROR(N(Respostas_Brutas!Y497)/N(Respostas_Brutas!Z497),""))</f>
        <v/>
      </c>
      <c r="G497" s="4" t="str">
        <f>IF(Respostas_Brutas!B497="","",IF(Respostas_Brutas!K497&lt;&gt;"",1,0))</f>
        <v/>
      </c>
      <c r="H497" s="4" t="str">
        <f>IF(Respostas_Brutas!B497="","",IF(ISNUMBER(SEARCH("Não",Respostas_Brutas!AH497)),1,0))</f>
        <v/>
      </c>
      <c r="I497" s="4" t="str">
        <f>IF(Respostas_Brutas!B497="","",IF(ISNUMBER(SEARCH("Sim",Respostas_Brutas!AL497)),1,0))</f>
        <v/>
      </c>
      <c r="J497" s="4" t="str">
        <f>IF(Respostas_Brutas!B497="","",IF(Respostas_Brutas!AN497="","",MIN(1,MAX(0,(N(Respostas_Brutas!AN497)-1)/4))))</f>
        <v/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tr">
        <f>IF(Respostas_Brutas!B498="","",Respostas_Brutas!B498)</f>
        <v/>
      </c>
      <c r="B498" s="4" t="str">
        <f>IF(Respostas_Brutas!B498="","",IFERROR(IF(IFERROR(VALUE(TRIM(SUBSTITUTE(SUBSTITUTE(SUBSTITUTE(TRIM(Respostas_Brutas!AS498),"R$",""),".",""),",","."))),0)=0,"",(IFERROR(VALUE(TRIM(SUBSTITUTE(SUBSTITUTE(SUBSTITUTE(TRIM(Respostas_Brutas!AS498),"R$",""),".",""),",","."))),0)-IFERROR(VALUE(TRIM(SUBSTITUTE(SUBSTITUTE(SUBSTITUTE(TRIM(Respostas_Brutas!T498),"R$",""),".",""),",","."))),0))/IFERROR(VALUE(TRIM(SUBSTITUTE(SUBSTITUTE(SUBSTITUTE(TRIM(Respostas_Brutas!AS498),"R$",""),".",""),",","."))),0)),""))</f>
        <v/>
      </c>
      <c r="C498" s="4" t="str">
        <f>IF(Respostas_Brutas!B498="","",MIN(1,(IFERROR(VALUE(LEFT(Respostas_Brutas!I498,IFERROR(FIND(" ",Respostas_Brutas!I498)-1,LEN(Respostas_Brutas!I498)))),0)+IFERROR(VALUE(LEFT(Respostas_Brutas!O498,IFERROR(FIND(" ",Respostas_Brutas!O498)-1,LEN(Respostas_Brutas!O498)))),0))/20))</f>
        <v/>
      </c>
      <c r="D498" s="4" t="str">
        <f>IF(Respostas_Brutas!B498="","",IF(Respostas_Brutas!D498="","",MIN(1,MAX(0,(YEAR(TODAY())-N(Respostas_Brutas!D498))/15))))</f>
        <v/>
      </c>
      <c r="E498" s="4" t="str">
        <f>IF(Respostas_Brutas!B498="","",IF(ISNUMBER(SEARCH("Sim",Respostas_Brutas!S498)),1,0))</f>
        <v/>
      </c>
      <c r="F498" s="4" t="str">
        <f>IF(Respostas_Brutas!B498="","",IFERROR(N(Respostas_Brutas!Y498)/N(Respostas_Brutas!Z498),""))</f>
        <v/>
      </c>
      <c r="G498" s="4" t="str">
        <f>IF(Respostas_Brutas!B498="","",IF(Respostas_Brutas!K498&lt;&gt;"",1,0))</f>
        <v/>
      </c>
      <c r="H498" s="4" t="str">
        <f>IF(Respostas_Brutas!B498="","",IF(ISNUMBER(SEARCH("Não",Respostas_Brutas!AH498)),1,0))</f>
        <v/>
      </c>
      <c r="I498" s="4" t="str">
        <f>IF(Respostas_Brutas!B498="","",IF(ISNUMBER(SEARCH("Sim",Respostas_Brutas!AL498)),1,0))</f>
        <v/>
      </c>
      <c r="J498" s="4" t="str">
        <f>IF(Respostas_Brutas!B498="","",IF(Respostas_Brutas!AN498="","",MIN(1,MAX(0,(N(Respostas_Brutas!AN498)-1)/4))))</f>
        <v/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tr">
        <f>IF(Respostas_Brutas!B499="","",Respostas_Brutas!B499)</f>
        <v/>
      </c>
      <c r="B499" s="4" t="str">
        <f>IF(Respostas_Brutas!B499="","",IFERROR(IF(IFERROR(VALUE(TRIM(SUBSTITUTE(SUBSTITUTE(SUBSTITUTE(TRIM(Respostas_Brutas!AS499),"R$",""),".",""),",","."))),0)=0,"",(IFERROR(VALUE(TRIM(SUBSTITUTE(SUBSTITUTE(SUBSTITUTE(TRIM(Respostas_Brutas!AS499),"R$",""),".",""),",","."))),0)-IFERROR(VALUE(TRIM(SUBSTITUTE(SUBSTITUTE(SUBSTITUTE(TRIM(Respostas_Brutas!T499),"R$",""),".",""),",","."))),0))/IFERROR(VALUE(TRIM(SUBSTITUTE(SUBSTITUTE(SUBSTITUTE(TRIM(Respostas_Brutas!AS499),"R$",""),".",""),",","."))),0)),""))</f>
        <v/>
      </c>
      <c r="C499" s="4" t="str">
        <f>IF(Respostas_Brutas!B499="","",MIN(1,(IFERROR(VALUE(LEFT(Respostas_Brutas!I499,IFERROR(FIND(" ",Respostas_Brutas!I499)-1,LEN(Respostas_Brutas!I499)))),0)+IFERROR(VALUE(LEFT(Respostas_Brutas!O499,IFERROR(FIND(" ",Respostas_Brutas!O499)-1,LEN(Respostas_Brutas!O499)))),0))/20))</f>
        <v/>
      </c>
      <c r="D499" s="4" t="str">
        <f>IF(Respostas_Brutas!B499="","",IF(Respostas_Brutas!D499="","",MIN(1,MAX(0,(YEAR(TODAY())-N(Respostas_Brutas!D499))/15))))</f>
        <v/>
      </c>
      <c r="E499" s="4" t="str">
        <f>IF(Respostas_Brutas!B499="","",IF(ISNUMBER(SEARCH("Sim",Respostas_Brutas!S499)),1,0))</f>
        <v/>
      </c>
      <c r="F499" s="4" t="str">
        <f>IF(Respostas_Brutas!B499="","",IFERROR(N(Respostas_Brutas!Y499)/N(Respostas_Brutas!Z499),""))</f>
        <v/>
      </c>
      <c r="G499" s="4" t="str">
        <f>IF(Respostas_Brutas!B499="","",IF(Respostas_Brutas!K499&lt;&gt;"",1,0))</f>
        <v/>
      </c>
      <c r="H499" s="4" t="str">
        <f>IF(Respostas_Brutas!B499="","",IF(ISNUMBER(SEARCH("Não",Respostas_Brutas!AH499)),1,0))</f>
        <v/>
      </c>
      <c r="I499" s="4" t="str">
        <f>IF(Respostas_Brutas!B499="","",IF(ISNUMBER(SEARCH("Sim",Respostas_Brutas!AL499)),1,0))</f>
        <v/>
      </c>
      <c r="J499" s="4" t="str">
        <f>IF(Respostas_Brutas!B499="","",IF(Respostas_Brutas!AN499="","",MIN(1,MAX(0,(N(Respostas_Brutas!AN499)-1)/4))))</f>
        <v/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tr">
        <f>IF(Respostas_Brutas!B500="","",Respostas_Brutas!B500)</f>
        <v/>
      </c>
      <c r="B500" s="4" t="str">
        <f>IF(Respostas_Brutas!B500="","",IFERROR(IF(IFERROR(VALUE(TRIM(SUBSTITUTE(SUBSTITUTE(SUBSTITUTE(TRIM(Respostas_Brutas!AS500),"R$",""),".",""),",","."))),0)=0,"",(IFERROR(VALUE(TRIM(SUBSTITUTE(SUBSTITUTE(SUBSTITUTE(TRIM(Respostas_Brutas!AS500),"R$",""),".",""),",","."))),0)-IFERROR(VALUE(TRIM(SUBSTITUTE(SUBSTITUTE(SUBSTITUTE(TRIM(Respostas_Brutas!T500),"R$",""),".",""),",","."))),0))/IFERROR(VALUE(TRIM(SUBSTITUTE(SUBSTITUTE(SUBSTITUTE(TRIM(Respostas_Brutas!AS500),"R$",""),".",""),",","."))),0)),""))</f>
        <v/>
      </c>
      <c r="C500" s="4" t="str">
        <f>IF(Respostas_Brutas!B500="","",MIN(1,(IFERROR(VALUE(LEFT(Respostas_Brutas!I500,IFERROR(FIND(" ",Respostas_Brutas!I500)-1,LEN(Respostas_Brutas!I500)))),0)+IFERROR(VALUE(LEFT(Respostas_Brutas!O500,IFERROR(FIND(" ",Respostas_Brutas!O500)-1,LEN(Respostas_Brutas!O500)))),0))/20))</f>
        <v/>
      </c>
      <c r="D500" s="4" t="str">
        <f>IF(Respostas_Brutas!B500="","",IF(Respostas_Brutas!D500="","",MIN(1,MAX(0,(YEAR(TODAY())-N(Respostas_Brutas!D500))/15))))</f>
        <v/>
      </c>
      <c r="E500" s="4" t="str">
        <f>IF(Respostas_Brutas!B500="","",IF(ISNUMBER(SEARCH("Sim",Respostas_Brutas!S500)),1,0))</f>
        <v/>
      </c>
      <c r="F500" s="4" t="str">
        <f>IF(Respostas_Brutas!B500="","",IFERROR(N(Respostas_Brutas!Y500)/N(Respostas_Brutas!Z500),""))</f>
        <v/>
      </c>
      <c r="G500" s="4" t="str">
        <f>IF(Respostas_Brutas!B500="","",IF(Respostas_Brutas!K500&lt;&gt;"",1,0))</f>
        <v/>
      </c>
      <c r="H500" s="4" t="str">
        <f>IF(Respostas_Brutas!B500="","",IF(ISNUMBER(SEARCH("Não",Respostas_Brutas!AH500)),1,0))</f>
        <v/>
      </c>
      <c r="I500" s="4" t="str">
        <f>IF(Respostas_Brutas!B500="","",IF(ISNUMBER(SEARCH("Sim",Respostas_Brutas!AL500)),1,0))</f>
        <v/>
      </c>
      <c r="J500" s="4" t="str">
        <f>IF(Respostas_Brutas!B500="","",IF(Respostas_Brutas!AN500="","",MIN(1,MAX(0,(N(Respostas_Brutas!AN500)-1)/4))))</f>
        <v/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tr">
        <f>IF(Respostas_Brutas!B501="","",Respostas_Brutas!B501)</f>
        <v/>
      </c>
      <c r="B501" s="4" t="str">
        <f>IF(Respostas_Brutas!B501="","",IFERROR(IF(IFERROR(VALUE(TRIM(SUBSTITUTE(SUBSTITUTE(SUBSTITUTE(TRIM(Respostas_Brutas!AS501),"R$",""),".",""),",","."))),0)=0,"",(IFERROR(VALUE(TRIM(SUBSTITUTE(SUBSTITUTE(SUBSTITUTE(TRIM(Respostas_Brutas!AS501),"R$",""),".",""),",","."))),0)-IFERROR(VALUE(TRIM(SUBSTITUTE(SUBSTITUTE(SUBSTITUTE(TRIM(Respostas_Brutas!T501),"R$",""),".",""),",","."))),0))/IFERROR(VALUE(TRIM(SUBSTITUTE(SUBSTITUTE(SUBSTITUTE(TRIM(Respostas_Brutas!AS501),"R$",""),".",""),",","."))),0)),""))</f>
        <v/>
      </c>
      <c r="C501" s="4" t="str">
        <f>IF(Respostas_Brutas!B501="","",MIN(1,(IFERROR(VALUE(LEFT(Respostas_Brutas!I501,IFERROR(FIND(" ",Respostas_Brutas!I501)-1,LEN(Respostas_Brutas!I501)))),0)+IFERROR(VALUE(LEFT(Respostas_Brutas!O501,IFERROR(FIND(" ",Respostas_Brutas!O501)-1,LEN(Respostas_Brutas!O501)))),0))/20))</f>
        <v/>
      </c>
      <c r="D501" s="4" t="str">
        <f>IF(Respostas_Brutas!B501="","",IF(Respostas_Brutas!D501="","",MIN(1,MAX(0,(YEAR(TODAY())-N(Respostas_Brutas!D501))/15))))</f>
        <v/>
      </c>
      <c r="E501" s="4" t="str">
        <f>IF(Respostas_Brutas!B501="","",IF(ISNUMBER(SEARCH("Sim",Respostas_Brutas!S501)),1,0))</f>
        <v/>
      </c>
      <c r="F501" s="4" t="str">
        <f>IF(Respostas_Brutas!B501="","",IFERROR(N(Respostas_Brutas!Y501)/N(Respostas_Brutas!Z501),""))</f>
        <v/>
      </c>
      <c r="G501" s="4" t="str">
        <f>IF(Respostas_Brutas!B501="","",IF(Respostas_Brutas!K501&lt;&gt;"",1,0))</f>
        <v/>
      </c>
      <c r="H501" s="4" t="str">
        <f>IF(Respostas_Brutas!B501="","",IF(ISNUMBER(SEARCH("Não",Respostas_Brutas!AH501)),1,0))</f>
        <v/>
      </c>
      <c r="I501" s="4" t="str">
        <f>IF(Respostas_Brutas!B501="","",IF(ISNUMBER(SEARCH("Sim",Respostas_Brutas!AL501)),1,0))</f>
        <v/>
      </c>
      <c r="J501" s="4" t="str">
        <f>IF(Respostas_Brutas!B501="","",IF(Respostas_Brutas!AN501="","",MIN(1,MAX(0,(N(Respostas_Brutas!AN501)-1)/4))))</f>
        <v/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0" customHeight="1">
      <c r="A502" s="11" t="s">
        <v>222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0" customHeight="1">
      <c r="A503" s="31" t="s">
        <v>223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10" width="20.0"/>
  </cols>
  <sheetData>
    <row r="1" ht="45.0" customHeight="1">
      <c r="A1" s="2" t="s">
        <v>199</v>
      </c>
      <c r="B1" s="2" t="s">
        <v>190</v>
      </c>
      <c r="C1" s="2" t="s">
        <v>200</v>
      </c>
      <c r="D1" s="2" t="s">
        <v>201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202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7" t="s">
        <v>203</v>
      </c>
      <c r="B2" s="28">
        <v>3.0</v>
      </c>
      <c r="C2" s="28">
        <v>-2.0</v>
      </c>
      <c r="D2" s="28">
        <v>-1.0</v>
      </c>
      <c r="E2" s="28">
        <v>1.0</v>
      </c>
      <c r="F2" s="28">
        <v>1.0</v>
      </c>
      <c r="G2" s="28">
        <v>-1.0</v>
      </c>
      <c r="H2" s="28">
        <v>0.0</v>
      </c>
      <c r="I2" s="28">
        <v>0.0</v>
      </c>
      <c r="J2" s="28">
        <v>1.0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7" t="s">
        <v>204</v>
      </c>
      <c r="B3" s="28">
        <v>1.0</v>
      </c>
      <c r="C3" s="28">
        <v>0.0</v>
      </c>
      <c r="D3" s="28">
        <v>0.0</v>
      </c>
      <c r="E3" s="28">
        <v>0.0</v>
      </c>
      <c r="F3" s="28">
        <v>-1.0</v>
      </c>
      <c r="G3" s="28">
        <v>0.0</v>
      </c>
      <c r="H3" s="28">
        <v>3.0</v>
      </c>
      <c r="I3" s="28">
        <v>1.0</v>
      </c>
      <c r="J3" s="28">
        <v>1.0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7" t="s">
        <v>205</v>
      </c>
      <c r="B4" s="28">
        <v>0.0</v>
      </c>
      <c r="C4" s="28">
        <v>0.0</v>
      </c>
      <c r="D4" s="28">
        <v>1.0</v>
      </c>
      <c r="E4" s="28">
        <v>3.0</v>
      </c>
      <c r="F4" s="28">
        <v>1.0</v>
      </c>
      <c r="G4" s="28">
        <v>0.0</v>
      </c>
      <c r="H4" s="28">
        <v>0.0</v>
      </c>
      <c r="I4" s="28">
        <v>2.0</v>
      </c>
      <c r="J4" s="28">
        <v>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7" t="s">
        <v>206</v>
      </c>
      <c r="B5" s="28">
        <v>1.0</v>
      </c>
      <c r="C5" s="28">
        <v>0.0</v>
      </c>
      <c r="D5" s="28">
        <v>0.0</v>
      </c>
      <c r="E5" s="28">
        <v>1.0</v>
      </c>
      <c r="F5" s="28">
        <v>0.0</v>
      </c>
      <c r="G5" s="28">
        <v>2.0</v>
      </c>
      <c r="H5" s="28">
        <v>0.0</v>
      </c>
      <c r="I5" s="28">
        <v>1.0</v>
      </c>
      <c r="J5" s="28">
        <v>0.0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7" t="s">
        <v>207</v>
      </c>
      <c r="B6" s="28">
        <v>1.0</v>
      </c>
      <c r="C6" s="28">
        <v>-1.0</v>
      </c>
      <c r="D6" s="28">
        <v>0.0</v>
      </c>
      <c r="E6" s="28">
        <v>1.0</v>
      </c>
      <c r="F6" s="28">
        <v>0.0</v>
      </c>
      <c r="G6" s="28">
        <v>2.0</v>
      </c>
      <c r="H6" s="28">
        <v>0.0</v>
      </c>
      <c r="I6" s="28">
        <v>1.0</v>
      </c>
      <c r="J6" s="28">
        <v>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7" t="s">
        <v>208</v>
      </c>
      <c r="B7" s="28">
        <v>0.0</v>
      </c>
      <c r="C7" s="28">
        <v>1.0</v>
      </c>
      <c r="D7" s="28">
        <v>1.0</v>
      </c>
      <c r="E7" s="28">
        <v>0.0</v>
      </c>
      <c r="F7" s="28">
        <v>-1.0</v>
      </c>
      <c r="G7" s="28">
        <v>2.0</v>
      </c>
      <c r="H7" s="28">
        <v>0.0</v>
      </c>
      <c r="I7" s="28">
        <v>1.0</v>
      </c>
      <c r="J7" s="28">
        <v>1.0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7" t="s">
        <v>209</v>
      </c>
      <c r="B8" s="28">
        <v>0.0</v>
      </c>
      <c r="C8" s="28">
        <v>2.0</v>
      </c>
      <c r="D8" s="28">
        <v>2.0</v>
      </c>
      <c r="E8" s="28">
        <v>0.0</v>
      </c>
      <c r="F8" s="28">
        <v>-2.0</v>
      </c>
      <c r="G8" s="28">
        <v>0.0</v>
      </c>
      <c r="H8" s="28">
        <v>-1.0</v>
      </c>
      <c r="I8" s="28">
        <v>2.0</v>
      </c>
      <c r="J8" s="28">
        <v>2.0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1" t="s">
        <v>210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5" width="18.71"/>
    <col customWidth="1" min="6" max="8" width="14.0"/>
  </cols>
  <sheetData>
    <row r="1" ht="30.0" customHeight="1">
      <c r="A1" s="2" t="s">
        <v>189</v>
      </c>
      <c r="B1" s="2" t="s">
        <v>203</v>
      </c>
      <c r="C1" s="2" t="s">
        <v>204</v>
      </c>
      <c r="D1" s="2" t="s">
        <v>205</v>
      </c>
      <c r="E1" s="2" t="s">
        <v>206</v>
      </c>
      <c r="F1" s="2" t="s">
        <v>207</v>
      </c>
      <c r="G1" s="2" t="s">
        <v>208</v>
      </c>
      <c r="H1" s="2" t="s">
        <v>209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5" t="str">
        <f>IF(Variaveis!A2="","",Variaveis!A2)</f>
        <v>Sannara Freitas</v>
      </c>
      <c r="B2" s="29">
        <f>IF(Variaveis!A2="","",SUMPRODUCT(N(Variaveis!B2:J2),Pesos_Decisao!$B$2:$J$2))</f>
        <v>0.85</v>
      </c>
      <c r="C2" s="29">
        <f>IF(Variaveis!A2="","",SUMPRODUCT(N(Variaveis!B2:J2),Pesos_Decisao!$B$3:$J$3))</f>
        <v>-0.25</v>
      </c>
      <c r="D2" s="29">
        <f>IF(Variaveis!A2="","",SUMPRODUCT(N(Variaveis!B2:J2),Pesos_Decisao!$B$4:$J$4))</f>
        <v>3.25</v>
      </c>
      <c r="E2" s="29">
        <f>IF(Variaveis!A2="","",SUMPRODUCT(N(Variaveis!B2:J2),Pesos_Decisao!$B$5:$J$5))</f>
        <v>1</v>
      </c>
      <c r="F2" s="29">
        <f>IF(Variaveis!A2="","",SUMPRODUCT(N(Variaveis!B2:J2),Pesos_Decisao!$B$6:$J$6))</f>
        <v>0.8</v>
      </c>
      <c r="G2" s="29">
        <f>IF(Variaveis!A2="","",SUMPRODUCT(N(Variaveis!B2:J2),Pesos_Decisao!$B$7:$J$7))</f>
        <v>-0.05</v>
      </c>
      <c r="H2" s="29">
        <f>IF(Variaveis!A2="","",SUMPRODUCT(N(Variaveis!B2:J2),Pesos_Decisao!$B$8:$J$8))</f>
        <v>-0.1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 t="str">
        <f>IF(Variaveis!A3="","",Variaveis!A3)</f>
        <v>Marissa Lima </v>
      </c>
      <c r="B3" s="4">
        <f>IF(Variaveis!A3="","",SUMPRODUCT(N(Variaveis!B3:J3),Pesos_Decisao!$B$2:$J$2))</f>
        <v>-3.5</v>
      </c>
      <c r="C3" s="4">
        <f>IF(Variaveis!A3="","",SUMPRODUCT(N(Variaveis!B3:J3),Pesos_Decisao!$B$3:$J$3))</f>
        <v>0</v>
      </c>
      <c r="D3" s="4">
        <f>IF(Variaveis!A3="","",SUMPRODUCT(N(Variaveis!B3:J3),Pesos_Decisao!$B$4:$J$4))</f>
        <v>0.6</v>
      </c>
      <c r="E3" s="4">
        <f>IF(Variaveis!A3="","",SUMPRODUCT(N(Variaveis!B3:J3),Pesos_Decisao!$B$5:$J$5))</f>
        <v>2</v>
      </c>
      <c r="F3" s="4">
        <f>IF(Variaveis!A3="","",SUMPRODUCT(N(Variaveis!B3:J3),Pesos_Decisao!$B$6:$J$6))</f>
        <v>1.05</v>
      </c>
      <c r="G3" s="4">
        <f>IF(Variaveis!A3="","",SUMPRODUCT(N(Variaveis!B3:J3),Pesos_Decisao!$B$7:$J$7))</f>
        <v>3.55</v>
      </c>
      <c r="H3" s="4">
        <f>IF(Variaveis!A3="","",SUMPRODUCT(N(Variaveis!B3:J3),Pesos_Decisao!$B$8:$J$8))</f>
        <v>3.1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 t="str">
        <f>IF(Variaveis!A4="","",Variaveis!A4)</f>
        <v>Francisca ROSELI de Alcântara Madeiro</v>
      </c>
      <c r="B4" s="4">
        <f>IF(Variaveis!A4="","",SUMPRODUCT(N(Variaveis!B4:J4),Pesos_Decisao!$B$2:$J$2))</f>
        <v>-1.2</v>
      </c>
      <c r="C4" s="4">
        <f>IF(Variaveis!A4="","",SUMPRODUCT(N(Variaveis!B4:J4),Pesos_Decisao!$B$3:$J$3))</f>
        <v>0</v>
      </c>
      <c r="D4" s="4">
        <f>IF(Variaveis!A4="","",SUMPRODUCT(N(Variaveis!B4:J4),Pesos_Decisao!$B$4:$J$4))</f>
        <v>0.2</v>
      </c>
      <c r="E4" s="4">
        <f>IF(Variaveis!A4="","",SUMPRODUCT(N(Variaveis!B4:J4),Pesos_Decisao!$B$5:$J$5))</f>
        <v>2</v>
      </c>
      <c r="F4" s="4">
        <f>IF(Variaveis!A4="","",SUMPRODUCT(N(Variaveis!B4:J4),Pesos_Decisao!$B$6:$J$6))</f>
        <v>2</v>
      </c>
      <c r="G4" s="4">
        <f>IF(Variaveis!A4="","",SUMPRODUCT(N(Variaveis!B4:J4),Pesos_Decisao!$B$7:$J$7))</f>
        <v>2.2</v>
      </c>
      <c r="H4" s="4">
        <f>IF(Variaveis!A4="","",SUMPRODUCT(N(Variaveis!B4:J4),Pesos_Decisao!$B$8:$J$8))</f>
        <v>0.4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 t="str">
        <f>IF(Variaveis!A5="","",Variaveis!A5)</f>
        <v/>
      </c>
      <c r="B5" s="4" t="str">
        <f>IF(Variaveis!A5="","",SUMPRODUCT(N(Variaveis!B5:J5),Pesos_Decisao!$B$2:$J$2))</f>
        <v/>
      </c>
      <c r="C5" s="4" t="str">
        <f>IF(Variaveis!A5="","",SUMPRODUCT(N(Variaveis!B5:J5),Pesos_Decisao!$B$3:$J$3))</f>
        <v/>
      </c>
      <c r="D5" s="4" t="str">
        <f>IF(Variaveis!A5="","",SUMPRODUCT(N(Variaveis!B5:J5),Pesos_Decisao!$B$4:$J$4))</f>
        <v/>
      </c>
      <c r="E5" s="4" t="str">
        <f>IF(Variaveis!A5="","",SUMPRODUCT(N(Variaveis!B5:J5),Pesos_Decisao!$B$5:$J$5))</f>
        <v/>
      </c>
      <c r="F5" s="4" t="str">
        <f>IF(Variaveis!A5="","",SUMPRODUCT(N(Variaveis!B5:J5),Pesos_Decisao!$B$6:$J$6))</f>
        <v/>
      </c>
      <c r="G5" s="4" t="str">
        <f>IF(Variaveis!A5="","",SUMPRODUCT(N(Variaveis!B5:J5),Pesos_Decisao!$B$7:$J$7))</f>
        <v/>
      </c>
      <c r="H5" s="4" t="str">
        <f>IF(Variaveis!A5="","",SUMPRODUCT(N(Variaveis!B5:J5),Pesos_Decisao!$B$8:$J$8))</f>
        <v/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 t="str">
        <f>IF(Variaveis!A6="","",Variaveis!A6)</f>
        <v/>
      </c>
      <c r="B6" s="4" t="str">
        <f>IF(Variaveis!A6="","",SUMPRODUCT(N(Variaveis!B6:J6),Pesos_Decisao!$B$2:$J$2))</f>
        <v/>
      </c>
      <c r="C6" s="4" t="str">
        <f>IF(Variaveis!A6="","",SUMPRODUCT(N(Variaveis!B6:J6),Pesos_Decisao!$B$3:$J$3))</f>
        <v/>
      </c>
      <c r="D6" s="4" t="str">
        <f>IF(Variaveis!A6="","",SUMPRODUCT(N(Variaveis!B6:J6),Pesos_Decisao!$B$4:$J$4))</f>
        <v/>
      </c>
      <c r="E6" s="4" t="str">
        <f>IF(Variaveis!A6="","",SUMPRODUCT(N(Variaveis!B6:J6),Pesos_Decisao!$B$5:$J$5))</f>
        <v/>
      </c>
      <c r="F6" s="4" t="str">
        <f>IF(Variaveis!A6="","",SUMPRODUCT(N(Variaveis!B6:J6),Pesos_Decisao!$B$6:$J$6))</f>
        <v/>
      </c>
      <c r="G6" s="4" t="str">
        <f>IF(Variaveis!A6="","",SUMPRODUCT(N(Variaveis!B6:J6),Pesos_Decisao!$B$7:$J$7))</f>
        <v/>
      </c>
      <c r="H6" s="4" t="str">
        <f>IF(Variaveis!A6="","",SUMPRODUCT(N(Variaveis!B6:J6),Pesos_Decisao!$B$8:$J$8))</f>
        <v/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 t="str">
        <f>IF(Variaveis!A7="","",Variaveis!A7)</f>
        <v/>
      </c>
      <c r="B7" s="4" t="str">
        <f>IF(Variaveis!A7="","",SUMPRODUCT(N(Variaveis!B7:J7),Pesos_Decisao!$B$2:$J$2))</f>
        <v/>
      </c>
      <c r="C7" s="4" t="str">
        <f>IF(Variaveis!A7="","",SUMPRODUCT(N(Variaveis!B7:J7),Pesos_Decisao!$B$3:$J$3))</f>
        <v/>
      </c>
      <c r="D7" s="4" t="str">
        <f>IF(Variaveis!A7="","",SUMPRODUCT(N(Variaveis!B7:J7),Pesos_Decisao!$B$4:$J$4))</f>
        <v/>
      </c>
      <c r="E7" s="4" t="str">
        <f>IF(Variaveis!A7="","",SUMPRODUCT(N(Variaveis!B7:J7),Pesos_Decisao!$B$5:$J$5))</f>
        <v/>
      </c>
      <c r="F7" s="4" t="str">
        <f>IF(Variaveis!A7="","",SUMPRODUCT(N(Variaveis!B7:J7),Pesos_Decisao!$B$6:$J$6))</f>
        <v/>
      </c>
      <c r="G7" s="4" t="str">
        <f>IF(Variaveis!A7="","",SUMPRODUCT(N(Variaveis!B7:J7),Pesos_Decisao!$B$7:$J$7))</f>
        <v/>
      </c>
      <c r="H7" s="4" t="str">
        <f>IF(Variaveis!A7="","",SUMPRODUCT(N(Variaveis!B7:J7),Pesos_Decisao!$B$8:$J$8))</f>
        <v/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 t="str">
        <f>IF(Variaveis!A8="","",Variaveis!A8)</f>
        <v/>
      </c>
      <c r="B8" s="4" t="str">
        <f>IF(Variaveis!A8="","",SUMPRODUCT(N(Variaveis!B8:J8),Pesos_Decisao!$B$2:$J$2))</f>
        <v/>
      </c>
      <c r="C8" s="4" t="str">
        <f>IF(Variaveis!A8="","",SUMPRODUCT(N(Variaveis!B8:J8),Pesos_Decisao!$B$3:$J$3))</f>
        <v/>
      </c>
      <c r="D8" s="4" t="str">
        <f>IF(Variaveis!A8="","",SUMPRODUCT(N(Variaveis!B8:J8),Pesos_Decisao!$B$4:$J$4))</f>
        <v/>
      </c>
      <c r="E8" s="4" t="str">
        <f>IF(Variaveis!A8="","",SUMPRODUCT(N(Variaveis!B8:J8),Pesos_Decisao!$B$5:$J$5))</f>
        <v/>
      </c>
      <c r="F8" s="4" t="str">
        <f>IF(Variaveis!A8="","",SUMPRODUCT(N(Variaveis!B8:J8),Pesos_Decisao!$B$6:$J$6))</f>
        <v/>
      </c>
      <c r="G8" s="4" t="str">
        <f>IF(Variaveis!A8="","",SUMPRODUCT(N(Variaveis!B8:J8),Pesos_Decisao!$B$7:$J$7))</f>
        <v/>
      </c>
      <c r="H8" s="4" t="str">
        <f>IF(Variaveis!A8="","",SUMPRODUCT(N(Variaveis!B8:J8),Pesos_Decisao!$B$8:$J$8))</f>
        <v/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 t="str">
        <f>IF(Variaveis!A9="","",Variaveis!A9)</f>
        <v/>
      </c>
      <c r="B9" s="4" t="str">
        <f>IF(Variaveis!A9="","",SUMPRODUCT(N(Variaveis!B9:J9),Pesos_Decisao!$B$2:$J$2))</f>
        <v/>
      </c>
      <c r="C9" s="4" t="str">
        <f>IF(Variaveis!A9="","",SUMPRODUCT(N(Variaveis!B9:J9),Pesos_Decisao!$B$3:$J$3))</f>
        <v/>
      </c>
      <c r="D9" s="4" t="str">
        <f>IF(Variaveis!A9="","",SUMPRODUCT(N(Variaveis!B9:J9),Pesos_Decisao!$B$4:$J$4))</f>
        <v/>
      </c>
      <c r="E9" s="4" t="str">
        <f>IF(Variaveis!A9="","",SUMPRODUCT(N(Variaveis!B9:J9),Pesos_Decisao!$B$5:$J$5))</f>
        <v/>
      </c>
      <c r="F9" s="4" t="str">
        <f>IF(Variaveis!A9="","",SUMPRODUCT(N(Variaveis!B9:J9),Pesos_Decisao!$B$6:$J$6))</f>
        <v/>
      </c>
      <c r="G9" s="4" t="str">
        <f>IF(Variaveis!A9="","",SUMPRODUCT(N(Variaveis!B9:J9),Pesos_Decisao!$B$7:$J$7))</f>
        <v/>
      </c>
      <c r="H9" s="4" t="str">
        <f>IF(Variaveis!A9="","",SUMPRODUCT(N(Variaveis!B9:J9),Pesos_Decisao!$B$8:$J$8))</f>
        <v/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 t="str">
        <f>IF(Variaveis!A10="","",Variaveis!A10)</f>
        <v/>
      </c>
      <c r="B10" s="4" t="str">
        <f>IF(Variaveis!A10="","",SUMPRODUCT(N(Variaveis!B10:J10),Pesos_Decisao!$B$2:$J$2))</f>
        <v/>
      </c>
      <c r="C10" s="4" t="str">
        <f>IF(Variaveis!A10="","",SUMPRODUCT(N(Variaveis!B10:J10),Pesos_Decisao!$B$3:$J$3))</f>
        <v/>
      </c>
      <c r="D10" s="4" t="str">
        <f>IF(Variaveis!A10="","",SUMPRODUCT(N(Variaveis!B10:J10),Pesos_Decisao!$B$4:$J$4))</f>
        <v/>
      </c>
      <c r="E10" s="4" t="str">
        <f>IF(Variaveis!A10="","",SUMPRODUCT(N(Variaveis!B10:J10),Pesos_Decisao!$B$5:$J$5))</f>
        <v/>
      </c>
      <c r="F10" s="4" t="str">
        <f>IF(Variaveis!A10="","",SUMPRODUCT(N(Variaveis!B10:J10),Pesos_Decisao!$B$6:$J$6))</f>
        <v/>
      </c>
      <c r="G10" s="4" t="str">
        <f>IF(Variaveis!A10="","",SUMPRODUCT(N(Variaveis!B10:J10),Pesos_Decisao!$B$7:$J$7))</f>
        <v/>
      </c>
      <c r="H10" s="4" t="str">
        <f>IF(Variaveis!A10="","",SUMPRODUCT(N(Variaveis!B10:J10),Pesos_Decisao!$B$8:$J$8))</f>
        <v/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 t="str">
        <f>IF(Variaveis!A11="","",Variaveis!A11)</f>
        <v/>
      </c>
      <c r="B11" s="4" t="str">
        <f>IF(Variaveis!A11="","",SUMPRODUCT(N(Variaveis!B11:J11),Pesos_Decisao!$B$2:$J$2))</f>
        <v/>
      </c>
      <c r="C11" s="4" t="str">
        <f>IF(Variaveis!A11="","",SUMPRODUCT(N(Variaveis!B11:J11),Pesos_Decisao!$B$3:$J$3))</f>
        <v/>
      </c>
      <c r="D11" s="4" t="str">
        <f>IF(Variaveis!A11="","",SUMPRODUCT(N(Variaveis!B11:J11),Pesos_Decisao!$B$4:$J$4))</f>
        <v/>
      </c>
      <c r="E11" s="4" t="str">
        <f>IF(Variaveis!A11="","",SUMPRODUCT(N(Variaveis!B11:J11),Pesos_Decisao!$B$5:$J$5))</f>
        <v/>
      </c>
      <c r="F11" s="4" t="str">
        <f>IF(Variaveis!A11="","",SUMPRODUCT(N(Variaveis!B11:J11),Pesos_Decisao!$B$6:$J$6))</f>
        <v/>
      </c>
      <c r="G11" s="4" t="str">
        <f>IF(Variaveis!A11="","",SUMPRODUCT(N(Variaveis!B11:J11),Pesos_Decisao!$B$7:$J$7))</f>
        <v/>
      </c>
      <c r="H11" s="4" t="str">
        <f>IF(Variaveis!A11="","",SUMPRODUCT(N(Variaveis!B11:J11),Pesos_Decisao!$B$8:$J$8))</f>
        <v/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 t="str">
        <f>IF(Variaveis!A12="","",Variaveis!A12)</f>
        <v/>
      </c>
      <c r="B12" s="4" t="str">
        <f>IF(Variaveis!A12="","",SUMPRODUCT(N(Variaveis!B12:J12),Pesos_Decisao!$B$2:$J$2))</f>
        <v/>
      </c>
      <c r="C12" s="4" t="str">
        <f>IF(Variaveis!A12="","",SUMPRODUCT(N(Variaveis!B12:J12),Pesos_Decisao!$B$3:$J$3))</f>
        <v/>
      </c>
      <c r="D12" s="4" t="str">
        <f>IF(Variaveis!A12="","",SUMPRODUCT(N(Variaveis!B12:J12),Pesos_Decisao!$B$4:$J$4))</f>
        <v/>
      </c>
      <c r="E12" s="4" t="str">
        <f>IF(Variaveis!A12="","",SUMPRODUCT(N(Variaveis!B12:J12),Pesos_Decisao!$B$5:$J$5))</f>
        <v/>
      </c>
      <c r="F12" s="4" t="str">
        <f>IF(Variaveis!A12="","",SUMPRODUCT(N(Variaveis!B12:J12),Pesos_Decisao!$B$6:$J$6))</f>
        <v/>
      </c>
      <c r="G12" s="4" t="str">
        <f>IF(Variaveis!A12="","",SUMPRODUCT(N(Variaveis!B12:J12),Pesos_Decisao!$B$7:$J$7))</f>
        <v/>
      </c>
      <c r="H12" s="4" t="str">
        <f>IF(Variaveis!A12="","",SUMPRODUCT(N(Variaveis!B12:J12),Pesos_Decisao!$B$8:$J$8))</f>
        <v/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tr">
        <f>IF(Variaveis!A13="","",Variaveis!A13)</f>
        <v/>
      </c>
      <c r="B13" s="4" t="str">
        <f>IF(Variaveis!A13="","",SUMPRODUCT(N(Variaveis!B13:J13),Pesos_Decisao!$B$2:$J$2))</f>
        <v/>
      </c>
      <c r="C13" s="4" t="str">
        <f>IF(Variaveis!A13="","",SUMPRODUCT(N(Variaveis!B13:J13),Pesos_Decisao!$B$3:$J$3))</f>
        <v/>
      </c>
      <c r="D13" s="4" t="str">
        <f>IF(Variaveis!A13="","",SUMPRODUCT(N(Variaveis!B13:J13),Pesos_Decisao!$B$4:$J$4))</f>
        <v/>
      </c>
      <c r="E13" s="4" t="str">
        <f>IF(Variaveis!A13="","",SUMPRODUCT(N(Variaveis!B13:J13),Pesos_Decisao!$B$5:$J$5))</f>
        <v/>
      </c>
      <c r="F13" s="4" t="str">
        <f>IF(Variaveis!A13="","",SUMPRODUCT(N(Variaveis!B13:J13),Pesos_Decisao!$B$6:$J$6))</f>
        <v/>
      </c>
      <c r="G13" s="4" t="str">
        <f>IF(Variaveis!A13="","",SUMPRODUCT(N(Variaveis!B13:J13),Pesos_Decisao!$B$7:$J$7))</f>
        <v/>
      </c>
      <c r="H13" s="4" t="str">
        <f>IF(Variaveis!A13="","",SUMPRODUCT(N(Variaveis!B13:J13),Pesos_Decisao!$B$8:$J$8))</f>
        <v/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 t="str">
        <f>IF(Variaveis!A14="","",Variaveis!A14)</f>
        <v/>
      </c>
      <c r="B14" s="4" t="str">
        <f>IF(Variaveis!A14="","",SUMPRODUCT(N(Variaveis!B14:J14),Pesos_Decisao!$B$2:$J$2))</f>
        <v/>
      </c>
      <c r="C14" s="4" t="str">
        <f>IF(Variaveis!A14="","",SUMPRODUCT(N(Variaveis!B14:J14),Pesos_Decisao!$B$3:$J$3))</f>
        <v/>
      </c>
      <c r="D14" s="4" t="str">
        <f>IF(Variaveis!A14="","",SUMPRODUCT(N(Variaveis!B14:J14),Pesos_Decisao!$B$4:$J$4))</f>
        <v/>
      </c>
      <c r="E14" s="4" t="str">
        <f>IF(Variaveis!A14="","",SUMPRODUCT(N(Variaveis!B14:J14),Pesos_Decisao!$B$5:$J$5))</f>
        <v/>
      </c>
      <c r="F14" s="4" t="str">
        <f>IF(Variaveis!A14="","",SUMPRODUCT(N(Variaveis!B14:J14),Pesos_Decisao!$B$6:$J$6))</f>
        <v/>
      </c>
      <c r="G14" s="4" t="str">
        <f>IF(Variaveis!A14="","",SUMPRODUCT(N(Variaveis!B14:J14),Pesos_Decisao!$B$7:$J$7))</f>
        <v/>
      </c>
      <c r="H14" s="4" t="str">
        <f>IF(Variaveis!A14="","",SUMPRODUCT(N(Variaveis!B14:J14),Pesos_Decisao!$B$8:$J$8))</f>
        <v/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 t="str">
        <f>IF(Variaveis!A15="","",Variaveis!A15)</f>
        <v/>
      </c>
      <c r="B15" s="4" t="str">
        <f>IF(Variaveis!A15="","",SUMPRODUCT(N(Variaveis!B15:J15),Pesos_Decisao!$B$2:$J$2))</f>
        <v/>
      </c>
      <c r="C15" s="4" t="str">
        <f>IF(Variaveis!A15="","",SUMPRODUCT(N(Variaveis!B15:J15),Pesos_Decisao!$B$3:$J$3))</f>
        <v/>
      </c>
      <c r="D15" s="4" t="str">
        <f>IF(Variaveis!A15="","",SUMPRODUCT(N(Variaveis!B15:J15),Pesos_Decisao!$B$4:$J$4))</f>
        <v/>
      </c>
      <c r="E15" s="4" t="str">
        <f>IF(Variaveis!A15="","",SUMPRODUCT(N(Variaveis!B15:J15),Pesos_Decisao!$B$5:$J$5))</f>
        <v/>
      </c>
      <c r="F15" s="4" t="str">
        <f>IF(Variaveis!A15="","",SUMPRODUCT(N(Variaveis!B15:J15),Pesos_Decisao!$B$6:$J$6))</f>
        <v/>
      </c>
      <c r="G15" s="4" t="str">
        <f>IF(Variaveis!A15="","",SUMPRODUCT(N(Variaveis!B15:J15),Pesos_Decisao!$B$7:$J$7))</f>
        <v/>
      </c>
      <c r="H15" s="4" t="str">
        <f>IF(Variaveis!A15="","",SUMPRODUCT(N(Variaveis!B15:J15),Pesos_Decisao!$B$8:$J$8))</f>
        <v/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 t="str">
        <f>IF(Variaveis!A16="","",Variaveis!A16)</f>
        <v/>
      </c>
      <c r="B16" s="4" t="str">
        <f>IF(Variaveis!A16="","",SUMPRODUCT(N(Variaveis!B16:J16),Pesos_Decisao!$B$2:$J$2))</f>
        <v/>
      </c>
      <c r="C16" s="4" t="str">
        <f>IF(Variaveis!A16="","",SUMPRODUCT(N(Variaveis!B16:J16),Pesos_Decisao!$B$3:$J$3))</f>
        <v/>
      </c>
      <c r="D16" s="4" t="str">
        <f>IF(Variaveis!A16="","",SUMPRODUCT(N(Variaveis!B16:J16),Pesos_Decisao!$B$4:$J$4))</f>
        <v/>
      </c>
      <c r="E16" s="4" t="str">
        <f>IF(Variaveis!A16="","",SUMPRODUCT(N(Variaveis!B16:J16),Pesos_Decisao!$B$5:$J$5))</f>
        <v/>
      </c>
      <c r="F16" s="4" t="str">
        <f>IF(Variaveis!A16="","",SUMPRODUCT(N(Variaveis!B16:J16),Pesos_Decisao!$B$6:$J$6))</f>
        <v/>
      </c>
      <c r="G16" s="4" t="str">
        <f>IF(Variaveis!A16="","",SUMPRODUCT(N(Variaveis!B16:J16),Pesos_Decisao!$B$7:$J$7))</f>
        <v/>
      </c>
      <c r="H16" s="4" t="str">
        <f>IF(Variaveis!A16="","",SUMPRODUCT(N(Variaveis!B16:J16),Pesos_Decisao!$B$8:$J$8))</f>
        <v/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 t="str">
        <f>IF(Variaveis!A17="","",Variaveis!A17)</f>
        <v/>
      </c>
      <c r="B17" s="4" t="str">
        <f>IF(Variaveis!A17="","",SUMPRODUCT(N(Variaveis!B17:J17),Pesos_Decisao!$B$2:$J$2))</f>
        <v/>
      </c>
      <c r="C17" s="4" t="str">
        <f>IF(Variaveis!A17="","",SUMPRODUCT(N(Variaveis!B17:J17),Pesos_Decisao!$B$3:$J$3))</f>
        <v/>
      </c>
      <c r="D17" s="4" t="str">
        <f>IF(Variaveis!A17="","",SUMPRODUCT(N(Variaveis!B17:J17),Pesos_Decisao!$B$4:$J$4))</f>
        <v/>
      </c>
      <c r="E17" s="4" t="str">
        <f>IF(Variaveis!A17="","",SUMPRODUCT(N(Variaveis!B17:J17),Pesos_Decisao!$B$5:$J$5))</f>
        <v/>
      </c>
      <c r="F17" s="4" t="str">
        <f>IF(Variaveis!A17="","",SUMPRODUCT(N(Variaveis!B17:J17),Pesos_Decisao!$B$6:$J$6))</f>
        <v/>
      </c>
      <c r="G17" s="4" t="str">
        <f>IF(Variaveis!A17="","",SUMPRODUCT(N(Variaveis!B17:J17),Pesos_Decisao!$B$7:$J$7))</f>
        <v/>
      </c>
      <c r="H17" s="4" t="str">
        <f>IF(Variaveis!A17="","",SUMPRODUCT(N(Variaveis!B17:J17),Pesos_Decisao!$B$8:$J$8))</f>
        <v/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 t="str">
        <f>IF(Variaveis!A18="","",Variaveis!A18)</f>
        <v/>
      </c>
      <c r="B18" s="4" t="str">
        <f>IF(Variaveis!A18="","",SUMPRODUCT(N(Variaveis!B18:J18),Pesos_Decisao!$B$2:$J$2))</f>
        <v/>
      </c>
      <c r="C18" s="4" t="str">
        <f>IF(Variaveis!A18="","",SUMPRODUCT(N(Variaveis!B18:J18),Pesos_Decisao!$B$3:$J$3))</f>
        <v/>
      </c>
      <c r="D18" s="4" t="str">
        <f>IF(Variaveis!A18="","",SUMPRODUCT(N(Variaveis!B18:J18),Pesos_Decisao!$B$4:$J$4))</f>
        <v/>
      </c>
      <c r="E18" s="4" t="str">
        <f>IF(Variaveis!A18="","",SUMPRODUCT(N(Variaveis!B18:J18),Pesos_Decisao!$B$5:$J$5))</f>
        <v/>
      </c>
      <c r="F18" s="4" t="str">
        <f>IF(Variaveis!A18="","",SUMPRODUCT(N(Variaveis!B18:J18),Pesos_Decisao!$B$6:$J$6))</f>
        <v/>
      </c>
      <c r="G18" s="4" t="str">
        <f>IF(Variaveis!A18="","",SUMPRODUCT(N(Variaveis!B18:J18),Pesos_Decisao!$B$7:$J$7))</f>
        <v/>
      </c>
      <c r="H18" s="4" t="str">
        <f>IF(Variaveis!A18="","",SUMPRODUCT(N(Variaveis!B18:J18),Pesos_Decisao!$B$8:$J$8))</f>
        <v/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 t="str">
        <f>IF(Variaveis!A19="","",Variaveis!A19)</f>
        <v/>
      </c>
      <c r="B19" s="4" t="str">
        <f>IF(Variaveis!A19="","",SUMPRODUCT(N(Variaveis!B19:J19),Pesos_Decisao!$B$2:$J$2))</f>
        <v/>
      </c>
      <c r="C19" s="4" t="str">
        <f>IF(Variaveis!A19="","",SUMPRODUCT(N(Variaveis!B19:J19),Pesos_Decisao!$B$3:$J$3))</f>
        <v/>
      </c>
      <c r="D19" s="4" t="str">
        <f>IF(Variaveis!A19="","",SUMPRODUCT(N(Variaveis!B19:J19),Pesos_Decisao!$B$4:$J$4))</f>
        <v/>
      </c>
      <c r="E19" s="4" t="str">
        <f>IF(Variaveis!A19="","",SUMPRODUCT(N(Variaveis!B19:J19),Pesos_Decisao!$B$5:$J$5))</f>
        <v/>
      </c>
      <c r="F19" s="4" t="str">
        <f>IF(Variaveis!A19="","",SUMPRODUCT(N(Variaveis!B19:J19),Pesos_Decisao!$B$6:$J$6))</f>
        <v/>
      </c>
      <c r="G19" s="4" t="str">
        <f>IF(Variaveis!A19="","",SUMPRODUCT(N(Variaveis!B19:J19),Pesos_Decisao!$B$7:$J$7))</f>
        <v/>
      </c>
      <c r="H19" s="4" t="str">
        <f>IF(Variaveis!A19="","",SUMPRODUCT(N(Variaveis!B19:J19),Pesos_Decisao!$B$8:$J$8))</f>
        <v/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 t="str">
        <f>IF(Variaveis!A20="","",Variaveis!A20)</f>
        <v/>
      </c>
      <c r="B20" s="4" t="str">
        <f>IF(Variaveis!A20="","",SUMPRODUCT(N(Variaveis!B20:J20),Pesos_Decisao!$B$2:$J$2))</f>
        <v/>
      </c>
      <c r="C20" s="4" t="str">
        <f>IF(Variaveis!A20="","",SUMPRODUCT(N(Variaveis!B20:J20),Pesos_Decisao!$B$3:$J$3))</f>
        <v/>
      </c>
      <c r="D20" s="4" t="str">
        <f>IF(Variaveis!A20="","",SUMPRODUCT(N(Variaveis!B20:J20),Pesos_Decisao!$B$4:$J$4))</f>
        <v/>
      </c>
      <c r="E20" s="4" t="str">
        <f>IF(Variaveis!A20="","",SUMPRODUCT(N(Variaveis!B20:J20),Pesos_Decisao!$B$5:$J$5))</f>
        <v/>
      </c>
      <c r="F20" s="4" t="str">
        <f>IF(Variaveis!A20="","",SUMPRODUCT(N(Variaveis!B20:J20),Pesos_Decisao!$B$6:$J$6))</f>
        <v/>
      </c>
      <c r="G20" s="4" t="str">
        <f>IF(Variaveis!A20="","",SUMPRODUCT(N(Variaveis!B20:J20),Pesos_Decisao!$B$7:$J$7))</f>
        <v/>
      </c>
      <c r="H20" s="4" t="str">
        <f>IF(Variaveis!A20="","",SUMPRODUCT(N(Variaveis!B20:J20),Pesos_Decisao!$B$8:$J$8))</f>
        <v/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tr">
        <f>IF(Variaveis!A21="","",Variaveis!A21)</f>
        <v/>
      </c>
      <c r="B21" s="4" t="str">
        <f>IF(Variaveis!A21="","",SUMPRODUCT(N(Variaveis!B21:J21),Pesos_Decisao!$B$2:$J$2))</f>
        <v/>
      </c>
      <c r="C21" s="4" t="str">
        <f>IF(Variaveis!A21="","",SUMPRODUCT(N(Variaveis!B21:J21),Pesos_Decisao!$B$3:$J$3))</f>
        <v/>
      </c>
      <c r="D21" s="4" t="str">
        <f>IF(Variaveis!A21="","",SUMPRODUCT(N(Variaveis!B21:J21),Pesos_Decisao!$B$4:$J$4))</f>
        <v/>
      </c>
      <c r="E21" s="4" t="str">
        <f>IF(Variaveis!A21="","",SUMPRODUCT(N(Variaveis!B21:J21),Pesos_Decisao!$B$5:$J$5))</f>
        <v/>
      </c>
      <c r="F21" s="4" t="str">
        <f>IF(Variaveis!A21="","",SUMPRODUCT(N(Variaveis!B21:J21),Pesos_Decisao!$B$6:$J$6))</f>
        <v/>
      </c>
      <c r="G21" s="4" t="str">
        <f>IF(Variaveis!A21="","",SUMPRODUCT(N(Variaveis!B21:J21),Pesos_Decisao!$B$7:$J$7))</f>
        <v/>
      </c>
      <c r="H21" s="4" t="str">
        <f>IF(Variaveis!A21="","",SUMPRODUCT(N(Variaveis!B21:J21),Pesos_Decisao!$B$8:$J$8))</f>
        <v/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tr">
        <f>IF(Variaveis!A22="","",Variaveis!A22)</f>
        <v/>
      </c>
      <c r="B22" s="4" t="str">
        <f>IF(Variaveis!A22="","",SUMPRODUCT(N(Variaveis!B22:J22),Pesos_Decisao!$B$2:$J$2))</f>
        <v/>
      </c>
      <c r="C22" s="4" t="str">
        <f>IF(Variaveis!A22="","",SUMPRODUCT(N(Variaveis!B22:J22),Pesos_Decisao!$B$3:$J$3))</f>
        <v/>
      </c>
      <c r="D22" s="4" t="str">
        <f>IF(Variaveis!A22="","",SUMPRODUCT(N(Variaveis!B22:J22),Pesos_Decisao!$B$4:$J$4))</f>
        <v/>
      </c>
      <c r="E22" s="4" t="str">
        <f>IF(Variaveis!A22="","",SUMPRODUCT(N(Variaveis!B22:J22),Pesos_Decisao!$B$5:$J$5))</f>
        <v/>
      </c>
      <c r="F22" s="4" t="str">
        <f>IF(Variaveis!A22="","",SUMPRODUCT(N(Variaveis!B22:J22),Pesos_Decisao!$B$6:$J$6))</f>
        <v/>
      </c>
      <c r="G22" s="4" t="str">
        <f>IF(Variaveis!A22="","",SUMPRODUCT(N(Variaveis!B22:J22),Pesos_Decisao!$B$7:$J$7))</f>
        <v/>
      </c>
      <c r="H22" s="4" t="str">
        <f>IF(Variaveis!A22="","",SUMPRODUCT(N(Variaveis!B22:J22),Pesos_Decisao!$B$8:$J$8))</f>
        <v/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tr">
        <f>IF(Variaveis!A23="","",Variaveis!A23)</f>
        <v/>
      </c>
      <c r="B23" s="4" t="str">
        <f>IF(Variaveis!A23="","",SUMPRODUCT(N(Variaveis!B23:J23),Pesos_Decisao!$B$2:$J$2))</f>
        <v/>
      </c>
      <c r="C23" s="4" t="str">
        <f>IF(Variaveis!A23="","",SUMPRODUCT(N(Variaveis!B23:J23),Pesos_Decisao!$B$3:$J$3))</f>
        <v/>
      </c>
      <c r="D23" s="4" t="str">
        <f>IF(Variaveis!A23="","",SUMPRODUCT(N(Variaveis!B23:J23),Pesos_Decisao!$B$4:$J$4))</f>
        <v/>
      </c>
      <c r="E23" s="4" t="str">
        <f>IF(Variaveis!A23="","",SUMPRODUCT(N(Variaveis!B23:J23),Pesos_Decisao!$B$5:$J$5))</f>
        <v/>
      </c>
      <c r="F23" s="4" t="str">
        <f>IF(Variaveis!A23="","",SUMPRODUCT(N(Variaveis!B23:J23),Pesos_Decisao!$B$6:$J$6))</f>
        <v/>
      </c>
      <c r="G23" s="4" t="str">
        <f>IF(Variaveis!A23="","",SUMPRODUCT(N(Variaveis!B23:J23),Pesos_Decisao!$B$7:$J$7))</f>
        <v/>
      </c>
      <c r="H23" s="4" t="str">
        <f>IF(Variaveis!A23="","",SUMPRODUCT(N(Variaveis!B23:J23),Pesos_Decisao!$B$8:$J$8))</f>
        <v/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tr">
        <f>IF(Variaveis!A24="","",Variaveis!A24)</f>
        <v/>
      </c>
      <c r="B24" s="4" t="str">
        <f>IF(Variaveis!A24="","",SUMPRODUCT(N(Variaveis!B24:J24),Pesos_Decisao!$B$2:$J$2))</f>
        <v/>
      </c>
      <c r="C24" s="4" t="str">
        <f>IF(Variaveis!A24="","",SUMPRODUCT(N(Variaveis!B24:J24),Pesos_Decisao!$B$3:$J$3))</f>
        <v/>
      </c>
      <c r="D24" s="4" t="str">
        <f>IF(Variaveis!A24="","",SUMPRODUCT(N(Variaveis!B24:J24),Pesos_Decisao!$B$4:$J$4))</f>
        <v/>
      </c>
      <c r="E24" s="4" t="str">
        <f>IF(Variaveis!A24="","",SUMPRODUCT(N(Variaveis!B24:J24),Pesos_Decisao!$B$5:$J$5))</f>
        <v/>
      </c>
      <c r="F24" s="4" t="str">
        <f>IF(Variaveis!A24="","",SUMPRODUCT(N(Variaveis!B24:J24),Pesos_Decisao!$B$6:$J$6))</f>
        <v/>
      </c>
      <c r="G24" s="4" t="str">
        <f>IF(Variaveis!A24="","",SUMPRODUCT(N(Variaveis!B24:J24),Pesos_Decisao!$B$7:$J$7))</f>
        <v/>
      </c>
      <c r="H24" s="4" t="str">
        <f>IF(Variaveis!A24="","",SUMPRODUCT(N(Variaveis!B24:J24),Pesos_Decisao!$B$8:$J$8))</f>
        <v/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tr">
        <f>IF(Variaveis!A25="","",Variaveis!A25)</f>
        <v/>
      </c>
      <c r="B25" s="4" t="str">
        <f>IF(Variaveis!A25="","",SUMPRODUCT(N(Variaveis!B25:J25),Pesos_Decisao!$B$2:$J$2))</f>
        <v/>
      </c>
      <c r="C25" s="4" t="str">
        <f>IF(Variaveis!A25="","",SUMPRODUCT(N(Variaveis!B25:J25),Pesos_Decisao!$B$3:$J$3))</f>
        <v/>
      </c>
      <c r="D25" s="4" t="str">
        <f>IF(Variaveis!A25="","",SUMPRODUCT(N(Variaveis!B25:J25),Pesos_Decisao!$B$4:$J$4))</f>
        <v/>
      </c>
      <c r="E25" s="4" t="str">
        <f>IF(Variaveis!A25="","",SUMPRODUCT(N(Variaveis!B25:J25),Pesos_Decisao!$B$5:$J$5))</f>
        <v/>
      </c>
      <c r="F25" s="4" t="str">
        <f>IF(Variaveis!A25="","",SUMPRODUCT(N(Variaveis!B25:J25),Pesos_Decisao!$B$6:$J$6))</f>
        <v/>
      </c>
      <c r="G25" s="4" t="str">
        <f>IF(Variaveis!A25="","",SUMPRODUCT(N(Variaveis!B25:J25),Pesos_Decisao!$B$7:$J$7))</f>
        <v/>
      </c>
      <c r="H25" s="4" t="str">
        <f>IF(Variaveis!A25="","",SUMPRODUCT(N(Variaveis!B25:J25),Pesos_Decisao!$B$8:$J$8))</f>
        <v/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tr">
        <f>IF(Variaveis!A26="","",Variaveis!A26)</f>
        <v/>
      </c>
      <c r="B26" s="4" t="str">
        <f>IF(Variaveis!A26="","",SUMPRODUCT(N(Variaveis!B26:J26),Pesos_Decisao!$B$2:$J$2))</f>
        <v/>
      </c>
      <c r="C26" s="4" t="str">
        <f>IF(Variaveis!A26="","",SUMPRODUCT(N(Variaveis!B26:J26),Pesos_Decisao!$B$3:$J$3))</f>
        <v/>
      </c>
      <c r="D26" s="4" t="str">
        <f>IF(Variaveis!A26="","",SUMPRODUCT(N(Variaveis!B26:J26),Pesos_Decisao!$B$4:$J$4))</f>
        <v/>
      </c>
      <c r="E26" s="4" t="str">
        <f>IF(Variaveis!A26="","",SUMPRODUCT(N(Variaveis!B26:J26),Pesos_Decisao!$B$5:$J$5))</f>
        <v/>
      </c>
      <c r="F26" s="4" t="str">
        <f>IF(Variaveis!A26="","",SUMPRODUCT(N(Variaveis!B26:J26),Pesos_Decisao!$B$6:$J$6))</f>
        <v/>
      </c>
      <c r="G26" s="4" t="str">
        <f>IF(Variaveis!A26="","",SUMPRODUCT(N(Variaveis!B26:J26),Pesos_Decisao!$B$7:$J$7))</f>
        <v/>
      </c>
      <c r="H26" s="4" t="str">
        <f>IF(Variaveis!A26="","",SUMPRODUCT(N(Variaveis!B26:J26),Pesos_Decisao!$B$8:$J$8))</f>
        <v/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tr">
        <f>IF(Variaveis!A27="","",Variaveis!A27)</f>
        <v/>
      </c>
      <c r="B27" s="4" t="str">
        <f>IF(Variaveis!A27="","",SUMPRODUCT(N(Variaveis!B27:J27),Pesos_Decisao!$B$2:$J$2))</f>
        <v/>
      </c>
      <c r="C27" s="4" t="str">
        <f>IF(Variaveis!A27="","",SUMPRODUCT(N(Variaveis!B27:J27),Pesos_Decisao!$B$3:$J$3))</f>
        <v/>
      </c>
      <c r="D27" s="4" t="str">
        <f>IF(Variaveis!A27="","",SUMPRODUCT(N(Variaveis!B27:J27),Pesos_Decisao!$B$4:$J$4))</f>
        <v/>
      </c>
      <c r="E27" s="4" t="str">
        <f>IF(Variaveis!A27="","",SUMPRODUCT(N(Variaveis!B27:J27),Pesos_Decisao!$B$5:$J$5))</f>
        <v/>
      </c>
      <c r="F27" s="4" t="str">
        <f>IF(Variaveis!A27="","",SUMPRODUCT(N(Variaveis!B27:J27),Pesos_Decisao!$B$6:$J$6))</f>
        <v/>
      </c>
      <c r="G27" s="4" t="str">
        <f>IF(Variaveis!A27="","",SUMPRODUCT(N(Variaveis!B27:J27),Pesos_Decisao!$B$7:$J$7))</f>
        <v/>
      </c>
      <c r="H27" s="4" t="str">
        <f>IF(Variaveis!A27="","",SUMPRODUCT(N(Variaveis!B27:J27),Pesos_Decisao!$B$8:$J$8))</f>
        <v/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tr">
        <f>IF(Variaveis!A28="","",Variaveis!A28)</f>
        <v/>
      </c>
      <c r="B28" s="4" t="str">
        <f>IF(Variaveis!A28="","",SUMPRODUCT(N(Variaveis!B28:J28),Pesos_Decisao!$B$2:$J$2))</f>
        <v/>
      </c>
      <c r="C28" s="4" t="str">
        <f>IF(Variaveis!A28="","",SUMPRODUCT(N(Variaveis!B28:J28),Pesos_Decisao!$B$3:$J$3))</f>
        <v/>
      </c>
      <c r="D28" s="4" t="str">
        <f>IF(Variaveis!A28="","",SUMPRODUCT(N(Variaveis!B28:J28),Pesos_Decisao!$B$4:$J$4))</f>
        <v/>
      </c>
      <c r="E28" s="4" t="str">
        <f>IF(Variaveis!A28="","",SUMPRODUCT(N(Variaveis!B28:J28),Pesos_Decisao!$B$5:$J$5))</f>
        <v/>
      </c>
      <c r="F28" s="4" t="str">
        <f>IF(Variaveis!A28="","",SUMPRODUCT(N(Variaveis!B28:J28),Pesos_Decisao!$B$6:$J$6))</f>
        <v/>
      </c>
      <c r="G28" s="4" t="str">
        <f>IF(Variaveis!A28="","",SUMPRODUCT(N(Variaveis!B28:J28),Pesos_Decisao!$B$7:$J$7))</f>
        <v/>
      </c>
      <c r="H28" s="4" t="str">
        <f>IF(Variaveis!A28="","",SUMPRODUCT(N(Variaveis!B28:J28),Pesos_Decisao!$B$8:$J$8))</f>
        <v/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tr">
        <f>IF(Variaveis!A29="","",Variaveis!A29)</f>
        <v/>
      </c>
      <c r="B29" s="4" t="str">
        <f>IF(Variaveis!A29="","",SUMPRODUCT(N(Variaveis!B29:J29),Pesos_Decisao!$B$2:$J$2))</f>
        <v/>
      </c>
      <c r="C29" s="4" t="str">
        <f>IF(Variaveis!A29="","",SUMPRODUCT(N(Variaveis!B29:J29),Pesos_Decisao!$B$3:$J$3))</f>
        <v/>
      </c>
      <c r="D29" s="4" t="str">
        <f>IF(Variaveis!A29="","",SUMPRODUCT(N(Variaveis!B29:J29),Pesos_Decisao!$B$4:$J$4))</f>
        <v/>
      </c>
      <c r="E29" s="4" t="str">
        <f>IF(Variaveis!A29="","",SUMPRODUCT(N(Variaveis!B29:J29),Pesos_Decisao!$B$5:$J$5))</f>
        <v/>
      </c>
      <c r="F29" s="4" t="str">
        <f>IF(Variaveis!A29="","",SUMPRODUCT(N(Variaveis!B29:J29),Pesos_Decisao!$B$6:$J$6))</f>
        <v/>
      </c>
      <c r="G29" s="4" t="str">
        <f>IF(Variaveis!A29="","",SUMPRODUCT(N(Variaveis!B29:J29),Pesos_Decisao!$B$7:$J$7))</f>
        <v/>
      </c>
      <c r="H29" s="4" t="str">
        <f>IF(Variaveis!A29="","",SUMPRODUCT(N(Variaveis!B29:J29),Pesos_Decisao!$B$8:$J$8))</f>
        <v/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tr">
        <f>IF(Variaveis!A30="","",Variaveis!A30)</f>
        <v/>
      </c>
      <c r="B30" s="4" t="str">
        <f>IF(Variaveis!A30="","",SUMPRODUCT(N(Variaveis!B30:J30),Pesos_Decisao!$B$2:$J$2))</f>
        <v/>
      </c>
      <c r="C30" s="4" t="str">
        <f>IF(Variaveis!A30="","",SUMPRODUCT(N(Variaveis!B30:J30),Pesos_Decisao!$B$3:$J$3))</f>
        <v/>
      </c>
      <c r="D30" s="4" t="str">
        <f>IF(Variaveis!A30="","",SUMPRODUCT(N(Variaveis!B30:J30),Pesos_Decisao!$B$4:$J$4))</f>
        <v/>
      </c>
      <c r="E30" s="4" t="str">
        <f>IF(Variaveis!A30="","",SUMPRODUCT(N(Variaveis!B30:J30),Pesos_Decisao!$B$5:$J$5))</f>
        <v/>
      </c>
      <c r="F30" s="4" t="str">
        <f>IF(Variaveis!A30="","",SUMPRODUCT(N(Variaveis!B30:J30),Pesos_Decisao!$B$6:$J$6))</f>
        <v/>
      </c>
      <c r="G30" s="4" t="str">
        <f>IF(Variaveis!A30="","",SUMPRODUCT(N(Variaveis!B30:J30),Pesos_Decisao!$B$7:$J$7))</f>
        <v/>
      </c>
      <c r="H30" s="4" t="str">
        <f>IF(Variaveis!A30="","",SUMPRODUCT(N(Variaveis!B30:J30),Pesos_Decisao!$B$8:$J$8))</f>
        <v/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tr">
        <f>IF(Variaveis!A31="","",Variaveis!A31)</f>
        <v/>
      </c>
      <c r="B31" s="4" t="str">
        <f>IF(Variaveis!A31="","",SUMPRODUCT(N(Variaveis!B31:J31),Pesos_Decisao!$B$2:$J$2))</f>
        <v/>
      </c>
      <c r="C31" s="4" t="str">
        <f>IF(Variaveis!A31="","",SUMPRODUCT(N(Variaveis!B31:J31),Pesos_Decisao!$B$3:$J$3))</f>
        <v/>
      </c>
      <c r="D31" s="4" t="str">
        <f>IF(Variaveis!A31="","",SUMPRODUCT(N(Variaveis!B31:J31),Pesos_Decisao!$B$4:$J$4))</f>
        <v/>
      </c>
      <c r="E31" s="4" t="str">
        <f>IF(Variaveis!A31="","",SUMPRODUCT(N(Variaveis!B31:J31),Pesos_Decisao!$B$5:$J$5))</f>
        <v/>
      </c>
      <c r="F31" s="4" t="str">
        <f>IF(Variaveis!A31="","",SUMPRODUCT(N(Variaveis!B31:J31),Pesos_Decisao!$B$6:$J$6))</f>
        <v/>
      </c>
      <c r="G31" s="4" t="str">
        <f>IF(Variaveis!A31="","",SUMPRODUCT(N(Variaveis!B31:J31),Pesos_Decisao!$B$7:$J$7))</f>
        <v/>
      </c>
      <c r="H31" s="4" t="str">
        <f>IF(Variaveis!A31="","",SUMPRODUCT(N(Variaveis!B31:J31),Pesos_Decisao!$B$8:$J$8))</f>
        <v/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tr">
        <f>IF(Variaveis!A32="","",Variaveis!A32)</f>
        <v/>
      </c>
      <c r="B32" s="4" t="str">
        <f>IF(Variaveis!A32="","",SUMPRODUCT(N(Variaveis!B32:J32),Pesos_Decisao!$B$2:$J$2))</f>
        <v/>
      </c>
      <c r="C32" s="4" t="str">
        <f>IF(Variaveis!A32="","",SUMPRODUCT(N(Variaveis!B32:J32),Pesos_Decisao!$B$3:$J$3))</f>
        <v/>
      </c>
      <c r="D32" s="4" t="str">
        <f>IF(Variaveis!A32="","",SUMPRODUCT(N(Variaveis!B32:J32),Pesos_Decisao!$B$4:$J$4))</f>
        <v/>
      </c>
      <c r="E32" s="4" t="str">
        <f>IF(Variaveis!A32="","",SUMPRODUCT(N(Variaveis!B32:J32),Pesos_Decisao!$B$5:$J$5))</f>
        <v/>
      </c>
      <c r="F32" s="4" t="str">
        <f>IF(Variaveis!A32="","",SUMPRODUCT(N(Variaveis!B32:J32),Pesos_Decisao!$B$6:$J$6))</f>
        <v/>
      </c>
      <c r="G32" s="4" t="str">
        <f>IF(Variaveis!A32="","",SUMPRODUCT(N(Variaveis!B32:J32),Pesos_Decisao!$B$7:$J$7))</f>
        <v/>
      </c>
      <c r="H32" s="4" t="str">
        <f>IF(Variaveis!A32="","",SUMPRODUCT(N(Variaveis!B32:J32),Pesos_Decisao!$B$8:$J$8))</f>
        <v/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tr">
        <f>IF(Variaveis!A33="","",Variaveis!A33)</f>
        <v/>
      </c>
      <c r="B33" s="4" t="str">
        <f>IF(Variaveis!A33="","",SUMPRODUCT(N(Variaveis!B33:J33),Pesos_Decisao!$B$2:$J$2))</f>
        <v/>
      </c>
      <c r="C33" s="4" t="str">
        <f>IF(Variaveis!A33="","",SUMPRODUCT(N(Variaveis!B33:J33),Pesos_Decisao!$B$3:$J$3))</f>
        <v/>
      </c>
      <c r="D33" s="4" t="str">
        <f>IF(Variaveis!A33="","",SUMPRODUCT(N(Variaveis!B33:J33),Pesos_Decisao!$B$4:$J$4))</f>
        <v/>
      </c>
      <c r="E33" s="4" t="str">
        <f>IF(Variaveis!A33="","",SUMPRODUCT(N(Variaveis!B33:J33),Pesos_Decisao!$B$5:$J$5))</f>
        <v/>
      </c>
      <c r="F33" s="4" t="str">
        <f>IF(Variaveis!A33="","",SUMPRODUCT(N(Variaveis!B33:J33),Pesos_Decisao!$B$6:$J$6))</f>
        <v/>
      </c>
      <c r="G33" s="4" t="str">
        <f>IF(Variaveis!A33="","",SUMPRODUCT(N(Variaveis!B33:J33),Pesos_Decisao!$B$7:$J$7))</f>
        <v/>
      </c>
      <c r="H33" s="4" t="str">
        <f>IF(Variaveis!A33="","",SUMPRODUCT(N(Variaveis!B33:J33),Pesos_Decisao!$B$8:$J$8))</f>
        <v/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tr">
        <f>IF(Variaveis!A34="","",Variaveis!A34)</f>
        <v/>
      </c>
      <c r="B34" s="4" t="str">
        <f>IF(Variaveis!A34="","",SUMPRODUCT(N(Variaveis!B34:J34),Pesos_Decisao!$B$2:$J$2))</f>
        <v/>
      </c>
      <c r="C34" s="4" t="str">
        <f>IF(Variaveis!A34="","",SUMPRODUCT(N(Variaveis!B34:J34),Pesos_Decisao!$B$3:$J$3))</f>
        <v/>
      </c>
      <c r="D34" s="4" t="str">
        <f>IF(Variaveis!A34="","",SUMPRODUCT(N(Variaveis!B34:J34),Pesos_Decisao!$B$4:$J$4))</f>
        <v/>
      </c>
      <c r="E34" s="4" t="str">
        <f>IF(Variaveis!A34="","",SUMPRODUCT(N(Variaveis!B34:J34),Pesos_Decisao!$B$5:$J$5))</f>
        <v/>
      </c>
      <c r="F34" s="4" t="str">
        <f>IF(Variaveis!A34="","",SUMPRODUCT(N(Variaveis!B34:J34),Pesos_Decisao!$B$6:$J$6))</f>
        <v/>
      </c>
      <c r="G34" s="4" t="str">
        <f>IF(Variaveis!A34="","",SUMPRODUCT(N(Variaveis!B34:J34),Pesos_Decisao!$B$7:$J$7))</f>
        <v/>
      </c>
      <c r="H34" s="4" t="str">
        <f>IF(Variaveis!A34="","",SUMPRODUCT(N(Variaveis!B34:J34),Pesos_Decisao!$B$8:$J$8))</f>
        <v/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tr">
        <f>IF(Variaveis!A35="","",Variaveis!A35)</f>
        <v/>
      </c>
      <c r="B35" s="4" t="str">
        <f>IF(Variaveis!A35="","",SUMPRODUCT(N(Variaveis!B35:J35),Pesos_Decisao!$B$2:$J$2))</f>
        <v/>
      </c>
      <c r="C35" s="4" t="str">
        <f>IF(Variaveis!A35="","",SUMPRODUCT(N(Variaveis!B35:J35),Pesos_Decisao!$B$3:$J$3))</f>
        <v/>
      </c>
      <c r="D35" s="4" t="str">
        <f>IF(Variaveis!A35="","",SUMPRODUCT(N(Variaveis!B35:J35),Pesos_Decisao!$B$4:$J$4))</f>
        <v/>
      </c>
      <c r="E35" s="4" t="str">
        <f>IF(Variaveis!A35="","",SUMPRODUCT(N(Variaveis!B35:J35),Pesos_Decisao!$B$5:$J$5))</f>
        <v/>
      </c>
      <c r="F35" s="4" t="str">
        <f>IF(Variaveis!A35="","",SUMPRODUCT(N(Variaveis!B35:J35),Pesos_Decisao!$B$6:$J$6))</f>
        <v/>
      </c>
      <c r="G35" s="4" t="str">
        <f>IF(Variaveis!A35="","",SUMPRODUCT(N(Variaveis!B35:J35),Pesos_Decisao!$B$7:$J$7))</f>
        <v/>
      </c>
      <c r="H35" s="4" t="str">
        <f>IF(Variaveis!A35="","",SUMPRODUCT(N(Variaveis!B35:J35),Pesos_Decisao!$B$8:$J$8))</f>
        <v/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tr">
        <f>IF(Variaveis!A36="","",Variaveis!A36)</f>
        <v/>
      </c>
      <c r="B36" s="4" t="str">
        <f>IF(Variaveis!A36="","",SUMPRODUCT(N(Variaveis!B36:J36),Pesos_Decisao!$B$2:$J$2))</f>
        <v/>
      </c>
      <c r="C36" s="4" t="str">
        <f>IF(Variaveis!A36="","",SUMPRODUCT(N(Variaveis!B36:J36),Pesos_Decisao!$B$3:$J$3))</f>
        <v/>
      </c>
      <c r="D36" s="4" t="str">
        <f>IF(Variaveis!A36="","",SUMPRODUCT(N(Variaveis!B36:J36),Pesos_Decisao!$B$4:$J$4))</f>
        <v/>
      </c>
      <c r="E36" s="4" t="str">
        <f>IF(Variaveis!A36="","",SUMPRODUCT(N(Variaveis!B36:J36),Pesos_Decisao!$B$5:$J$5))</f>
        <v/>
      </c>
      <c r="F36" s="4" t="str">
        <f>IF(Variaveis!A36="","",SUMPRODUCT(N(Variaveis!B36:J36),Pesos_Decisao!$B$6:$J$6))</f>
        <v/>
      </c>
      <c r="G36" s="4" t="str">
        <f>IF(Variaveis!A36="","",SUMPRODUCT(N(Variaveis!B36:J36),Pesos_Decisao!$B$7:$J$7))</f>
        <v/>
      </c>
      <c r="H36" s="4" t="str">
        <f>IF(Variaveis!A36="","",SUMPRODUCT(N(Variaveis!B36:J36),Pesos_Decisao!$B$8:$J$8))</f>
        <v/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tr">
        <f>IF(Variaveis!A37="","",Variaveis!A37)</f>
        <v/>
      </c>
      <c r="B37" s="4" t="str">
        <f>IF(Variaveis!A37="","",SUMPRODUCT(N(Variaveis!B37:J37),Pesos_Decisao!$B$2:$J$2))</f>
        <v/>
      </c>
      <c r="C37" s="4" t="str">
        <f>IF(Variaveis!A37="","",SUMPRODUCT(N(Variaveis!B37:J37),Pesos_Decisao!$B$3:$J$3))</f>
        <v/>
      </c>
      <c r="D37" s="4" t="str">
        <f>IF(Variaveis!A37="","",SUMPRODUCT(N(Variaveis!B37:J37),Pesos_Decisao!$B$4:$J$4))</f>
        <v/>
      </c>
      <c r="E37" s="4" t="str">
        <f>IF(Variaveis!A37="","",SUMPRODUCT(N(Variaveis!B37:J37),Pesos_Decisao!$B$5:$J$5))</f>
        <v/>
      </c>
      <c r="F37" s="4" t="str">
        <f>IF(Variaveis!A37="","",SUMPRODUCT(N(Variaveis!B37:J37),Pesos_Decisao!$B$6:$J$6))</f>
        <v/>
      </c>
      <c r="G37" s="4" t="str">
        <f>IF(Variaveis!A37="","",SUMPRODUCT(N(Variaveis!B37:J37),Pesos_Decisao!$B$7:$J$7))</f>
        <v/>
      </c>
      <c r="H37" s="4" t="str">
        <f>IF(Variaveis!A37="","",SUMPRODUCT(N(Variaveis!B37:J37),Pesos_Decisao!$B$8:$J$8))</f>
        <v/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tr">
        <f>IF(Variaveis!A38="","",Variaveis!A38)</f>
        <v/>
      </c>
      <c r="B38" s="4" t="str">
        <f>IF(Variaveis!A38="","",SUMPRODUCT(N(Variaveis!B38:J38),Pesos_Decisao!$B$2:$J$2))</f>
        <v/>
      </c>
      <c r="C38" s="4" t="str">
        <f>IF(Variaveis!A38="","",SUMPRODUCT(N(Variaveis!B38:J38),Pesos_Decisao!$B$3:$J$3))</f>
        <v/>
      </c>
      <c r="D38" s="4" t="str">
        <f>IF(Variaveis!A38="","",SUMPRODUCT(N(Variaveis!B38:J38),Pesos_Decisao!$B$4:$J$4))</f>
        <v/>
      </c>
      <c r="E38" s="4" t="str">
        <f>IF(Variaveis!A38="","",SUMPRODUCT(N(Variaveis!B38:J38),Pesos_Decisao!$B$5:$J$5))</f>
        <v/>
      </c>
      <c r="F38" s="4" t="str">
        <f>IF(Variaveis!A38="","",SUMPRODUCT(N(Variaveis!B38:J38),Pesos_Decisao!$B$6:$J$6))</f>
        <v/>
      </c>
      <c r="G38" s="4" t="str">
        <f>IF(Variaveis!A38="","",SUMPRODUCT(N(Variaveis!B38:J38),Pesos_Decisao!$B$7:$J$7))</f>
        <v/>
      </c>
      <c r="H38" s="4" t="str">
        <f>IF(Variaveis!A38="","",SUMPRODUCT(N(Variaveis!B38:J38),Pesos_Decisao!$B$8:$J$8))</f>
        <v/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tr">
        <f>IF(Variaveis!A39="","",Variaveis!A39)</f>
        <v/>
      </c>
      <c r="B39" s="4" t="str">
        <f>IF(Variaveis!A39="","",SUMPRODUCT(N(Variaveis!B39:J39),Pesos_Decisao!$B$2:$J$2))</f>
        <v/>
      </c>
      <c r="C39" s="4" t="str">
        <f>IF(Variaveis!A39="","",SUMPRODUCT(N(Variaveis!B39:J39),Pesos_Decisao!$B$3:$J$3))</f>
        <v/>
      </c>
      <c r="D39" s="4" t="str">
        <f>IF(Variaveis!A39="","",SUMPRODUCT(N(Variaveis!B39:J39),Pesos_Decisao!$B$4:$J$4))</f>
        <v/>
      </c>
      <c r="E39" s="4" t="str">
        <f>IF(Variaveis!A39="","",SUMPRODUCT(N(Variaveis!B39:J39),Pesos_Decisao!$B$5:$J$5))</f>
        <v/>
      </c>
      <c r="F39" s="4" t="str">
        <f>IF(Variaveis!A39="","",SUMPRODUCT(N(Variaveis!B39:J39),Pesos_Decisao!$B$6:$J$6))</f>
        <v/>
      </c>
      <c r="G39" s="4" t="str">
        <f>IF(Variaveis!A39="","",SUMPRODUCT(N(Variaveis!B39:J39),Pesos_Decisao!$B$7:$J$7))</f>
        <v/>
      </c>
      <c r="H39" s="4" t="str">
        <f>IF(Variaveis!A39="","",SUMPRODUCT(N(Variaveis!B39:J39),Pesos_Decisao!$B$8:$J$8))</f>
        <v/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tr">
        <f>IF(Variaveis!A40="","",Variaveis!A40)</f>
        <v/>
      </c>
      <c r="B40" s="4" t="str">
        <f>IF(Variaveis!A40="","",SUMPRODUCT(N(Variaveis!B40:J40),Pesos_Decisao!$B$2:$J$2))</f>
        <v/>
      </c>
      <c r="C40" s="4" t="str">
        <f>IF(Variaveis!A40="","",SUMPRODUCT(N(Variaveis!B40:J40),Pesos_Decisao!$B$3:$J$3))</f>
        <v/>
      </c>
      <c r="D40" s="4" t="str">
        <f>IF(Variaveis!A40="","",SUMPRODUCT(N(Variaveis!B40:J40),Pesos_Decisao!$B$4:$J$4))</f>
        <v/>
      </c>
      <c r="E40" s="4" t="str">
        <f>IF(Variaveis!A40="","",SUMPRODUCT(N(Variaveis!B40:J40),Pesos_Decisao!$B$5:$J$5))</f>
        <v/>
      </c>
      <c r="F40" s="4" t="str">
        <f>IF(Variaveis!A40="","",SUMPRODUCT(N(Variaveis!B40:J40),Pesos_Decisao!$B$6:$J$6))</f>
        <v/>
      </c>
      <c r="G40" s="4" t="str">
        <f>IF(Variaveis!A40="","",SUMPRODUCT(N(Variaveis!B40:J40),Pesos_Decisao!$B$7:$J$7))</f>
        <v/>
      </c>
      <c r="H40" s="4" t="str">
        <f>IF(Variaveis!A40="","",SUMPRODUCT(N(Variaveis!B40:J40),Pesos_Decisao!$B$8:$J$8))</f>
        <v/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tr">
        <f>IF(Variaveis!A41="","",Variaveis!A41)</f>
        <v/>
      </c>
      <c r="B41" s="4" t="str">
        <f>IF(Variaveis!A41="","",SUMPRODUCT(N(Variaveis!B41:J41),Pesos_Decisao!$B$2:$J$2))</f>
        <v/>
      </c>
      <c r="C41" s="4" t="str">
        <f>IF(Variaveis!A41="","",SUMPRODUCT(N(Variaveis!B41:J41),Pesos_Decisao!$B$3:$J$3))</f>
        <v/>
      </c>
      <c r="D41" s="4" t="str">
        <f>IF(Variaveis!A41="","",SUMPRODUCT(N(Variaveis!B41:J41),Pesos_Decisao!$B$4:$J$4))</f>
        <v/>
      </c>
      <c r="E41" s="4" t="str">
        <f>IF(Variaveis!A41="","",SUMPRODUCT(N(Variaveis!B41:J41),Pesos_Decisao!$B$5:$J$5))</f>
        <v/>
      </c>
      <c r="F41" s="4" t="str">
        <f>IF(Variaveis!A41="","",SUMPRODUCT(N(Variaveis!B41:J41),Pesos_Decisao!$B$6:$J$6))</f>
        <v/>
      </c>
      <c r="G41" s="4" t="str">
        <f>IF(Variaveis!A41="","",SUMPRODUCT(N(Variaveis!B41:J41),Pesos_Decisao!$B$7:$J$7))</f>
        <v/>
      </c>
      <c r="H41" s="4" t="str">
        <f>IF(Variaveis!A41="","",SUMPRODUCT(N(Variaveis!B41:J41),Pesos_Decisao!$B$8:$J$8))</f>
        <v/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tr">
        <f>IF(Variaveis!A42="","",Variaveis!A42)</f>
        <v/>
      </c>
      <c r="B42" s="4" t="str">
        <f>IF(Variaveis!A42="","",SUMPRODUCT(N(Variaveis!B42:J42),Pesos_Decisao!$B$2:$J$2))</f>
        <v/>
      </c>
      <c r="C42" s="4" t="str">
        <f>IF(Variaveis!A42="","",SUMPRODUCT(N(Variaveis!B42:J42),Pesos_Decisao!$B$3:$J$3))</f>
        <v/>
      </c>
      <c r="D42" s="4" t="str">
        <f>IF(Variaveis!A42="","",SUMPRODUCT(N(Variaveis!B42:J42),Pesos_Decisao!$B$4:$J$4))</f>
        <v/>
      </c>
      <c r="E42" s="4" t="str">
        <f>IF(Variaveis!A42="","",SUMPRODUCT(N(Variaveis!B42:J42),Pesos_Decisao!$B$5:$J$5))</f>
        <v/>
      </c>
      <c r="F42" s="4" t="str">
        <f>IF(Variaveis!A42="","",SUMPRODUCT(N(Variaveis!B42:J42),Pesos_Decisao!$B$6:$J$6))</f>
        <v/>
      </c>
      <c r="G42" s="4" t="str">
        <f>IF(Variaveis!A42="","",SUMPRODUCT(N(Variaveis!B42:J42),Pesos_Decisao!$B$7:$J$7))</f>
        <v/>
      </c>
      <c r="H42" s="4" t="str">
        <f>IF(Variaveis!A42="","",SUMPRODUCT(N(Variaveis!B42:J42),Pesos_Decisao!$B$8:$J$8))</f>
        <v/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tr">
        <f>IF(Variaveis!A43="","",Variaveis!A43)</f>
        <v/>
      </c>
      <c r="B43" s="4" t="str">
        <f>IF(Variaveis!A43="","",SUMPRODUCT(N(Variaveis!B43:J43),Pesos_Decisao!$B$2:$J$2))</f>
        <v/>
      </c>
      <c r="C43" s="4" t="str">
        <f>IF(Variaveis!A43="","",SUMPRODUCT(N(Variaveis!B43:J43),Pesos_Decisao!$B$3:$J$3))</f>
        <v/>
      </c>
      <c r="D43" s="4" t="str">
        <f>IF(Variaveis!A43="","",SUMPRODUCT(N(Variaveis!B43:J43),Pesos_Decisao!$B$4:$J$4))</f>
        <v/>
      </c>
      <c r="E43" s="4" t="str">
        <f>IF(Variaveis!A43="","",SUMPRODUCT(N(Variaveis!B43:J43),Pesos_Decisao!$B$5:$J$5))</f>
        <v/>
      </c>
      <c r="F43" s="4" t="str">
        <f>IF(Variaveis!A43="","",SUMPRODUCT(N(Variaveis!B43:J43),Pesos_Decisao!$B$6:$J$6))</f>
        <v/>
      </c>
      <c r="G43" s="4" t="str">
        <f>IF(Variaveis!A43="","",SUMPRODUCT(N(Variaveis!B43:J43),Pesos_Decisao!$B$7:$J$7))</f>
        <v/>
      </c>
      <c r="H43" s="4" t="str">
        <f>IF(Variaveis!A43="","",SUMPRODUCT(N(Variaveis!B43:J43),Pesos_Decisao!$B$8:$J$8))</f>
        <v/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tr">
        <f>IF(Variaveis!A44="","",Variaveis!A44)</f>
        <v/>
      </c>
      <c r="B44" s="4" t="str">
        <f>IF(Variaveis!A44="","",SUMPRODUCT(N(Variaveis!B44:J44),Pesos_Decisao!$B$2:$J$2))</f>
        <v/>
      </c>
      <c r="C44" s="4" t="str">
        <f>IF(Variaveis!A44="","",SUMPRODUCT(N(Variaveis!B44:J44),Pesos_Decisao!$B$3:$J$3))</f>
        <v/>
      </c>
      <c r="D44" s="4" t="str">
        <f>IF(Variaveis!A44="","",SUMPRODUCT(N(Variaveis!B44:J44),Pesos_Decisao!$B$4:$J$4))</f>
        <v/>
      </c>
      <c r="E44" s="4" t="str">
        <f>IF(Variaveis!A44="","",SUMPRODUCT(N(Variaveis!B44:J44),Pesos_Decisao!$B$5:$J$5))</f>
        <v/>
      </c>
      <c r="F44" s="4" t="str">
        <f>IF(Variaveis!A44="","",SUMPRODUCT(N(Variaveis!B44:J44),Pesos_Decisao!$B$6:$J$6))</f>
        <v/>
      </c>
      <c r="G44" s="4" t="str">
        <f>IF(Variaveis!A44="","",SUMPRODUCT(N(Variaveis!B44:J44),Pesos_Decisao!$B$7:$J$7))</f>
        <v/>
      </c>
      <c r="H44" s="4" t="str">
        <f>IF(Variaveis!A44="","",SUMPRODUCT(N(Variaveis!B44:J44),Pesos_Decisao!$B$8:$J$8))</f>
        <v/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tr">
        <f>IF(Variaveis!A45="","",Variaveis!A45)</f>
        <v/>
      </c>
      <c r="B45" s="4" t="str">
        <f>IF(Variaveis!A45="","",SUMPRODUCT(N(Variaveis!B45:J45),Pesos_Decisao!$B$2:$J$2))</f>
        <v/>
      </c>
      <c r="C45" s="4" t="str">
        <f>IF(Variaveis!A45="","",SUMPRODUCT(N(Variaveis!B45:J45),Pesos_Decisao!$B$3:$J$3))</f>
        <v/>
      </c>
      <c r="D45" s="4" t="str">
        <f>IF(Variaveis!A45="","",SUMPRODUCT(N(Variaveis!B45:J45),Pesos_Decisao!$B$4:$J$4))</f>
        <v/>
      </c>
      <c r="E45" s="4" t="str">
        <f>IF(Variaveis!A45="","",SUMPRODUCT(N(Variaveis!B45:J45),Pesos_Decisao!$B$5:$J$5))</f>
        <v/>
      </c>
      <c r="F45" s="4" t="str">
        <f>IF(Variaveis!A45="","",SUMPRODUCT(N(Variaveis!B45:J45),Pesos_Decisao!$B$6:$J$6))</f>
        <v/>
      </c>
      <c r="G45" s="4" t="str">
        <f>IF(Variaveis!A45="","",SUMPRODUCT(N(Variaveis!B45:J45),Pesos_Decisao!$B$7:$J$7))</f>
        <v/>
      </c>
      <c r="H45" s="4" t="str">
        <f>IF(Variaveis!A45="","",SUMPRODUCT(N(Variaveis!B45:J45),Pesos_Decisao!$B$8:$J$8))</f>
        <v/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tr">
        <f>IF(Variaveis!A46="","",Variaveis!A46)</f>
        <v/>
      </c>
      <c r="B46" s="4" t="str">
        <f>IF(Variaveis!A46="","",SUMPRODUCT(N(Variaveis!B46:J46),Pesos_Decisao!$B$2:$J$2))</f>
        <v/>
      </c>
      <c r="C46" s="4" t="str">
        <f>IF(Variaveis!A46="","",SUMPRODUCT(N(Variaveis!B46:J46),Pesos_Decisao!$B$3:$J$3))</f>
        <v/>
      </c>
      <c r="D46" s="4" t="str">
        <f>IF(Variaveis!A46="","",SUMPRODUCT(N(Variaveis!B46:J46),Pesos_Decisao!$B$4:$J$4))</f>
        <v/>
      </c>
      <c r="E46" s="4" t="str">
        <f>IF(Variaveis!A46="","",SUMPRODUCT(N(Variaveis!B46:J46),Pesos_Decisao!$B$5:$J$5))</f>
        <v/>
      </c>
      <c r="F46" s="4" t="str">
        <f>IF(Variaveis!A46="","",SUMPRODUCT(N(Variaveis!B46:J46),Pesos_Decisao!$B$6:$J$6))</f>
        <v/>
      </c>
      <c r="G46" s="4" t="str">
        <f>IF(Variaveis!A46="","",SUMPRODUCT(N(Variaveis!B46:J46),Pesos_Decisao!$B$7:$J$7))</f>
        <v/>
      </c>
      <c r="H46" s="4" t="str">
        <f>IF(Variaveis!A46="","",SUMPRODUCT(N(Variaveis!B46:J46),Pesos_Decisao!$B$8:$J$8))</f>
        <v/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tr">
        <f>IF(Variaveis!A47="","",Variaveis!A47)</f>
        <v/>
      </c>
      <c r="B47" s="4" t="str">
        <f>IF(Variaveis!A47="","",SUMPRODUCT(N(Variaveis!B47:J47),Pesos_Decisao!$B$2:$J$2))</f>
        <v/>
      </c>
      <c r="C47" s="4" t="str">
        <f>IF(Variaveis!A47="","",SUMPRODUCT(N(Variaveis!B47:J47),Pesos_Decisao!$B$3:$J$3))</f>
        <v/>
      </c>
      <c r="D47" s="4" t="str">
        <f>IF(Variaveis!A47="","",SUMPRODUCT(N(Variaveis!B47:J47),Pesos_Decisao!$B$4:$J$4))</f>
        <v/>
      </c>
      <c r="E47" s="4" t="str">
        <f>IF(Variaveis!A47="","",SUMPRODUCT(N(Variaveis!B47:J47),Pesos_Decisao!$B$5:$J$5))</f>
        <v/>
      </c>
      <c r="F47" s="4" t="str">
        <f>IF(Variaveis!A47="","",SUMPRODUCT(N(Variaveis!B47:J47),Pesos_Decisao!$B$6:$J$6))</f>
        <v/>
      </c>
      <c r="G47" s="4" t="str">
        <f>IF(Variaveis!A47="","",SUMPRODUCT(N(Variaveis!B47:J47),Pesos_Decisao!$B$7:$J$7))</f>
        <v/>
      </c>
      <c r="H47" s="4" t="str">
        <f>IF(Variaveis!A47="","",SUMPRODUCT(N(Variaveis!B47:J47),Pesos_Decisao!$B$8:$J$8))</f>
        <v/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tr">
        <f>IF(Variaveis!A48="","",Variaveis!A48)</f>
        <v/>
      </c>
      <c r="B48" s="4" t="str">
        <f>IF(Variaveis!A48="","",SUMPRODUCT(N(Variaveis!B48:J48),Pesos_Decisao!$B$2:$J$2))</f>
        <v/>
      </c>
      <c r="C48" s="4" t="str">
        <f>IF(Variaveis!A48="","",SUMPRODUCT(N(Variaveis!B48:J48),Pesos_Decisao!$B$3:$J$3))</f>
        <v/>
      </c>
      <c r="D48" s="4" t="str">
        <f>IF(Variaveis!A48="","",SUMPRODUCT(N(Variaveis!B48:J48),Pesos_Decisao!$B$4:$J$4))</f>
        <v/>
      </c>
      <c r="E48" s="4" t="str">
        <f>IF(Variaveis!A48="","",SUMPRODUCT(N(Variaveis!B48:J48),Pesos_Decisao!$B$5:$J$5))</f>
        <v/>
      </c>
      <c r="F48" s="4" t="str">
        <f>IF(Variaveis!A48="","",SUMPRODUCT(N(Variaveis!B48:J48),Pesos_Decisao!$B$6:$J$6))</f>
        <v/>
      </c>
      <c r="G48" s="4" t="str">
        <f>IF(Variaveis!A48="","",SUMPRODUCT(N(Variaveis!B48:J48),Pesos_Decisao!$B$7:$J$7))</f>
        <v/>
      </c>
      <c r="H48" s="4" t="str">
        <f>IF(Variaveis!A48="","",SUMPRODUCT(N(Variaveis!B48:J48),Pesos_Decisao!$B$8:$J$8))</f>
        <v/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tr">
        <f>IF(Variaveis!A49="","",Variaveis!A49)</f>
        <v/>
      </c>
      <c r="B49" s="4" t="str">
        <f>IF(Variaveis!A49="","",SUMPRODUCT(N(Variaveis!B49:J49),Pesos_Decisao!$B$2:$J$2))</f>
        <v/>
      </c>
      <c r="C49" s="4" t="str">
        <f>IF(Variaveis!A49="","",SUMPRODUCT(N(Variaveis!B49:J49),Pesos_Decisao!$B$3:$J$3))</f>
        <v/>
      </c>
      <c r="D49" s="4" t="str">
        <f>IF(Variaveis!A49="","",SUMPRODUCT(N(Variaveis!B49:J49),Pesos_Decisao!$B$4:$J$4))</f>
        <v/>
      </c>
      <c r="E49" s="4" t="str">
        <f>IF(Variaveis!A49="","",SUMPRODUCT(N(Variaveis!B49:J49),Pesos_Decisao!$B$5:$J$5))</f>
        <v/>
      </c>
      <c r="F49" s="4" t="str">
        <f>IF(Variaveis!A49="","",SUMPRODUCT(N(Variaveis!B49:J49),Pesos_Decisao!$B$6:$J$6))</f>
        <v/>
      </c>
      <c r="G49" s="4" t="str">
        <f>IF(Variaveis!A49="","",SUMPRODUCT(N(Variaveis!B49:J49),Pesos_Decisao!$B$7:$J$7))</f>
        <v/>
      </c>
      <c r="H49" s="4" t="str">
        <f>IF(Variaveis!A49="","",SUMPRODUCT(N(Variaveis!B49:J49),Pesos_Decisao!$B$8:$J$8))</f>
        <v/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tr">
        <f>IF(Variaveis!A50="","",Variaveis!A50)</f>
        <v/>
      </c>
      <c r="B50" s="4" t="str">
        <f>IF(Variaveis!A50="","",SUMPRODUCT(N(Variaveis!B50:J50),Pesos_Decisao!$B$2:$J$2))</f>
        <v/>
      </c>
      <c r="C50" s="4" t="str">
        <f>IF(Variaveis!A50="","",SUMPRODUCT(N(Variaveis!B50:J50),Pesos_Decisao!$B$3:$J$3))</f>
        <v/>
      </c>
      <c r="D50" s="4" t="str">
        <f>IF(Variaveis!A50="","",SUMPRODUCT(N(Variaveis!B50:J50),Pesos_Decisao!$B$4:$J$4))</f>
        <v/>
      </c>
      <c r="E50" s="4" t="str">
        <f>IF(Variaveis!A50="","",SUMPRODUCT(N(Variaveis!B50:J50),Pesos_Decisao!$B$5:$J$5))</f>
        <v/>
      </c>
      <c r="F50" s="4" t="str">
        <f>IF(Variaveis!A50="","",SUMPRODUCT(N(Variaveis!B50:J50),Pesos_Decisao!$B$6:$J$6))</f>
        <v/>
      </c>
      <c r="G50" s="4" t="str">
        <f>IF(Variaveis!A50="","",SUMPRODUCT(N(Variaveis!B50:J50),Pesos_Decisao!$B$7:$J$7))</f>
        <v/>
      </c>
      <c r="H50" s="4" t="str">
        <f>IF(Variaveis!A50="","",SUMPRODUCT(N(Variaveis!B50:J50),Pesos_Decisao!$B$8:$J$8))</f>
        <v/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tr">
        <f>IF(Variaveis!A51="","",Variaveis!A51)</f>
        <v/>
      </c>
      <c r="B51" s="4" t="str">
        <f>IF(Variaveis!A51="","",SUMPRODUCT(N(Variaveis!B51:J51),Pesos_Decisao!$B$2:$J$2))</f>
        <v/>
      </c>
      <c r="C51" s="4" t="str">
        <f>IF(Variaveis!A51="","",SUMPRODUCT(N(Variaveis!B51:J51),Pesos_Decisao!$B$3:$J$3))</f>
        <v/>
      </c>
      <c r="D51" s="4" t="str">
        <f>IF(Variaveis!A51="","",SUMPRODUCT(N(Variaveis!B51:J51),Pesos_Decisao!$B$4:$J$4))</f>
        <v/>
      </c>
      <c r="E51" s="4" t="str">
        <f>IF(Variaveis!A51="","",SUMPRODUCT(N(Variaveis!B51:J51),Pesos_Decisao!$B$5:$J$5))</f>
        <v/>
      </c>
      <c r="F51" s="4" t="str">
        <f>IF(Variaveis!A51="","",SUMPRODUCT(N(Variaveis!B51:J51),Pesos_Decisao!$B$6:$J$6))</f>
        <v/>
      </c>
      <c r="G51" s="4" t="str">
        <f>IF(Variaveis!A51="","",SUMPRODUCT(N(Variaveis!B51:J51),Pesos_Decisao!$B$7:$J$7))</f>
        <v/>
      </c>
      <c r="H51" s="4" t="str">
        <f>IF(Variaveis!A51="","",SUMPRODUCT(N(Variaveis!B51:J51),Pesos_Decisao!$B$8:$J$8))</f>
        <v/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tr">
        <f>IF(Variaveis!A52="","",Variaveis!A52)</f>
        <v/>
      </c>
      <c r="B52" s="4" t="str">
        <f>IF(Variaveis!A52="","",SUMPRODUCT(N(Variaveis!B52:J52),Pesos_Decisao!$B$2:$J$2))</f>
        <v/>
      </c>
      <c r="C52" s="4" t="str">
        <f>IF(Variaveis!A52="","",SUMPRODUCT(N(Variaveis!B52:J52),Pesos_Decisao!$B$3:$J$3))</f>
        <v/>
      </c>
      <c r="D52" s="4" t="str">
        <f>IF(Variaveis!A52="","",SUMPRODUCT(N(Variaveis!B52:J52),Pesos_Decisao!$B$4:$J$4))</f>
        <v/>
      </c>
      <c r="E52" s="4" t="str">
        <f>IF(Variaveis!A52="","",SUMPRODUCT(N(Variaveis!B52:J52),Pesos_Decisao!$B$5:$J$5))</f>
        <v/>
      </c>
      <c r="F52" s="4" t="str">
        <f>IF(Variaveis!A52="","",SUMPRODUCT(N(Variaveis!B52:J52),Pesos_Decisao!$B$6:$J$6))</f>
        <v/>
      </c>
      <c r="G52" s="4" t="str">
        <f>IF(Variaveis!A52="","",SUMPRODUCT(N(Variaveis!B52:J52),Pesos_Decisao!$B$7:$J$7))</f>
        <v/>
      </c>
      <c r="H52" s="4" t="str">
        <f>IF(Variaveis!A52="","",SUMPRODUCT(N(Variaveis!B52:J52),Pesos_Decisao!$B$8:$J$8))</f>
        <v/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tr">
        <f>IF(Variaveis!A53="","",Variaveis!A53)</f>
        <v/>
      </c>
      <c r="B53" s="4" t="str">
        <f>IF(Variaveis!A53="","",SUMPRODUCT(N(Variaveis!B53:J53),Pesos_Decisao!$B$2:$J$2))</f>
        <v/>
      </c>
      <c r="C53" s="4" t="str">
        <f>IF(Variaveis!A53="","",SUMPRODUCT(N(Variaveis!B53:J53),Pesos_Decisao!$B$3:$J$3))</f>
        <v/>
      </c>
      <c r="D53" s="4" t="str">
        <f>IF(Variaveis!A53="","",SUMPRODUCT(N(Variaveis!B53:J53),Pesos_Decisao!$B$4:$J$4))</f>
        <v/>
      </c>
      <c r="E53" s="4" t="str">
        <f>IF(Variaveis!A53="","",SUMPRODUCT(N(Variaveis!B53:J53),Pesos_Decisao!$B$5:$J$5))</f>
        <v/>
      </c>
      <c r="F53" s="4" t="str">
        <f>IF(Variaveis!A53="","",SUMPRODUCT(N(Variaveis!B53:J53),Pesos_Decisao!$B$6:$J$6))</f>
        <v/>
      </c>
      <c r="G53" s="4" t="str">
        <f>IF(Variaveis!A53="","",SUMPRODUCT(N(Variaveis!B53:J53),Pesos_Decisao!$B$7:$J$7))</f>
        <v/>
      </c>
      <c r="H53" s="4" t="str">
        <f>IF(Variaveis!A53="","",SUMPRODUCT(N(Variaveis!B53:J53),Pesos_Decisao!$B$8:$J$8))</f>
        <v/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tr">
        <f>IF(Variaveis!A54="","",Variaveis!A54)</f>
        <v/>
      </c>
      <c r="B54" s="4" t="str">
        <f>IF(Variaveis!A54="","",SUMPRODUCT(N(Variaveis!B54:J54),Pesos_Decisao!$B$2:$J$2))</f>
        <v/>
      </c>
      <c r="C54" s="4" t="str">
        <f>IF(Variaveis!A54="","",SUMPRODUCT(N(Variaveis!B54:J54),Pesos_Decisao!$B$3:$J$3))</f>
        <v/>
      </c>
      <c r="D54" s="4" t="str">
        <f>IF(Variaveis!A54="","",SUMPRODUCT(N(Variaveis!B54:J54),Pesos_Decisao!$B$4:$J$4))</f>
        <v/>
      </c>
      <c r="E54" s="4" t="str">
        <f>IF(Variaveis!A54="","",SUMPRODUCT(N(Variaveis!B54:J54),Pesos_Decisao!$B$5:$J$5))</f>
        <v/>
      </c>
      <c r="F54" s="4" t="str">
        <f>IF(Variaveis!A54="","",SUMPRODUCT(N(Variaveis!B54:J54),Pesos_Decisao!$B$6:$J$6))</f>
        <v/>
      </c>
      <c r="G54" s="4" t="str">
        <f>IF(Variaveis!A54="","",SUMPRODUCT(N(Variaveis!B54:J54),Pesos_Decisao!$B$7:$J$7))</f>
        <v/>
      </c>
      <c r="H54" s="4" t="str">
        <f>IF(Variaveis!A54="","",SUMPRODUCT(N(Variaveis!B54:J54),Pesos_Decisao!$B$8:$J$8))</f>
        <v/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tr">
        <f>IF(Variaveis!A55="","",Variaveis!A55)</f>
        <v/>
      </c>
      <c r="B55" s="4" t="str">
        <f>IF(Variaveis!A55="","",SUMPRODUCT(N(Variaveis!B55:J55),Pesos_Decisao!$B$2:$J$2))</f>
        <v/>
      </c>
      <c r="C55" s="4" t="str">
        <f>IF(Variaveis!A55="","",SUMPRODUCT(N(Variaveis!B55:J55),Pesos_Decisao!$B$3:$J$3))</f>
        <v/>
      </c>
      <c r="D55" s="4" t="str">
        <f>IF(Variaveis!A55="","",SUMPRODUCT(N(Variaveis!B55:J55),Pesos_Decisao!$B$4:$J$4))</f>
        <v/>
      </c>
      <c r="E55" s="4" t="str">
        <f>IF(Variaveis!A55="","",SUMPRODUCT(N(Variaveis!B55:J55),Pesos_Decisao!$B$5:$J$5))</f>
        <v/>
      </c>
      <c r="F55" s="4" t="str">
        <f>IF(Variaveis!A55="","",SUMPRODUCT(N(Variaveis!B55:J55),Pesos_Decisao!$B$6:$J$6))</f>
        <v/>
      </c>
      <c r="G55" s="4" t="str">
        <f>IF(Variaveis!A55="","",SUMPRODUCT(N(Variaveis!B55:J55),Pesos_Decisao!$B$7:$J$7))</f>
        <v/>
      </c>
      <c r="H55" s="4" t="str">
        <f>IF(Variaveis!A55="","",SUMPRODUCT(N(Variaveis!B55:J55),Pesos_Decisao!$B$8:$J$8))</f>
        <v/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tr">
        <f>IF(Variaveis!A56="","",Variaveis!A56)</f>
        <v/>
      </c>
      <c r="B56" s="4" t="str">
        <f>IF(Variaveis!A56="","",SUMPRODUCT(N(Variaveis!B56:J56),Pesos_Decisao!$B$2:$J$2))</f>
        <v/>
      </c>
      <c r="C56" s="4" t="str">
        <f>IF(Variaveis!A56="","",SUMPRODUCT(N(Variaveis!B56:J56),Pesos_Decisao!$B$3:$J$3))</f>
        <v/>
      </c>
      <c r="D56" s="4" t="str">
        <f>IF(Variaveis!A56="","",SUMPRODUCT(N(Variaveis!B56:J56),Pesos_Decisao!$B$4:$J$4))</f>
        <v/>
      </c>
      <c r="E56" s="4" t="str">
        <f>IF(Variaveis!A56="","",SUMPRODUCT(N(Variaveis!B56:J56),Pesos_Decisao!$B$5:$J$5))</f>
        <v/>
      </c>
      <c r="F56" s="4" t="str">
        <f>IF(Variaveis!A56="","",SUMPRODUCT(N(Variaveis!B56:J56),Pesos_Decisao!$B$6:$J$6))</f>
        <v/>
      </c>
      <c r="G56" s="4" t="str">
        <f>IF(Variaveis!A56="","",SUMPRODUCT(N(Variaveis!B56:J56),Pesos_Decisao!$B$7:$J$7))</f>
        <v/>
      </c>
      <c r="H56" s="4" t="str">
        <f>IF(Variaveis!A56="","",SUMPRODUCT(N(Variaveis!B56:J56),Pesos_Decisao!$B$8:$J$8))</f>
        <v/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tr">
        <f>IF(Variaveis!A57="","",Variaveis!A57)</f>
        <v/>
      </c>
      <c r="B57" s="4" t="str">
        <f>IF(Variaveis!A57="","",SUMPRODUCT(N(Variaveis!B57:J57),Pesos_Decisao!$B$2:$J$2))</f>
        <v/>
      </c>
      <c r="C57" s="4" t="str">
        <f>IF(Variaveis!A57="","",SUMPRODUCT(N(Variaveis!B57:J57),Pesos_Decisao!$B$3:$J$3))</f>
        <v/>
      </c>
      <c r="D57" s="4" t="str">
        <f>IF(Variaveis!A57="","",SUMPRODUCT(N(Variaveis!B57:J57),Pesos_Decisao!$B$4:$J$4))</f>
        <v/>
      </c>
      <c r="E57" s="4" t="str">
        <f>IF(Variaveis!A57="","",SUMPRODUCT(N(Variaveis!B57:J57),Pesos_Decisao!$B$5:$J$5))</f>
        <v/>
      </c>
      <c r="F57" s="4" t="str">
        <f>IF(Variaveis!A57="","",SUMPRODUCT(N(Variaveis!B57:J57),Pesos_Decisao!$B$6:$J$6))</f>
        <v/>
      </c>
      <c r="G57" s="4" t="str">
        <f>IF(Variaveis!A57="","",SUMPRODUCT(N(Variaveis!B57:J57),Pesos_Decisao!$B$7:$J$7))</f>
        <v/>
      </c>
      <c r="H57" s="4" t="str">
        <f>IF(Variaveis!A57="","",SUMPRODUCT(N(Variaveis!B57:J57),Pesos_Decisao!$B$8:$J$8))</f>
        <v/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tr">
        <f>IF(Variaveis!A58="","",Variaveis!A58)</f>
        <v/>
      </c>
      <c r="B58" s="4" t="str">
        <f>IF(Variaveis!A58="","",SUMPRODUCT(N(Variaveis!B58:J58),Pesos_Decisao!$B$2:$J$2))</f>
        <v/>
      </c>
      <c r="C58" s="4" t="str">
        <f>IF(Variaveis!A58="","",SUMPRODUCT(N(Variaveis!B58:J58),Pesos_Decisao!$B$3:$J$3))</f>
        <v/>
      </c>
      <c r="D58" s="4" t="str">
        <f>IF(Variaveis!A58="","",SUMPRODUCT(N(Variaveis!B58:J58),Pesos_Decisao!$B$4:$J$4))</f>
        <v/>
      </c>
      <c r="E58" s="4" t="str">
        <f>IF(Variaveis!A58="","",SUMPRODUCT(N(Variaveis!B58:J58),Pesos_Decisao!$B$5:$J$5))</f>
        <v/>
      </c>
      <c r="F58" s="4" t="str">
        <f>IF(Variaveis!A58="","",SUMPRODUCT(N(Variaveis!B58:J58),Pesos_Decisao!$B$6:$J$6))</f>
        <v/>
      </c>
      <c r="G58" s="4" t="str">
        <f>IF(Variaveis!A58="","",SUMPRODUCT(N(Variaveis!B58:J58),Pesos_Decisao!$B$7:$J$7))</f>
        <v/>
      </c>
      <c r="H58" s="4" t="str">
        <f>IF(Variaveis!A58="","",SUMPRODUCT(N(Variaveis!B58:J58),Pesos_Decisao!$B$8:$J$8))</f>
        <v/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tr">
        <f>IF(Variaveis!A59="","",Variaveis!A59)</f>
        <v/>
      </c>
      <c r="B59" s="4" t="str">
        <f>IF(Variaveis!A59="","",SUMPRODUCT(N(Variaveis!B59:J59),Pesos_Decisao!$B$2:$J$2))</f>
        <v/>
      </c>
      <c r="C59" s="4" t="str">
        <f>IF(Variaveis!A59="","",SUMPRODUCT(N(Variaveis!B59:J59),Pesos_Decisao!$B$3:$J$3))</f>
        <v/>
      </c>
      <c r="D59" s="4" t="str">
        <f>IF(Variaveis!A59="","",SUMPRODUCT(N(Variaveis!B59:J59),Pesos_Decisao!$B$4:$J$4))</f>
        <v/>
      </c>
      <c r="E59" s="4" t="str">
        <f>IF(Variaveis!A59="","",SUMPRODUCT(N(Variaveis!B59:J59),Pesos_Decisao!$B$5:$J$5))</f>
        <v/>
      </c>
      <c r="F59" s="4" t="str">
        <f>IF(Variaveis!A59="","",SUMPRODUCT(N(Variaveis!B59:J59),Pesos_Decisao!$B$6:$J$6))</f>
        <v/>
      </c>
      <c r="G59" s="4" t="str">
        <f>IF(Variaveis!A59="","",SUMPRODUCT(N(Variaveis!B59:J59),Pesos_Decisao!$B$7:$J$7))</f>
        <v/>
      </c>
      <c r="H59" s="4" t="str">
        <f>IF(Variaveis!A59="","",SUMPRODUCT(N(Variaveis!B59:J59),Pesos_Decisao!$B$8:$J$8))</f>
        <v/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tr">
        <f>IF(Variaveis!A60="","",Variaveis!A60)</f>
        <v/>
      </c>
      <c r="B60" s="4" t="str">
        <f>IF(Variaveis!A60="","",SUMPRODUCT(N(Variaveis!B60:J60),Pesos_Decisao!$B$2:$J$2))</f>
        <v/>
      </c>
      <c r="C60" s="4" t="str">
        <f>IF(Variaveis!A60="","",SUMPRODUCT(N(Variaveis!B60:J60),Pesos_Decisao!$B$3:$J$3))</f>
        <v/>
      </c>
      <c r="D60" s="4" t="str">
        <f>IF(Variaveis!A60="","",SUMPRODUCT(N(Variaveis!B60:J60),Pesos_Decisao!$B$4:$J$4))</f>
        <v/>
      </c>
      <c r="E60" s="4" t="str">
        <f>IF(Variaveis!A60="","",SUMPRODUCT(N(Variaveis!B60:J60),Pesos_Decisao!$B$5:$J$5))</f>
        <v/>
      </c>
      <c r="F60" s="4" t="str">
        <f>IF(Variaveis!A60="","",SUMPRODUCT(N(Variaveis!B60:J60),Pesos_Decisao!$B$6:$J$6))</f>
        <v/>
      </c>
      <c r="G60" s="4" t="str">
        <f>IF(Variaveis!A60="","",SUMPRODUCT(N(Variaveis!B60:J60),Pesos_Decisao!$B$7:$J$7))</f>
        <v/>
      </c>
      <c r="H60" s="4" t="str">
        <f>IF(Variaveis!A60="","",SUMPRODUCT(N(Variaveis!B60:J60),Pesos_Decisao!$B$8:$J$8))</f>
        <v/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tr">
        <f>IF(Variaveis!A61="","",Variaveis!A61)</f>
        <v/>
      </c>
      <c r="B61" s="4" t="str">
        <f>IF(Variaveis!A61="","",SUMPRODUCT(N(Variaveis!B61:J61),Pesos_Decisao!$B$2:$J$2))</f>
        <v/>
      </c>
      <c r="C61" s="4" t="str">
        <f>IF(Variaveis!A61="","",SUMPRODUCT(N(Variaveis!B61:J61),Pesos_Decisao!$B$3:$J$3))</f>
        <v/>
      </c>
      <c r="D61" s="4" t="str">
        <f>IF(Variaveis!A61="","",SUMPRODUCT(N(Variaveis!B61:J61),Pesos_Decisao!$B$4:$J$4))</f>
        <v/>
      </c>
      <c r="E61" s="4" t="str">
        <f>IF(Variaveis!A61="","",SUMPRODUCT(N(Variaveis!B61:J61),Pesos_Decisao!$B$5:$J$5))</f>
        <v/>
      </c>
      <c r="F61" s="4" t="str">
        <f>IF(Variaveis!A61="","",SUMPRODUCT(N(Variaveis!B61:J61),Pesos_Decisao!$B$6:$J$6))</f>
        <v/>
      </c>
      <c r="G61" s="4" t="str">
        <f>IF(Variaveis!A61="","",SUMPRODUCT(N(Variaveis!B61:J61),Pesos_Decisao!$B$7:$J$7))</f>
        <v/>
      </c>
      <c r="H61" s="4" t="str">
        <f>IF(Variaveis!A61="","",SUMPRODUCT(N(Variaveis!B61:J61),Pesos_Decisao!$B$8:$J$8))</f>
        <v/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tr">
        <f>IF(Variaveis!A62="","",Variaveis!A62)</f>
        <v/>
      </c>
      <c r="B62" s="4" t="str">
        <f>IF(Variaveis!A62="","",SUMPRODUCT(N(Variaveis!B62:J62),Pesos_Decisao!$B$2:$J$2))</f>
        <v/>
      </c>
      <c r="C62" s="4" t="str">
        <f>IF(Variaveis!A62="","",SUMPRODUCT(N(Variaveis!B62:J62),Pesos_Decisao!$B$3:$J$3))</f>
        <v/>
      </c>
      <c r="D62" s="4" t="str">
        <f>IF(Variaveis!A62="","",SUMPRODUCT(N(Variaveis!B62:J62),Pesos_Decisao!$B$4:$J$4))</f>
        <v/>
      </c>
      <c r="E62" s="4" t="str">
        <f>IF(Variaveis!A62="","",SUMPRODUCT(N(Variaveis!B62:J62),Pesos_Decisao!$B$5:$J$5))</f>
        <v/>
      </c>
      <c r="F62" s="4" t="str">
        <f>IF(Variaveis!A62="","",SUMPRODUCT(N(Variaveis!B62:J62),Pesos_Decisao!$B$6:$J$6))</f>
        <v/>
      </c>
      <c r="G62" s="4" t="str">
        <f>IF(Variaveis!A62="","",SUMPRODUCT(N(Variaveis!B62:J62),Pesos_Decisao!$B$7:$J$7))</f>
        <v/>
      </c>
      <c r="H62" s="4" t="str">
        <f>IF(Variaveis!A62="","",SUMPRODUCT(N(Variaveis!B62:J62),Pesos_Decisao!$B$8:$J$8))</f>
        <v/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tr">
        <f>IF(Variaveis!A63="","",Variaveis!A63)</f>
        <v/>
      </c>
      <c r="B63" s="4" t="str">
        <f>IF(Variaveis!A63="","",SUMPRODUCT(N(Variaveis!B63:J63),Pesos_Decisao!$B$2:$J$2))</f>
        <v/>
      </c>
      <c r="C63" s="4" t="str">
        <f>IF(Variaveis!A63="","",SUMPRODUCT(N(Variaveis!B63:J63),Pesos_Decisao!$B$3:$J$3))</f>
        <v/>
      </c>
      <c r="D63" s="4" t="str">
        <f>IF(Variaveis!A63="","",SUMPRODUCT(N(Variaveis!B63:J63),Pesos_Decisao!$B$4:$J$4))</f>
        <v/>
      </c>
      <c r="E63" s="4" t="str">
        <f>IF(Variaveis!A63="","",SUMPRODUCT(N(Variaveis!B63:J63),Pesos_Decisao!$B$5:$J$5))</f>
        <v/>
      </c>
      <c r="F63" s="4" t="str">
        <f>IF(Variaveis!A63="","",SUMPRODUCT(N(Variaveis!B63:J63),Pesos_Decisao!$B$6:$J$6))</f>
        <v/>
      </c>
      <c r="G63" s="4" t="str">
        <f>IF(Variaveis!A63="","",SUMPRODUCT(N(Variaveis!B63:J63),Pesos_Decisao!$B$7:$J$7))</f>
        <v/>
      </c>
      <c r="H63" s="4" t="str">
        <f>IF(Variaveis!A63="","",SUMPRODUCT(N(Variaveis!B63:J63),Pesos_Decisao!$B$8:$J$8))</f>
        <v/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tr">
        <f>IF(Variaveis!A64="","",Variaveis!A64)</f>
        <v/>
      </c>
      <c r="B64" s="4" t="str">
        <f>IF(Variaveis!A64="","",SUMPRODUCT(N(Variaveis!B64:J64),Pesos_Decisao!$B$2:$J$2))</f>
        <v/>
      </c>
      <c r="C64" s="4" t="str">
        <f>IF(Variaveis!A64="","",SUMPRODUCT(N(Variaveis!B64:J64),Pesos_Decisao!$B$3:$J$3))</f>
        <v/>
      </c>
      <c r="D64" s="4" t="str">
        <f>IF(Variaveis!A64="","",SUMPRODUCT(N(Variaveis!B64:J64),Pesos_Decisao!$B$4:$J$4))</f>
        <v/>
      </c>
      <c r="E64" s="4" t="str">
        <f>IF(Variaveis!A64="","",SUMPRODUCT(N(Variaveis!B64:J64),Pesos_Decisao!$B$5:$J$5))</f>
        <v/>
      </c>
      <c r="F64" s="4" t="str">
        <f>IF(Variaveis!A64="","",SUMPRODUCT(N(Variaveis!B64:J64),Pesos_Decisao!$B$6:$J$6))</f>
        <v/>
      </c>
      <c r="G64" s="4" t="str">
        <f>IF(Variaveis!A64="","",SUMPRODUCT(N(Variaveis!B64:J64),Pesos_Decisao!$B$7:$J$7))</f>
        <v/>
      </c>
      <c r="H64" s="4" t="str">
        <f>IF(Variaveis!A64="","",SUMPRODUCT(N(Variaveis!B64:J64),Pesos_Decisao!$B$8:$J$8))</f>
        <v/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tr">
        <f>IF(Variaveis!A65="","",Variaveis!A65)</f>
        <v/>
      </c>
      <c r="B65" s="4" t="str">
        <f>IF(Variaveis!A65="","",SUMPRODUCT(N(Variaveis!B65:J65),Pesos_Decisao!$B$2:$J$2))</f>
        <v/>
      </c>
      <c r="C65" s="4" t="str">
        <f>IF(Variaveis!A65="","",SUMPRODUCT(N(Variaveis!B65:J65),Pesos_Decisao!$B$3:$J$3))</f>
        <v/>
      </c>
      <c r="D65" s="4" t="str">
        <f>IF(Variaveis!A65="","",SUMPRODUCT(N(Variaveis!B65:J65),Pesos_Decisao!$B$4:$J$4))</f>
        <v/>
      </c>
      <c r="E65" s="4" t="str">
        <f>IF(Variaveis!A65="","",SUMPRODUCT(N(Variaveis!B65:J65),Pesos_Decisao!$B$5:$J$5))</f>
        <v/>
      </c>
      <c r="F65" s="4" t="str">
        <f>IF(Variaveis!A65="","",SUMPRODUCT(N(Variaveis!B65:J65),Pesos_Decisao!$B$6:$J$6))</f>
        <v/>
      </c>
      <c r="G65" s="4" t="str">
        <f>IF(Variaveis!A65="","",SUMPRODUCT(N(Variaveis!B65:J65),Pesos_Decisao!$B$7:$J$7))</f>
        <v/>
      </c>
      <c r="H65" s="4" t="str">
        <f>IF(Variaveis!A65="","",SUMPRODUCT(N(Variaveis!B65:J65),Pesos_Decisao!$B$8:$J$8))</f>
        <v/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tr">
        <f>IF(Variaveis!A66="","",Variaveis!A66)</f>
        <v/>
      </c>
      <c r="B66" s="4" t="str">
        <f>IF(Variaveis!A66="","",SUMPRODUCT(N(Variaveis!B66:J66),Pesos_Decisao!$B$2:$J$2))</f>
        <v/>
      </c>
      <c r="C66" s="4" t="str">
        <f>IF(Variaveis!A66="","",SUMPRODUCT(N(Variaveis!B66:J66),Pesos_Decisao!$B$3:$J$3))</f>
        <v/>
      </c>
      <c r="D66" s="4" t="str">
        <f>IF(Variaveis!A66="","",SUMPRODUCT(N(Variaveis!B66:J66),Pesos_Decisao!$B$4:$J$4))</f>
        <v/>
      </c>
      <c r="E66" s="4" t="str">
        <f>IF(Variaveis!A66="","",SUMPRODUCT(N(Variaveis!B66:J66),Pesos_Decisao!$B$5:$J$5))</f>
        <v/>
      </c>
      <c r="F66" s="4" t="str">
        <f>IF(Variaveis!A66="","",SUMPRODUCT(N(Variaveis!B66:J66),Pesos_Decisao!$B$6:$J$6))</f>
        <v/>
      </c>
      <c r="G66" s="4" t="str">
        <f>IF(Variaveis!A66="","",SUMPRODUCT(N(Variaveis!B66:J66),Pesos_Decisao!$B$7:$J$7))</f>
        <v/>
      </c>
      <c r="H66" s="4" t="str">
        <f>IF(Variaveis!A66="","",SUMPRODUCT(N(Variaveis!B66:J66),Pesos_Decisao!$B$8:$J$8))</f>
        <v/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tr">
        <f>IF(Variaveis!A67="","",Variaveis!A67)</f>
        <v/>
      </c>
      <c r="B67" s="4" t="str">
        <f>IF(Variaveis!A67="","",SUMPRODUCT(N(Variaveis!B67:J67),Pesos_Decisao!$B$2:$J$2))</f>
        <v/>
      </c>
      <c r="C67" s="4" t="str">
        <f>IF(Variaveis!A67="","",SUMPRODUCT(N(Variaveis!B67:J67),Pesos_Decisao!$B$3:$J$3))</f>
        <v/>
      </c>
      <c r="D67" s="4" t="str">
        <f>IF(Variaveis!A67="","",SUMPRODUCT(N(Variaveis!B67:J67),Pesos_Decisao!$B$4:$J$4))</f>
        <v/>
      </c>
      <c r="E67" s="4" t="str">
        <f>IF(Variaveis!A67="","",SUMPRODUCT(N(Variaveis!B67:J67),Pesos_Decisao!$B$5:$J$5))</f>
        <v/>
      </c>
      <c r="F67" s="4" t="str">
        <f>IF(Variaveis!A67="","",SUMPRODUCT(N(Variaveis!B67:J67),Pesos_Decisao!$B$6:$J$6))</f>
        <v/>
      </c>
      <c r="G67" s="4" t="str">
        <f>IF(Variaveis!A67="","",SUMPRODUCT(N(Variaveis!B67:J67),Pesos_Decisao!$B$7:$J$7))</f>
        <v/>
      </c>
      <c r="H67" s="4" t="str">
        <f>IF(Variaveis!A67="","",SUMPRODUCT(N(Variaveis!B67:J67),Pesos_Decisao!$B$8:$J$8))</f>
        <v/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tr">
        <f>IF(Variaveis!A68="","",Variaveis!A68)</f>
        <v/>
      </c>
      <c r="B68" s="4" t="str">
        <f>IF(Variaveis!A68="","",SUMPRODUCT(N(Variaveis!B68:J68),Pesos_Decisao!$B$2:$J$2))</f>
        <v/>
      </c>
      <c r="C68" s="4" t="str">
        <f>IF(Variaveis!A68="","",SUMPRODUCT(N(Variaveis!B68:J68),Pesos_Decisao!$B$3:$J$3))</f>
        <v/>
      </c>
      <c r="D68" s="4" t="str">
        <f>IF(Variaveis!A68="","",SUMPRODUCT(N(Variaveis!B68:J68),Pesos_Decisao!$B$4:$J$4))</f>
        <v/>
      </c>
      <c r="E68" s="4" t="str">
        <f>IF(Variaveis!A68="","",SUMPRODUCT(N(Variaveis!B68:J68),Pesos_Decisao!$B$5:$J$5))</f>
        <v/>
      </c>
      <c r="F68" s="4" t="str">
        <f>IF(Variaveis!A68="","",SUMPRODUCT(N(Variaveis!B68:J68),Pesos_Decisao!$B$6:$J$6))</f>
        <v/>
      </c>
      <c r="G68" s="4" t="str">
        <f>IF(Variaveis!A68="","",SUMPRODUCT(N(Variaveis!B68:J68),Pesos_Decisao!$B$7:$J$7))</f>
        <v/>
      </c>
      <c r="H68" s="4" t="str">
        <f>IF(Variaveis!A68="","",SUMPRODUCT(N(Variaveis!B68:J68),Pesos_Decisao!$B$8:$J$8))</f>
        <v/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tr">
        <f>IF(Variaveis!A69="","",Variaveis!A69)</f>
        <v/>
      </c>
      <c r="B69" s="4" t="str">
        <f>IF(Variaveis!A69="","",SUMPRODUCT(N(Variaveis!B69:J69),Pesos_Decisao!$B$2:$J$2))</f>
        <v/>
      </c>
      <c r="C69" s="4" t="str">
        <f>IF(Variaveis!A69="","",SUMPRODUCT(N(Variaveis!B69:J69),Pesos_Decisao!$B$3:$J$3))</f>
        <v/>
      </c>
      <c r="D69" s="4" t="str">
        <f>IF(Variaveis!A69="","",SUMPRODUCT(N(Variaveis!B69:J69),Pesos_Decisao!$B$4:$J$4))</f>
        <v/>
      </c>
      <c r="E69" s="4" t="str">
        <f>IF(Variaveis!A69="","",SUMPRODUCT(N(Variaveis!B69:J69),Pesos_Decisao!$B$5:$J$5))</f>
        <v/>
      </c>
      <c r="F69" s="4" t="str">
        <f>IF(Variaveis!A69="","",SUMPRODUCT(N(Variaveis!B69:J69),Pesos_Decisao!$B$6:$J$6))</f>
        <v/>
      </c>
      <c r="G69" s="4" t="str">
        <f>IF(Variaveis!A69="","",SUMPRODUCT(N(Variaveis!B69:J69),Pesos_Decisao!$B$7:$J$7))</f>
        <v/>
      </c>
      <c r="H69" s="4" t="str">
        <f>IF(Variaveis!A69="","",SUMPRODUCT(N(Variaveis!B69:J69),Pesos_Decisao!$B$8:$J$8))</f>
        <v/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tr">
        <f>IF(Variaveis!A70="","",Variaveis!A70)</f>
        <v/>
      </c>
      <c r="B70" s="4" t="str">
        <f>IF(Variaveis!A70="","",SUMPRODUCT(N(Variaveis!B70:J70),Pesos_Decisao!$B$2:$J$2))</f>
        <v/>
      </c>
      <c r="C70" s="4" t="str">
        <f>IF(Variaveis!A70="","",SUMPRODUCT(N(Variaveis!B70:J70),Pesos_Decisao!$B$3:$J$3))</f>
        <v/>
      </c>
      <c r="D70" s="4" t="str">
        <f>IF(Variaveis!A70="","",SUMPRODUCT(N(Variaveis!B70:J70),Pesos_Decisao!$B$4:$J$4))</f>
        <v/>
      </c>
      <c r="E70" s="4" t="str">
        <f>IF(Variaveis!A70="","",SUMPRODUCT(N(Variaveis!B70:J70),Pesos_Decisao!$B$5:$J$5))</f>
        <v/>
      </c>
      <c r="F70" s="4" t="str">
        <f>IF(Variaveis!A70="","",SUMPRODUCT(N(Variaveis!B70:J70),Pesos_Decisao!$B$6:$J$6))</f>
        <v/>
      </c>
      <c r="G70" s="4" t="str">
        <f>IF(Variaveis!A70="","",SUMPRODUCT(N(Variaveis!B70:J70),Pesos_Decisao!$B$7:$J$7))</f>
        <v/>
      </c>
      <c r="H70" s="4" t="str">
        <f>IF(Variaveis!A70="","",SUMPRODUCT(N(Variaveis!B70:J70),Pesos_Decisao!$B$8:$J$8))</f>
        <v/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tr">
        <f>IF(Variaveis!A71="","",Variaveis!A71)</f>
        <v/>
      </c>
      <c r="B71" s="4" t="str">
        <f>IF(Variaveis!A71="","",SUMPRODUCT(N(Variaveis!B71:J71),Pesos_Decisao!$B$2:$J$2))</f>
        <v/>
      </c>
      <c r="C71" s="4" t="str">
        <f>IF(Variaveis!A71="","",SUMPRODUCT(N(Variaveis!B71:J71),Pesos_Decisao!$B$3:$J$3))</f>
        <v/>
      </c>
      <c r="D71" s="4" t="str">
        <f>IF(Variaveis!A71="","",SUMPRODUCT(N(Variaveis!B71:J71),Pesos_Decisao!$B$4:$J$4))</f>
        <v/>
      </c>
      <c r="E71" s="4" t="str">
        <f>IF(Variaveis!A71="","",SUMPRODUCT(N(Variaveis!B71:J71),Pesos_Decisao!$B$5:$J$5))</f>
        <v/>
      </c>
      <c r="F71" s="4" t="str">
        <f>IF(Variaveis!A71="","",SUMPRODUCT(N(Variaveis!B71:J71),Pesos_Decisao!$B$6:$J$6))</f>
        <v/>
      </c>
      <c r="G71" s="4" t="str">
        <f>IF(Variaveis!A71="","",SUMPRODUCT(N(Variaveis!B71:J71),Pesos_Decisao!$B$7:$J$7))</f>
        <v/>
      </c>
      <c r="H71" s="4" t="str">
        <f>IF(Variaveis!A71="","",SUMPRODUCT(N(Variaveis!B71:J71),Pesos_Decisao!$B$8:$J$8))</f>
        <v/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tr">
        <f>IF(Variaveis!A72="","",Variaveis!A72)</f>
        <v/>
      </c>
      <c r="B72" s="4" t="str">
        <f>IF(Variaveis!A72="","",SUMPRODUCT(N(Variaveis!B72:J72),Pesos_Decisao!$B$2:$J$2))</f>
        <v/>
      </c>
      <c r="C72" s="4" t="str">
        <f>IF(Variaveis!A72="","",SUMPRODUCT(N(Variaveis!B72:J72),Pesos_Decisao!$B$3:$J$3))</f>
        <v/>
      </c>
      <c r="D72" s="4" t="str">
        <f>IF(Variaveis!A72="","",SUMPRODUCT(N(Variaveis!B72:J72),Pesos_Decisao!$B$4:$J$4))</f>
        <v/>
      </c>
      <c r="E72" s="4" t="str">
        <f>IF(Variaveis!A72="","",SUMPRODUCT(N(Variaveis!B72:J72),Pesos_Decisao!$B$5:$J$5))</f>
        <v/>
      </c>
      <c r="F72" s="4" t="str">
        <f>IF(Variaveis!A72="","",SUMPRODUCT(N(Variaveis!B72:J72),Pesos_Decisao!$B$6:$J$6))</f>
        <v/>
      </c>
      <c r="G72" s="4" t="str">
        <f>IF(Variaveis!A72="","",SUMPRODUCT(N(Variaveis!B72:J72),Pesos_Decisao!$B$7:$J$7))</f>
        <v/>
      </c>
      <c r="H72" s="4" t="str">
        <f>IF(Variaveis!A72="","",SUMPRODUCT(N(Variaveis!B72:J72),Pesos_Decisao!$B$8:$J$8))</f>
        <v/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tr">
        <f>IF(Variaveis!A73="","",Variaveis!A73)</f>
        <v/>
      </c>
      <c r="B73" s="4" t="str">
        <f>IF(Variaveis!A73="","",SUMPRODUCT(N(Variaveis!B73:J73),Pesos_Decisao!$B$2:$J$2))</f>
        <v/>
      </c>
      <c r="C73" s="4" t="str">
        <f>IF(Variaveis!A73="","",SUMPRODUCT(N(Variaveis!B73:J73),Pesos_Decisao!$B$3:$J$3))</f>
        <v/>
      </c>
      <c r="D73" s="4" t="str">
        <f>IF(Variaveis!A73="","",SUMPRODUCT(N(Variaveis!B73:J73),Pesos_Decisao!$B$4:$J$4))</f>
        <v/>
      </c>
      <c r="E73" s="4" t="str">
        <f>IF(Variaveis!A73="","",SUMPRODUCT(N(Variaveis!B73:J73),Pesos_Decisao!$B$5:$J$5))</f>
        <v/>
      </c>
      <c r="F73" s="4" t="str">
        <f>IF(Variaveis!A73="","",SUMPRODUCT(N(Variaveis!B73:J73),Pesos_Decisao!$B$6:$J$6))</f>
        <v/>
      </c>
      <c r="G73" s="4" t="str">
        <f>IF(Variaveis!A73="","",SUMPRODUCT(N(Variaveis!B73:J73),Pesos_Decisao!$B$7:$J$7))</f>
        <v/>
      </c>
      <c r="H73" s="4" t="str">
        <f>IF(Variaveis!A73="","",SUMPRODUCT(N(Variaveis!B73:J73),Pesos_Decisao!$B$8:$J$8))</f>
        <v/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tr">
        <f>IF(Variaveis!A74="","",Variaveis!A74)</f>
        <v/>
      </c>
      <c r="B74" s="4" t="str">
        <f>IF(Variaveis!A74="","",SUMPRODUCT(N(Variaveis!B74:J74),Pesos_Decisao!$B$2:$J$2))</f>
        <v/>
      </c>
      <c r="C74" s="4" t="str">
        <f>IF(Variaveis!A74="","",SUMPRODUCT(N(Variaveis!B74:J74),Pesos_Decisao!$B$3:$J$3))</f>
        <v/>
      </c>
      <c r="D74" s="4" t="str">
        <f>IF(Variaveis!A74="","",SUMPRODUCT(N(Variaveis!B74:J74),Pesos_Decisao!$B$4:$J$4))</f>
        <v/>
      </c>
      <c r="E74" s="4" t="str">
        <f>IF(Variaveis!A74="","",SUMPRODUCT(N(Variaveis!B74:J74),Pesos_Decisao!$B$5:$J$5))</f>
        <v/>
      </c>
      <c r="F74" s="4" t="str">
        <f>IF(Variaveis!A74="","",SUMPRODUCT(N(Variaveis!B74:J74),Pesos_Decisao!$B$6:$J$6))</f>
        <v/>
      </c>
      <c r="G74" s="4" t="str">
        <f>IF(Variaveis!A74="","",SUMPRODUCT(N(Variaveis!B74:J74),Pesos_Decisao!$B$7:$J$7))</f>
        <v/>
      </c>
      <c r="H74" s="4" t="str">
        <f>IF(Variaveis!A74="","",SUMPRODUCT(N(Variaveis!B74:J74),Pesos_Decisao!$B$8:$J$8))</f>
        <v/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tr">
        <f>IF(Variaveis!A75="","",Variaveis!A75)</f>
        <v/>
      </c>
      <c r="B75" s="4" t="str">
        <f>IF(Variaveis!A75="","",SUMPRODUCT(N(Variaveis!B75:J75),Pesos_Decisao!$B$2:$J$2))</f>
        <v/>
      </c>
      <c r="C75" s="4" t="str">
        <f>IF(Variaveis!A75="","",SUMPRODUCT(N(Variaveis!B75:J75),Pesos_Decisao!$B$3:$J$3))</f>
        <v/>
      </c>
      <c r="D75" s="4" t="str">
        <f>IF(Variaveis!A75="","",SUMPRODUCT(N(Variaveis!B75:J75),Pesos_Decisao!$B$4:$J$4))</f>
        <v/>
      </c>
      <c r="E75" s="4" t="str">
        <f>IF(Variaveis!A75="","",SUMPRODUCT(N(Variaveis!B75:J75),Pesos_Decisao!$B$5:$J$5))</f>
        <v/>
      </c>
      <c r="F75" s="4" t="str">
        <f>IF(Variaveis!A75="","",SUMPRODUCT(N(Variaveis!B75:J75),Pesos_Decisao!$B$6:$J$6))</f>
        <v/>
      </c>
      <c r="G75" s="4" t="str">
        <f>IF(Variaveis!A75="","",SUMPRODUCT(N(Variaveis!B75:J75),Pesos_Decisao!$B$7:$J$7))</f>
        <v/>
      </c>
      <c r="H75" s="4" t="str">
        <f>IF(Variaveis!A75="","",SUMPRODUCT(N(Variaveis!B75:J75),Pesos_Decisao!$B$8:$J$8))</f>
        <v/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tr">
        <f>IF(Variaveis!A76="","",Variaveis!A76)</f>
        <v/>
      </c>
      <c r="B76" s="4" t="str">
        <f>IF(Variaveis!A76="","",SUMPRODUCT(N(Variaveis!B76:J76),Pesos_Decisao!$B$2:$J$2))</f>
        <v/>
      </c>
      <c r="C76" s="4" t="str">
        <f>IF(Variaveis!A76="","",SUMPRODUCT(N(Variaveis!B76:J76),Pesos_Decisao!$B$3:$J$3))</f>
        <v/>
      </c>
      <c r="D76" s="4" t="str">
        <f>IF(Variaveis!A76="","",SUMPRODUCT(N(Variaveis!B76:J76),Pesos_Decisao!$B$4:$J$4))</f>
        <v/>
      </c>
      <c r="E76" s="4" t="str">
        <f>IF(Variaveis!A76="","",SUMPRODUCT(N(Variaveis!B76:J76),Pesos_Decisao!$B$5:$J$5))</f>
        <v/>
      </c>
      <c r="F76" s="4" t="str">
        <f>IF(Variaveis!A76="","",SUMPRODUCT(N(Variaveis!B76:J76),Pesos_Decisao!$B$6:$J$6))</f>
        <v/>
      </c>
      <c r="G76" s="4" t="str">
        <f>IF(Variaveis!A76="","",SUMPRODUCT(N(Variaveis!B76:J76),Pesos_Decisao!$B$7:$J$7))</f>
        <v/>
      </c>
      <c r="H76" s="4" t="str">
        <f>IF(Variaveis!A76="","",SUMPRODUCT(N(Variaveis!B76:J76),Pesos_Decisao!$B$8:$J$8))</f>
        <v/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tr">
        <f>IF(Variaveis!A77="","",Variaveis!A77)</f>
        <v/>
      </c>
      <c r="B77" s="4" t="str">
        <f>IF(Variaveis!A77="","",SUMPRODUCT(N(Variaveis!B77:J77),Pesos_Decisao!$B$2:$J$2))</f>
        <v/>
      </c>
      <c r="C77" s="4" t="str">
        <f>IF(Variaveis!A77="","",SUMPRODUCT(N(Variaveis!B77:J77),Pesos_Decisao!$B$3:$J$3))</f>
        <v/>
      </c>
      <c r="D77" s="4" t="str">
        <f>IF(Variaveis!A77="","",SUMPRODUCT(N(Variaveis!B77:J77),Pesos_Decisao!$B$4:$J$4))</f>
        <v/>
      </c>
      <c r="E77" s="4" t="str">
        <f>IF(Variaveis!A77="","",SUMPRODUCT(N(Variaveis!B77:J77),Pesos_Decisao!$B$5:$J$5))</f>
        <v/>
      </c>
      <c r="F77" s="4" t="str">
        <f>IF(Variaveis!A77="","",SUMPRODUCT(N(Variaveis!B77:J77),Pesos_Decisao!$B$6:$J$6))</f>
        <v/>
      </c>
      <c r="G77" s="4" t="str">
        <f>IF(Variaveis!A77="","",SUMPRODUCT(N(Variaveis!B77:J77),Pesos_Decisao!$B$7:$J$7))</f>
        <v/>
      </c>
      <c r="H77" s="4" t="str">
        <f>IF(Variaveis!A77="","",SUMPRODUCT(N(Variaveis!B77:J77),Pesos_Decisao!$B$8:$J$8))</f>
        <v/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tr">
        <f>IF(Variaveis!A78="","",Variaveis!A78)</f>
        <v/>
      </c>
      <c r="B78" s="4" t="str">
        <f>IF(Variaveis!A78="","",SUMPRODUCT(N(Variaveis!B78:J78),Pesos_Decisao!$B$2:$J$2))</f>
        <v/>
      </c>
      <c r="C78" s="4" t="str">
        <f>IF(Variaveis!A78="","",SUMPRODUCT(N(Variaveis!B78:J78),Pesos_Decisao!$B$3:$J$3))</f>
        <v/>
      </c>
      <c r="D78" s="4" t="str">
        <f>IF(Variaveis!A78="","",SUMPRODUCT(N(Variaveis!B78:J78),Pesos_Decisao!$B$4:$J$4))</f>
        <v/>
      </c>
      <c r="E78" s="4" t="str">
        <f>IF(Variaveis!A78="","",SUMPRODUCT(N(Variaveis!B78:J78),Pesos_Decisao!$B$5:$J$5))</f>
        <v/>
      </c>
      <c r="F78" s="4" t="str">
        <f>IF(Variaveis!A78="","",SUMPRODUCT(N(Variaveis!B78:J78),Pesos_Decisao!$B$6:$J$6))</f>
        <v/>
      </c>
      <c r="G78" s="4" t="str">
        <f>IF(Variaveis!A78="","",SUMPRODUCT(N(Variaveis!B78:J78),Pesos_Decisao!$B$7:$J$7))</f>
        <v/>
      </c>
      <c r="H78" s="4" t="str">
        <f>IF(Variaveis!A78="","",SUMPRODUCT(N(Variaveis!B78:J78),Pesos_Decisao!$B$8:$J$8))</f>
        <v/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tr">
        <f>IF(Variaveis!A79="","",Variaveis!A79)</f>
        <v/>
      </c>
      <c r="B79" s="4" t="str">
        <f>IF(Variaveis!A79="","",SUMPRODUCT(N(Variaveis!B79:J79),Pesos_Decisao!$B$2:$J$2))</f>
        <v/>
      </c>
      <c r="C79" s="4" t="str">
        <f>IF(Variaveis!A79="","",SUMPRODUCT(N(Variaveis!B79:J79),Pesos_Decisao!$B$3:$J$3))</f>
        <v/>
      </c>
      <c r="D79" s="4" t="str">
        <f>IF(Variaveis!A79="","",SUMPRODUCT(N(Variaveis!B79:J79),Pesos_Decisao!$B$4:$J$4))</f>
        <v/>
      </c>
      <c r="E79" s="4" t="str">
        <f>IF(Variaveis!A79="","",SUMPRODUCT(N(Variaveis!B79:J79),Pesos_Decisao!$B$5:$J$5))</f>
        <v/>
      </c>
      <c r="F79" s="4" t="str">
        <f>IF(Variaveis!A79="","",SUMPRODUCT(N(Variaveis!B79:J79),Pesos_Decisao!$B$6:$J$6))</f>
        <v/>
      </c>
      <c r="G79" s="4" t="str">
        <f>IF(Variaveis!A79="","",SUMPRODUCT(N(Variaveis!B79:J79),Pesos_Decisao!$B$7:$J$7))</f>
        <v/>
      </c>
      <c r="H79" s="4" t="str">
        <f>IF(Variaveis!A79="","",SUMPRODUCT(N(Variaveis!B79:J79),Pesos_Decisao!$B$8:$J$8))</f>
        <v/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tr">
        <f>IF(Variaveis!A80="","",Variaveis!A80)</f>
        <v/>
      </c>
      <c r="B80" s="4" t="str">
        <f>IF(Variaveis!A80="","",SUMPRODUCT(N(Variaveis!B80:J80),Pesos_Decisao!$B$2:$J$2))</f>
        <v/>
      </c>
      <c r="C80" s="4" t="str">
        <f>IF(Variaveis!A80="","",SUMPRODUCT(N(Variaveis!B80:J80),Pesos_Decisao!$B$3:$J$3))</f>
        <v/>
      </c>
      <c r="D80" s="4" t="str">
        <f>IF(Variaveis!A80="","",SUMPRODUCT(N(Variaveis!B80:J80),Pesos_Decisao!$B$4:$J$4))</f>
        <v/>
      </c>
      <c r="E80" s="4" t="str">
        <f>IF(Variaveis!A80="","",SUMPRODUCT(N(Variaveis!B80:J80),Pesos_Decisao!$B$5:$J$5))</f>
        <v/>
      </c>
      <c r="F80" s="4" t="str">
        <f>IF(Variaveis!A80="","",SUMPRODUCT(N(Variaveis!B80:J80),Pesos_Decisao!$B$6:$J$6))</f>
        <v/>
      </c>
      <c r="G80" s="4" t="str">
        <f>IF(Variaveis!A80="","",SUMPRODUCT(N(Variaveis!B80:J80),Pesos_Decisao!$B$7:$J$7))</f>
        <v/>
      </c>
      <c r="H80" s="4" t="str">
        <f>IF(Variaveis!A80="","",SUMPRODUCT(N(Variaveis!B80:J80),Pesos_Decisao!$B$8:$J$8))</f>
        <v/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tr">
        <f>IF(Variaveis!A81="","",Variaveis!A81)</f>
        <v/>
      </c>
      <c r="B81" s="4" t="str">
        <f>IF(Variaveis!A81="","",SUMPRODUCT(N(Variaveis!B81:J81),Pesos_Decisao!$B$2:$J$2))</f>
        <v/>
      </c>
      <c r="C81" s="4" t="str">
        <f>IF(Variaveis!A81="","",SUMPRODUCT(N(Variaveis!B81:J81),Pesos_Decisao!$B$3:$J$3))</f>
        <v/>
      </c>
      <c r="D81" s="4" t="str">
        <f>IF(Variaveis!A81="","",SUMPRODUCT(N(Variaveis!B81:J81),Pesos_Decisao!$B$4:$J$4))</f>
        <v/>
      </c>
      <c r="E81" s="4" t="str">
        <f>IF(Variaveis!A81="","",SUMPRODUCT(N(Variaveis!B81:J81),Pesos_Decisao!$B$5:$J$5))</f>
        <v/>
      </c>
      <c r="F81" s="4" t="str">
        <f>IF(Variaveis!A81="","",SUMPRODUCT(N(Variaveis!B81:J81),Pesos_Decisao!$B$6:$J$6))</f>
        <v/>
      </c>
      <c r="G81" s="4" t="str">
        <f>IF(Variaveis!A81="","",SUMPRODUCT(N(Variaveis!B81:J81),Pesos_Decisao!$B$7:$J$7))</f>
        <v/>
      </c>
      <c r="H81" s="4" t="str">
        <f>IF(Variaveis!A81="","",SUMPRODUCT(N(Variaveis!B81:J81),Pesos_Decisao!$B$8:$J$8))</f>
        <v/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tr">
        <f>IF(Variaveis!A82="","",Variaveis!A82)</f>
        <v/>
      </c>
      <c r="B82" s="4" t="str">
        <f>IF(Variaveis!A82="","",SUMPRODUCT(N(Variaveis!B82:J82),Pesos_Decisao!$B$2:$J$2))</f>
        <v/>
      </c>
      <c r="C82" s="4" t="str">
        <f>IF(Variaveis!A82="","",SUMPRODUCT(N(Variaveis!B82:J82),Pesos_Decisao!$B$3:$J$3))</f>
        <v/>
      </c>
      <c r="D82" s="4" t="str">
        <f>IF(Variaveis!A82="","",SUMPRODUCT(N(Variaveis!B82:J82),Pesos_Decisao!$B$4:$J$4))</f>
        <v/>
      </c>
      <c r="E82" s="4" t="str">
        <f>IF(Variaveis!A82="","",SUMPRODUCT(N(Variaveis!B82:J82),Pesos_Decisao!$B$5:$J$5))</f>
        <v/>
      </c>
      <c r="F82" s="4" t="str">
        <f>IF(Variaveis!A82="","",SUMPRODUCT(N(Variaveis!B82:J82),Pesos_Decisao!$B$6:$J$6))</f>
        <v/>
      </c>
      <c r="G82" s="4" t="str">
        <f>IF(Variaveis!A82="","",SUMPRODUCT(N(Variaveis!B82:J82),Pesos_Decisao!$B$7:$J$7))</f>
        <v/>
      </c>
      <c r="H82" s="4" t="str">
        <f>IF(Variaveis!A82="","",SUMPRODUCT(N(Variaveis!B82:J82),Pesos_Decisao!$B$8:$J$8))</f>
        <v/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tr">
        <f>IF(Variaveis!A83="","",Variaveis!A83)</f>
        <v/>
      </c>
      <c r="B83" s="4" t="str">
        <f>IF(Variaveis!A83="","",SUMPRODUCT(N(Variaveis!B83:J83),Pesos_Decisao!$B$2:$J$2))</f>
        <v/>
      </c>
      <c r="C83" s="4" t="str">
        <f>IF(Variaveis!A83="","",SUMPRODUCT(N(Variaveis!B83:J83),Pesos_Decisao!$B$3:$J$3))</f>
        <v/>
      </c>
      <c r="D83" s="4" t="str">
        <f>IF(Variaveis!A83="","",SUMPRODUCT(N(Variaveis!B83:J83),Pesos_Decisao!$B$4:$J$4))</f>
        <v/>
      </c>
      <c r="E83" s="4" t="str">
        <f>IF(Variaveis!A83="","",SUMPRODUCT(N(Variaveis!B83:J83),Pesos_Decisao!$B$5:$J$5))</f>
        <v/>
      </c>
      <c r="F83" s="4" t="str">
        <f>IF(Variaveis!A83="","",SUMPRODUCT(N(Variaveis!B83:J83),Pesos_Decisao!$B$6:$J$6))</f>
        <v/>
      </c>
      <c r="G83" s="4" t="str">
        <f>IF(Variaveis!A83="","",SUMPRODUCT(N(Variaveis!B83:J83),Pesos_Decisao!$B$7:$J$7))</f>
        <v/>
      </c>
      <c r="H83" s="4" t="str">
        <f>IF(Variaveis!A83="","",SUMPRODUCT(N(Variaveis!B83:J83),Pesos_Decisao!$B$8:$J$8))</f>
        <v/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tr">
        <f>IF(Variaveis!A84="","",Variaveis!A84)</f>
        <v/>
      </c>
      <c r="B84" s="4" t="str">
        <f>IF(Variaveis!A84="","",SUMPRODUCT(N(Variaveis!B84:J84),Pesos_Decisao!$B$2:$J$2))</f>
        <v/>
      </c>
      <c r="C84" s="4" t="str">
        <f>IF(Variaveis!A84="","",SUMPRODUCT(N(Variaveis!B84:J84),Pesos_Decisao!$B$3:$J$3))</f>
        <v/>
      </c>
      <c r="D84" s="4" t="str">
        <f>IF(Variaveis!A84="","",SUMPRODUCT(N(Variaveis!B84:J84),Pesos_Decisao!$B$4:$J$4))</f>
        <v/>
      </c>
      <c r="E84" s="4" t="str">
        <f>IF(Variaveis!A84="","",SUMPRODUCT(N(Variaveis!B84:J84),Pesos_Decisao!$B$5:$J$5))</f>
        <v/>
      </c>
      <c r="F84" s="4" t="str">
        <f>IF(Variaveis!A84="","",SUMPRODUCT(N(Variaveis!B84:J84),Pesos_Decisao!$B$6:$J$6))</f>
        <v/>
      </c>
      <c r="G84" s="4" t="str">
        <f>IF(Variaveis!A84="","",SUMPRODUCT(N(Variaveis!B84:J84),Pesos_Decisao!$B$7:$J$7))</f>
        <v/>
      </c>
      <c r="H84" s="4" t="str">
        <f>IF(Variaveis!A84="","",SUMPRODUCT(N(Variaveis!B84:J84),Pesos_Decisao!$B$8:$J$8))</f>
        <v/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tr">
        <f>IF(Variaveis!A85="","",Variaveis!A85)</f>
        <v/>
      </c>
      <c r="B85" s="4" t="str">
        <f>IF(Variaveis!A85="","",SUMPRODUCT(N(Variaveis!B85:J85),Pesos_Decisao!$B$2:$J$2))</f>
        <v/>
      </c>
      <c r="C85" s="4" t="str">
        <f>IF(Variaveis!A85="","",SUMPRODUCT(N(Variaveis!B85:J85),Pesos_Decisao!$B$3:$J$3))</f>
        <v/>
      </c>
      <c r="D85" s="4" t="str">
        <f>IF(Variaveis!A85="","",SUMPRODUCT(N(Variaveis!B85:J85),Pesos_Decisao!$B$4:$J$4))</f>
        <v/>
      </c>
      <c r="E85" s="4" t="str">
        <f>IF(Variaveis!A85="","",SUMPRODUCT(N(Variaveis!B85:J85),Pesos_Decisao!$B$5:$J$5))</f>
        <v/>
      </c>
      <c r="F85" s="4" t="str">
        <f>IF(Variaveis!A85="","",SUMPRODUCT(N(Variaveis!B85:J85),Pesos_Decisao!$B$6:$J$6))</f>
        <v/>
      </c>
      <c r="G85" s="4" t="str">
        <f>IF(Variaveis!A85="","",SUMPRODUCT(N(Variaveis!B85:J85),Pesos_Decisao!$B$7:$J$7))</f>
        <v/>
      </c>
      <c r="H85" s="4" t="str">
        <f>IF(Variaveis!A85="","",SUMPRODUCT(N(Variaveis!B85:J85),Pesos_Decisao!$B$8:$J$8))</f>
        <v/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tr">
        <f>IF(Variaveis!A86="","",Variaveis!A86)</f>
        <v/>
      </c>
      <c r="B86" s="4" t="str">
        <f>IF(Variaveis!A86="","",SUMPRODUCT(N(Variaveis!B86:J86),Pesos_Decisao!$B$2:$J$2))</f>
        <v/>
      </c>
      <c r="C86" s="4" t="str">
        <f>IF(Variaveis!A86="","",SUMPRODUCT(N(Variaveis!B86:J86),Pesos_Decisao!$B$3:$J$3))</f>
        <v/>
      </c>
      <c r="D86" s="4" t="str">
        <f>IF(Variaveis!A86="","",SUMPRODUCT(N(Variaveis!B86:J86),Pesos_Decisao!$B$4:$J$4))</f>
        <v/>
      </c>
      <c r="E86" s="4" t="str">
        <f>IF(Variaveis!A86="","",SUMPRODUCT(N(Variaveis!B86:J86),Pesos_Decisao!$B$5:$J$5))</f>
        <v/>
      </c>
      <c r="F86" s="4" t="str">
        <f>IF(Variaveis!A86="","",SUMPRODUCT(N(Variaveis!B86:J86),Pesos_Decisao!$B$6:$J$6))</f>
        <v/>
      </c>
      <c r="G86" s="4" t="str">
        <f>IF(Variaveis!A86="","",SUMPRODUCT(N(Variaveis!B86:J86),Pesos_Decisao!$B$7:$J$7))</f>
        <v/>
      </c>
      <c r="H86" s="4" t="str">
        <f>IF(Variaveis!A86="","",SUMPRODUCT(N(Variaveis!B86:J86),Pesos_Decisao!$B$8:$J$8))</f>
        <v/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tr">
        <f>IF(Variaveis!A87="","",Variaveis!A87)</f>
        <v/>
      </c>
      <c r="B87" s="4" t="str">
        <f>IF(Variaveis!A87="","",SUMPRODUCT(N(Variaveis!B87:J87),Pesos_Decisao!$B$2:$J$2))</f>
        <v/>
      </c>
      <c r="C87" s="4" t="str">
        <f>IF(Variaveis!A87="","",SUMPRODUCT(N(Variaveis!B87:J87),Pesos_Decisao!$B$3:$J$3))</f>
        <v/>
      </c>
      <c r="D87" s="4" t="str">
        <f>IF(Variaveis!A87="","",SUMPRODUCT(N(Variaveis!B87:J87),Pesos_Decisao!$B$4:$J$4))</f>
        <v/>
      </c>
      <c r="E87" s="4" t="str">
        <f>IF(Variaveis!A87="","",SUMPRODUCT(N(Variaveis!B87:J87),Pesos_Decisao!$B$5:$J$5))</f>
        <v/>
      </c>
      <c r="F87" s="4" t="str">
        <f>IF(Variaveis!A87="","",SUMPRODUCT(N(Variaveis!B87:J87),Pesos_Decisao!$B$6:$J$6))</f>
        <v/>
      </c>
      <c r="G87" s="4" t="str">
        <f>IF(Variaveis!A87="","",SUMPRODUCT(N(Variaveis!B87:J87),Pesos_Decisao!$B$7:$J$7))</f>
        <v/>
      </c>
      <c r="H87" s="4" t="str">
        <f>IF(Variaveis!A87="","",SUMPRODUCT(N(Variaveis!B87:J87),Pesos_Decisao!$B$8:$J$8))</f>
        <v/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tr">
        <f>IF(Variaveis!A88="","",Variaveis!A88)</f>
        <v/>
      </c>
      <c r="B88" s="4" t="str">
        <f>IF(Variaveis!A88="","",SUMPRODUCT(N(Variaveis!B88:J88),Pesos_Decisao!$B$2:$J$2))</f>
        <v/>
      </c>
      <c r="C88" s="4" t="str">
        <f>IF(Variaveis!A88="","",SUMPRODUCT(N(Variaveis!B88:J88),Pesos_Decisao!$B$3:$J$3))</f>
        <v/>
      </c>
      <c r="D88" s="4" t="str">
        <f>IF(Variaveis!A88="","",SUMPRODUCT(N(Variaveis!B88:J88),Pesos_Decisao!$B$4:$J$4))</f>
        <v/>
      </c>
      <c r="E88" s="4" t="str">
        <f>IF(Variaveis!A88="","",SUMPRODUCT(N(Variaveis!B88:J88),Pesos_Decisao!$B$5:$J$5))</f>
        <v/>
      </c>
      <c r="F88" s="4" t="str">
        <f>IF(Variaveis!A88="","",SUMPRODUCT(N(Variaveis!B88:J88),Pesos_Decisao!$B$6:$J$6))</f>
        <v/>
      </c>
      <c r="G88" s="4" t="str">
        <f>IF(Variaveis!A88="","",SUMPRODUCT(N(Variaveis!B88:J88),Pesos_Decisao!$B$7:$J$7))</f>
        <v/>
      </c>
      <c r="H88" s="4" t="str">
        <f>IF(Variaveis!A88="","",SUMPRODUCT(N(Variaveis!B88:J88),Pesos_Decisao!$B$8:$J$8))</f>
        <v/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tr">
        <f>IF(Variaveis!A89="","",Variaveis!A89)</f>
        <v/>
      </c>
      <c r="B89" s="4" t="str">
        <f>IF(Variaveis!A89="","",SUMPRODUCT(N(Variaveis!B89:J89),Pesos_Decisao!$B$2:$J$2))</f>
        <v/>
      </c>
      <c r="C89" s="4" t="str">
        <f>IF(Variaveis!A89="","",SUMPRODUCT(N(Variaveis!B89:J89),Pesos_Decisao!$B$3:$J$3))</f>
        <v/>
      </c>
      <c r="D89" s="4" t="str">
        <f>IF(Variaveis!A89="","",SUMPRODUCT(N(Variaveis!B89:J89),Pesos_Decisao!$B$4:$J$4))</f>
        <v/>
      </c>
      <c r="E89" s="4" t="str">
        <f>IF(Variaveis!A89="","",SUMPRODUCT(N(Variaveis!B89:J89),Pesos_Decisao!$B$5:$J$5))</f>
        <v/>
      </c>
      <c r="F89" s="4" t="str">
        <f>IF(Variaveis!A89="","",SUMPRODUCT(N(Variaveis!B89:J89),Pesos_Decisao!$B$6:$J$6))</f>
        <v/>
      </c>
      <c r="G89" s="4" t="str">
        <f>IF(Variaveis!A89="","",SUMPRODUCT(N(Variaveis!B89:J89),Pesos_Decisao!$B$7:$J$7))</f>
        <v/>
      </c>
      <c r="H89" s="4" t="str">
        <f>IF(Variaveis!A89="","",SUMPRODUCT(N(Variaveis!B89:J89),Pesos_Decisao!$B$8:$J$8))</f>
        <v/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tr">
        <f>IF(Variaveis!A90="","",Variaveis!A90)</f>
        <v/>
      </c>
      <c r="B90" s="4" t="str">
        <f>IF(Variaveis!A90="","",SUMPRODUCT(N(Variaveis!B90:J90),Pesos_Decisao!$B$2:$J$2))</f>
        <v/>
      </c>
      <c r="C90" s="4" t="str">
        <f>IF(Variaveis!A90="","",SUMPRODUCT(N(Variaveis!B90:J90),Pesos_Decisao!$B$3:$J$3))</f>
        <v/>
      </c>
      <c r="D90" s="4" t="str">
        <f>IF(Variaveis!A90="","",SUMPRODUCT(N(Variaveis!B90:J90),Pesos_Decisao!$B$4:$J$4))</f>
        <v/>
      </c>
      <c r="E90" s="4" t="str">
        <f>IF(Variaveis!A90="","",SUMPRODUCT(N(Variaveis!B90:J90),Pesos_Decisao!$B$5:$J$5))</f>
        <v/>
      </c>
      <c r="F90" s="4" t="str">
        <f>IF(Variaveis!A90="","",SUMPRODUCT(N(Variaveis!B90:J90),Pesos_Decisao!$B$6:$J$6))</f>
        <v/>
      </c>
      <c r="G90" s="4" t="str">
        <f>IF(Variaveis!A90="","",SUMPRODUCT(N(Variaveis!B90:J90),Pesos_Decisao!$B$7:$J$7))</f>
        <v/>
      </c>
      <c r="H90" s="4" t="str">
        <f>IF(Variaveis!A90="","",SUMPRODUCT(N(Variaveis!B90:J90),Pesos_Decisao!$B$8:$J$8))</f>
        <v/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tr">
        <f>IF(Variaveis!A91="","",Variaveis!A91)</f>
        <v/>
      </c>
      <c r="B91" s="4" t="str">
        <f>IF(Variaveis!A91="","",SUMPRODUCT(N(Variaveis!B91:J91),Pesos_Decisao!$B$2:$J$2))</f>
        <v/>
      </c>
      <c r="C91" s="4" t="str">
        <f>IF(Variaveis!A91="","",SUMPRODUCT(N(Variaveis!B91:J91),Pesos_Decisao!$B$3:$J$3))</f>
        <v/>
      </c>
      <c r="D91" s="4" t="str">
        <f>IF(Variaveis!A91="","",SUMPRODUCT(N(Variaveis!B91:J91),Pesos_Decisao!$B$4:$J$4))</f>
        <v/>
      </c>
      <c r="E91" s="4" t="str">
        <f>IF(Variaveis!A91="","",SUMPRODUCT(N(Variaveis!B91:J91),Pesos_Decisao!$B$5:$J$5))</f>
        <v/>
      </c>
      <c r="F91" s="4" t="str">
        <f>IF(Variaveis!A91="","",SUMPRODUCT(N(Variaveis!B91:J91),Pesos_Decisao!$B$6:$J$6))</f>
        <v/>
      </c>
      <c r="G91" s="4" t="str">
        <f>IF(Variaveis!A91="","",SUMPRODUCT(N(Variaveis!B91:J91),Pesos_Decisao!$B$7:$J$7))</f>
        <v/>
      </c>
      <c r="H91" s="4" t="str">
        <f>IF(Variaveis!A91="","",SUMPRODUCT(N(Variaveis!B91:J91),Pesos_Decisao!$B$8:$J$8))</f>
        <v/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tr">
        <f>IF(Variaveis!A92="","",Variaveis!A92)</f>
        <v/>
      </c>
      <c r="B92" s="4" t="str">
        <f>IF(Variaveis!A92="","",SUMPRODUCT(N(Variaveis!B92:J92),Pesos_Decisao!$B$2:$J$2))</f>
        <v/>
      </c>
      <c r="C92" s="4" t="str">
        <f>IF(Variaveis!A92="","",SUMPRODUCT(N(Variaveis!B92:J92),Pesos_Decisao!$B$3:$J$3))</f>
        <v/>
      </c>
      <c r="D92" s="4" t="str">
        <f>IF(Variaveis!A92="","",SUMPRODUCT(N(Variaveis!B92:J92),Pesos_Decisao!$B$4:$J$4))</f>
        <v/>
      </c>
      <c r="E92" s="4" t="str">
        <f>IF(Variaveis!A92="","",SUMPRODUCT(N(Variaveis!B92:J92),Pesos_Decisao!$B$5:$J$5))</f>
        <v/>
      </c>
      <c r="F92" s="4" t="str">
        <f>IF(Variaveis!A92="","",SUMPRODUCT(N(Variaveis!B92:J92),Pesos_Decisao!$B$6:$J$6))</f>
        <v/>
      </c>
      <c r="G92" s="4" t="str">
        <f>IF(Variaveis!A92="","",SUMPRODUCT(N(Variaveis!B92:J92),Pesos_Decisao!$B$7:$J$7))</f>
        <v/>
      </c>
      <c r="H92" s="4" t="str">
        <f>IF(Variaveis!A92="","",SUMPRODUCT(N(Variaveis!B92:J92),Pesos_Decisao!$B$8:$J$8))</f>
        <v/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tr">
        <f>IF(Variaveis!A93="","",Variaveis!A93)</f>
        <v/>
      </c>
      <c r="B93" s="4" t="str">
        <f>IF(Variaveis!A93="","",SUMPRODUCT(N(Variaveis!B93:J93),Pesos_Decisao!$B$2:$J$2))</f>
        <v/>
      </c>
      <c r="C93" s="4" t="str">
        <f>IF(Variaveis!A93="","",SUMPRODUCT(N(Variaveis!B93:J93),Pesos_Decisao!$B$3:$J$3))</f>
        <v/>
      </c>
      <c r="D93" s="4" t="str">
        <f>IF(Variaveis!A93="","",SUMPRODUCT(N(Variaveis!B93:J93),Pesos_Decisao!$B$4:$J$4))</f>
        <v/>
      </c>
      <c r="E93" s="4" t="str">
        <f>IF(Variaveis!A93="","",SUMPRODUCT(N(Variaveis!B93:J93),Pesos_Decisao!$B$5:$J$5))</f>
        <v/>
      </c>
      <c r="F93" s="4" t="str">
        <f>IF(Variaveis!A93="","",SUMPRODUCT(N(Variaveis!B93:J93),Pesos_Decisao!$B$6:$J$6))</f>
        <v/>
      </c>
      <c r="G93" s="4" t="str">
        <f>IF(Variaveis!A93="","",SUMPRODUCT(N(Variaveis!B93:J93),Pesos_Decisao!$B$7:$J$7))</f>
        <v/>
      </c>
      <c r="H93" s="4" t="str">
        <f>IF(Variaveis!A93="","",SUMPRODUCT(N(Variaveis!B93:J93),Pesos_Decisao!$B$8:$J$8))</f>
        <v/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tr">
        <f>IF(Variaveis!A94="","",Variaveis!A94)</f>
        <v/>
      </c>
      <c r="B94" s="4" t="str">
        <f>IF(Variaveis!A94="","",SUMPRODUCT(N(Variaveis!B94:J94),Pesos_Decisao!$B$2:$J$2))</f>
        <v/>
      </c>
      <c r="C94" s="4" t="str">
        <f>IF(Variaveis!A94="","",SUMPRODUCT(N(Variaveis!B94:J94),Pesos_Decisao!$B$3:$J$3))</f>
        <v/>
      </c>
      <c r="D94" s="4" t="str">
        <f>IF(Variaveis!A94="","",SUMPRODUCT(N(Variaveis!B94:J94),Pesos_Decisao!$B$4:$J$4))</f>
        <v/>
      </c>
      <c r="E94" s="4" t="str">
        <f>IF(Variaveis!A94="","",SUMPRODUCT(N(Variaveis!B94:J94),Pesos_Decisao!$B$5:$J$5))</f>
        <v/>
      </c>
      <c r="F94" s="4" t="str">
        <f>IF(Variaveis!A94="","",SUMPRODUCT(N(Variaveis!B94:J94),Pesos_Decisao!$B$6:$J$6))</f>
        <v/>
      </c>
      <c r="G94" s="4" t="str">
        <f>IF(Variaveis!A94="","",SUMPRODUCT(N(Variaveis!B94:J94),Pesos_Decisao!$B$7:$J$7))</f>
        <v/>
      </c>
      <c r="H94" s="4" t="str">
        <f>IF(Variaveis!A94="","",SUMPRODUCT(N(Variaveis!B94:J94),Pesos_Decisao!$B$8:$J$8))</f>
        <v/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tr">
        <f>IF(Variaveis!A95="","",Variaveis!A95)</f>
        <v/>
      </c>
      <c r="B95" s="4" t="str">
        <f>IF(Variaveis!A95="","",SUMPRODUCT(N(Variaveis!B95:J95),Pesos_Decisao!$B$2:$J$2))</f>
        <v/>
      </c>
      <c r="C95" s="4" t="str">
        <f>IF(Variaveis!A95="","",SUMPRODUCT(N(Variaveis!B95:J95),Pesos_Decisao!$B$3:$J$3))</f>
        <v/>
      </c>
      <c r="D95" s="4" t="str">
        <f>IF(Variaveis!A95="","",SUMPRODUCT(N(Variaveis!B95:J95),Pesos_Decisao!$B$4:$J$4))</f>
        <v/>
      </c>
      <c r="E95" s="4" t="str">
        <f>IF(Variaveis!A95="","",SUMPRODUCT(N(Variaveis!B95:J95),Pesos_Decisao!$B$5:$J$5))</f>
        <v/>
      </c>
      <c r="F95" s="4" t="str">
        <f>IF(Variaveis!A95="","",SUMPRODUCT(N(Variaveis!B95:J95),Pesos_Decisao!$B$6:$J$6))</f>
        <v/>
      </c>
      <c r="G95" s="4" t="str">
        <f>IF(Variaveis!A95="","",SUMPRODUCT(N(Variaveis!B95:J95),Pesos_Decisao!$B$7:$J$7))</f>
        <v/>
      </c>
      <c r="H95" s="4" t="str">
        <f>IF(Variaveis!A95="","",SUMPRODUCT(N(Variaveis!B95:J95),Pesos_Decisao!$B$8:$J$8))</f>
        <v/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tr">
        <f>IF(Variaveis!A96="","",Variaveis!A96)</f>
        <v/>
      </c>
      <c r="B96" s="4" t="str">
        <f>IF(Variaveis!A96="","",SUMPRODUCT(N(Variaveis!B96:J96),Pesos_Decisao!$B$2:$J$2))</f>
        <v/>
      </c>
      <c r="C96" s="4" t="str">
        <f>IF(Variaveis!A96="","",SUMPRODUCT(N(Variaveis!B96:J96),Pesos_Decisao!$B$3:$J$3))</f>
        <v/>
      </c>
      <c r="D96" s="4" t="str">
        <f>IF(Variaveis!A96="","",SUMPRODUCT(N(Variaveis!B96:J96),Pesos_Decisao!$B$4:$J$4))</f>
        <v/>
      </c>
      <c r="E96" s="4" t="str">
        <f>IF(Variaveis!A96="","",SUMPRODUCT(N(Variaveis!B96:J96),Pesos_Decisao!$B$5:$J$5))</f>
        <v/>
      </c>
      <c r="F96" s="4" t="str">
        <f>IF(Variaveis!A96="","",SUMPRODUCT(N(Variaveis!B96:J96),Pesos_Decisao!$B$6:$J$6))</f>
        <v/>
      </c>
      <c r="G96" s="4" t="str">
        <f>IF(Variaveis!A96="","",SUMPRODUCT(N(Variaveis!B96:J96),Pesos_Decisao!$B$7:$J$7))</f>
        <v/>
      </c>
      <c r="H96" s="4" t="str">
        <f>IF(Variaveis!A96="","",SUMPRODUCT(N(Variaveis!B96:J96),Pesos_Decisao!$B$8:$J$8))</f>
        <v/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tr">
        <f>IF(Variaveis!A97="","",Variaveis!A97)</f>
        <v/>
      </c>
      <c r="B97" s="4" t="str">
        <f>IF(Variaveis!A97="","",SUMPRODUCT(N(Variaveis!B97:J97),Pesos_Decisao!$B$2:$J$2))</f>
        <v/>
      </c>
      <c r="C97" s="4" t="str">
        <f>IF(Variaveis!A97="","",SUMPRODUCT(N(Variaveis!B97:J97),Pesos_Decisao!$B$3:$J$3))</f>
        <v/>
      </c>
      <c r="D97" s="4" t="str">
        <f>IF(Variaveis!A97="","",SUMPRODUCT(N(Variaveis!B97:J97),Pesos_Decisao!$B$4:$J$4))</f>
        <v/>
      </c>
      <c r="E97" s="4" t="str">
        <f>IF(Variaveis!A97="","",SUMPRODUCT(N(Variaveis!B97:J97),Pesos_Decisao!$B$5:$J$5))</f>
        <v/>
      </c>
      <c r="F97" s="4" t="str">
        <f>IF(Variaveis!A97="","",SUMPRODUCT(N(Variaveis!B97:J97),Pesos_Decisao!$B$6:$J$6))</f>
        <v/>
      </c>
      <c r="G97" s="4" t="str">
        <f>IF(Variaveis!A97="","",SUMPRODUCT(N(Variaveis!B97:J97),Pesos_Decisao!$B$7:$J$7))</f>
        <v/>
      </c>
      <c r="H97" s="4" t="str">
        <f>IF(Variaveis!A97="","",SUMPRODUCT(N(Variaveis!B97:J97),Pesos_Decisao!$B$8:$J$8))</f>
        <v/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tr">
        <f>IF(Variaveis!A98="","",Variaveis!A98)</f>
        <v/>
      </c>
      <c r="B98" s="4" t="str">
        <f>IF(Variaveis!A98="","",SUMPRODUCT(N(Variaveis!B98:J98),Pesos_Decisao!$B$2:$J$2))</f>
        <v/>
      </c>
      <c r="C98" s="4" t="str">
        <f>IF(Variaveis!A98="","",SUMPRODUCT(N(Variaveis!B98:J98),Pesos_Decisao!$B$3:$J$3))</f>
        <v/>
      </c>
      <c r="D98" s="4" t="str">
        <f>IF(Variaveis!A98="","",SUMPRODUCT(N(Variaveis!B98:J98),Pesos_Decisao!$B$4:$J$4))</f>
        <v/>
      </c>
      <c r="E98" s="4" t="str">
        <f>IF(Variaveis!A98="","",SUMPRODUCT(N(Variaveis!B98:J98),Pesos_Decisao!$B$5:$J$5))</f>
        <v/>
      </c>
      <c r="F98" s="4" t="str">
        <f>IF(Variaveis!A98="","",SUMPRODUCT(N(Variaveis!B98:J98),Pesos_Decisao!$B$6:$J$6))</f>
        <v/>
      </c>
      <c r="G98" s="4" t="str">
        <f>IF(Variaveis!A98="","",SUMPRODUCT(N(Variaveis!B98:J98),Pesos_Decisao!$B$7:$J$7))</f>
        <v/>
      </c>
      <c r="H98" s="4" t="str">
        <f>IF(Variaveis!A98="","",SUMPRODUCT(N(Variaveis!B98:J98),Pesos_Decisao!$B$8:$J$8))</f>
        <v/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tr">
        <f>IF(Variaveis!A99="","",Variaveis!A99)</f>
        <v/>
      </c>
      <c r="B99" s="4" t="str">
        <f>IF(Variaveis!A99="","",SUMPRODUCT(N(Variaveis!B99:J99),Pesos_Decisao!$B$2:$J$2))</f>
        <v/>
      </c>
      <c r="C99" s="4" t="str">
        <f>IF(Variaveis!A99="","",SUMPRODUCT(N(Variaveis!B99:J99),Pesos_Decisao!$B$3:$J$3))</f>
        <v/>
      </c>
      <c r="D99" s="4" t="str">
        <f>IF(Variaveis!A99="","",SUMPRODUCT(N(Variaveis!B99:J99),Pesos_Decisao!$B$4:$J$4))</f>
        <v/>
      </c>
      <c r="E99" s="4" t="str">
        <f>IF(Variaveis!A99="","",SUMPRODUCT(N(Variaveis!B99:J99),Pesos_Decisao!$B$5:$J$5))</f>
        <v/>
      </c>
      <c r="F99" s="4" t="str">
        <f>IF(Variaveis!A99="","",SUMPRODUCT(N(Variaveis!B99:J99),Pesos_Decisao!$B$6:$J$6))</f>
        <v/>
      </c>
      <c r="G99" s="4" t="str">
        <f>IF(Variaveis!A99="","",SUMPRODUCT(N(Variaveis!B99:J99),Pesos_Decisao!$B$7:$J$7))</f>
        <v/>
      </c>
      <c r="H99" s="4" t="str">
        <f>IF(Variaveis!A99="","",SUMPRODUCT(N(Variaveis!B99:J99),Pesos_Decisao!$B$8:$J$8))</f>
        <v/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tr">
        <f>IF(Variaveis!A100="","",Variaveis!A100)</f>
        <v/>
      </c>
      <c r="B100" s="4" t="str">
        <f>IF(Variaveis!A100="","",SUMPRODUCT(N(Variaveis!B100:J100),Pesos_Decisao!$B$2:$J$2))</f>
        <v/>
      </c>
      <c r="C100" s="4" t="str">
        <f>IF(Variaveis!A100="","",SUMPRODUCT(N(Variaveis!B100:J100),Pesos_Decisao!$B$3:$J$3))</f>
        <v/>
      </c>
      <c r="D100" s="4" t="str">
        <f>IF(Variaveis!A100="","",SUMPRODUCT(N(Variaveis!B100:J100),Pesos_Decisao!$B$4:$J$4))</f>
        <v/>
      </c>
      <c r="E100" s="4" t="str">
        <f>IF(Variaveis!A100="","",SUMPRODUCT(N(Variaveis!B100:J100),Pesos_Decisao!$B$5:$J$5))</f>
        <v/>
      </c>
      <c r="F100" s="4" t="str">
        <f>IF(Variaveis!A100="","",SUMPRODUCT(N(Variaveis!B100:J100),Pesos_Decisao!$B$6:$J$6))</f>
        <v/>
      </c>
      <c r="G100" s="4" t="str">
        <f>IF(Variaveis!A100="","",SUMPRODUCT(N(Variaveis!B100:J100),Pesos_Decisao!$B$7:$J$7))</f>
        <v/>
      </c>
      <c r="H100" s="4" t="str">
        <f>IF(Variaveis!A100="","",SUMPRODUCT(N(Variaveis!B100:J100),Pesos_Decisao!$B$8:$J$8))</f>
        <v/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tr">
        <f>IF(Variaveis!A101="","",Variaveis!A101)</f>
        <v/>
      </c>
      <c r="B101" s="4" t="str">
        <f>IF(Variaveis!A101="","",SUMPRODUCT(N(Variaveis!B101:J101),Pesos_Decisao!$B$2:$J$2))</f>
        <v/>
      </c>
      <c r="C101" s="4" t="str">
        <f>IF(Variaveis!A101="","",SUMPRODUCT(N(Variaveis!B101:J101),Pesos_Decisao!$B$3:$J$3))</f>
        <v/>
      </c>
      <c r="D101" s="4" t="str">
        <f>IF(Variaveis!A101="","",SUMPRODUCT(N(Variaveis!B101:J101),Pesos_Decisao!$B$4:$J$4))</f>
        <v/>
      </c>
      <c r="E101" s="4" t="str">
        <f>IF(Variaveis!A101="","",SUMPRODUCT(N(Variaveis!B101:J101),Pesos_Decisao!$B$5:$J$5))</f>
        <v/>
      </c>
      <c r="F101" s="4" t="str">
        <f>IF(Variaveis!A101="","",SUMPRODUCT(N(Variaveis!B101:J101),Pesos_Decisao!$B$6:$J$6))</f>
        <v/>
      </c>
      <c r="G101" s="4" t="str">
        <f>IF(Variaveis!A101="","",SUMPRODUCT(N(Variaveis!B101:J101),Pesos_Decisao!$B$7:$J$7))</f>
        <v/>
      </c>
      <c r="H101" s="4" t="str">
        <f>IF(Variaveis!A101="","",SUMPRODUCT(N(Variaveis!B101:J101),Pesos_Decisao!$B$8:$J$8))</f>
        <v/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tr">
        <f>IF(Variaveis!A102="","",Variaveis!A102)</f>
        <v/>
      </c>
      <c r="B102" s="4" t="str">
        <f>IF(Variaveis!A102="","",SUMPRODUCT(N(Variaveis!B102:J102),Pesos_Decisao!$B$2:$J$2))</f>
        <v/>
      </c>
      <c r="C102" s="4" t="str">
        <f>IF(Variaveis!A102="","",SUMPRODUCT(N(Variaveis!B102:J102),Pesos_Decisao!$B$3:$J$3))</f>
        <v/>
      </c>
      <c r="D102" s="4" t="str">
        <f>IF(Variaveis!A102="","",SUMPRODUCT(N(Variaveis!B102:J102),Pesos_Decisao!$B$4:$J$4))</f>
        <v/>
      </c>
      <c r="E102" s="4" t="str">
        <f>IF(Variaveis!A102="","",SUMPRODUCT(N(Variaveis!B102:J102),Pesos_Decisao!$B$5:$J$5))</f>
        <v/>
      </c>
      <c r="F102" s="4" t="str">
        <f>IF(Variaveis!A102="","",SUMPRODUCT(N(Variaveis!B102:J102),Pesos_Decisao!$B$6:$J$6))</f>
        <v/>
      </c>
      <c r="G102" s="4" t="str">
        <f>IF(Variaveis!A102="","",SUMPRODUCT(N(Variaveis!B102:J102),Pesos_Decisao!$B$7:$J$7))</f>
        <v/>
      </c>
      <c r="H102" s="4" t="str">
        <f>IF(Variaveis!A102="","",SUMPRODUCT(N(Variaveis!B102:J102),Pesos_Decisao!$B$8:$J$8))</f>
        <v/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tr">
        <f>IF(Variaveis!A103="","",Variaveis!A103)</f>
        <v/>
      </c>
      <c r="B103" s="4" t="str">
        <f>IF(Variaveis!A103="","",SUMPRODUCT(N(Variaveis!B103:J103),Pesos_Decisao!$B$2:$J$2))</f>
        <v/>
      </c>
      <c r="C103" s="4" t="str">
        <f>IF(Variaveis!A103="","",SUMPRODUCT(N(Variaveis!B103:J103),Pesos_Decisao!$B$3:$J$3))</f>
        <v/>
      </c>
      <c r="D103" s="4" t="str">
        <f>IF(Variaveis!A103="","",SUMPRODUCT(N(Variaveis!B103:J103),Pesos_Decisao!$B$4:$J$4))</f>
        <v/>
      </c>
      <c r="E103" s="4" t="str">
        <f>IF(Variaveis!A103="","",SUMPRODUCT(N(Variaveis!B103:J103),Pesos_Decisao!$B$5:$J$5))</f>
        <v/>
      </c>
      <c r="F103" s="4" t="str">
        <f>IF(Variaveis!A103="","",SUMPRODUCT(N(Variaveis!B103:J103),Pesos_Decisao!$B$6:$J$6))</f>
        <v/>
      </c>
      <c r="G103" s="4" t="str">
        <f>IF(Variaveis!A103="","",SUMPRODUCT(N(Variaveis!B103:J103),Pesos_Decisao!$B$7:$J$7))</f>
        <v/>
      </c>
      <c r="H103" s="4" t="str">
        <f>IF(Variaveis!A103="","",SUMPRODUCT(N(Variaveis!B103:J103),Pesos_Decisao!$B$8:$J$8))</f>
        <v/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tr">
        <f>IF(Variaveis!A104="","",Variaveis!A104)</f>
        <v/>
      </c>
      <c r="B104" s="4" t="str">
        <f>IF(Variaveis!A104="","",SUMPRODUCT(N(Variaveis!B104:J104),Pesos_Decisao!$B$2:$J$2))</f>
        <v/>
      </c>
      <c r="C104" s="4" t="str">
        <f>IF(Variaveis!A104="","",SUMPRODUCT(N(Variaveis!B104:J104),Pesos_Decisao!$B$3:$J$3))</f>
        <v/>
      </c>
      <c r="D104" s="4" t="str">
        <f>IF(Variaveis!A104="","",SUMPRODUCT(N(Variaveis!B104:J104),Pesos_Decisao!$B$4:$J$4))</f>
        <v/>
      </c>
      <c r="E104" s="4" t="str">
        <f>IF(Variaveis!A104="","",SUMPRODUCT(N(Variaveis!B104:J104),Pesos_Decisao!$B$5:$J$5))</f>
        <v/>
      </c>
      <c r="F104" s="4" t="str">
        <f>IF(Variaveis!A104="","",SUMPRODUCT(N(Variaveis!B104:J104),Pesos_Decisao!$B$6:$J$6))</f>
        <v/>
      </c>
      <c r="G104" s="4" t="str">
        <f>IF(Variaveis!A104="","",SUMPRODUCT(N(Variaveis!B104:J104),Pesos_Decisao!$B$7:$J$7))</f>
        <v/>
      </c>
      <c r="H104" s="4" t="str">
        <f>IF(Variaveis!A104="","",SUMPRODUCT(N(Variaveis!B104:J104),Pesos_Decisao!$B$8:$J$8))</f>
        <v/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tr">
        <f>IF(Variaveis!A105="","",Variaveis!A105)</f>
        <v/>
      </c>
      <c r="B105" s="4" t="str">
        <f>IF(Variaveis!A105="","",SUMPRODUCT(N(Variaveis!B105:J105),Pesos_Decisao!$B$2:$J$2))</f>
        <v/>
      </c>
      <c r="C105" s="4" t="str">
        <f>IF(Variaveis!A105="","",SUMPRODUCT(N(Variaveis!B105:J105),Pesos_Decisao!$B$3:$J$3))</f>
        <v/>
      </c>
      <c r="D105" s="4" t="str">
        <f>IF(Variaveis!A105="","",SUMPRODUCT(N(Variaveis!B105:J105),Pesos_Decisao!$B$4:$J$4))</f>
        <v/>
      </c>
      <c r="E105" s="4" t="str">
        <f>IF(Variaveis!A105="","",SUMPRODUCT(N(Variaveis!B105:J105),Pesos_Decisao!$B$5:$J$5))</f>
        <v/>
      </c>
      <c r="F105" s="4" t="str">
        <f>IF(Variaveis!A105="","",SUMPRODUCT(N(Variaveis!B105:J105),Pesos_Decisao!$B$6:$J$6))</f>
        <v/>
      </c>
      <c r="G105" s="4" t="str">
        <f>IF(Variaveis!A105="","",SUMPRODUCT(N(Variaveis!B105:J105),Pesos_Decisao!$B$7:$J$7))</f>
        <v/>
      </c>
      <c r="H105" s="4" t="str">
        <f>IF(Variaveis!A105="","",SUMPRODUCT(N(Variaveis!B105:J105),Pesos_Decisao!$B$8:$J$8))</f>
        <v/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tr">
        <f>IF(Variaveis!A106="","",Variaveis!A106)</f>
        <v/>
      </c>
      <c r="B106" s="4" t="str">
        <f>IF(Variaveis!A106="","",SUMPRODUCT(N(Variaveis!B106:J106),Pesos_Decisao!$B$2:$J$2))</f>
        <v/>
      </c>
      <c r="C106" s="4" t="str">
        <f>IF(Variaveis!A106="","",SUMPRODUCT(N(Variaveis!B106:J106),Pesos_Decisao!$B$3:$J$3))</f>
        <v/>
      </c>
      <c r="D106" s="4" t="str">
        <f>IF(Variaveis!A106="","",SUMPRODUCT(N(Variaveis!B106:J106),Pesos_Decisao!$B$4:$J$4))</f>
        <v/>
      </c>
      <c r="E106" s="4" t="str">
        <f>IF(Variaveis!A106="","",SUMPRODUCT(N(Variaveis!B106:J106),Pesos_Decisao!$B$5:$J$5))</f>
        <v/>
      </c>
      <c r="F106" s="4" t="str">
        <f>IF(Variaveis!A106="","",SUMPRODUCT(N(Variaveis!B106:J106),Pesos_Decisao!$B$6:$J$6))</f>
        <v/>
      </c>
      <c r="G106" s="4" t="str">
        <f>IF(Variaveis!A106="","",SUMPRODUCT(N(Variaveis!B106:J106),Pesos_Decisao!$B$7:$J$7))</f>
        <v/>
      </c>
      <c r="H106" s="4" t="str">
        <f>IF(Variaveis!A106="","",SUMPRODUCT(N(Variaveis!B106:J106),Pesos_Decisao!$B$8:$J$8))</f>
        <v/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tr">
        <f>IF(Variaveis!A107="","",Variaveis!A107)</f>
        <v/>
      </c>
      <c r="B107" s="4" t="str">
        <f>IF(Variaveis!A107="","",SUMPRODUCT(N(Variaveis!B107:J107),Pesos_Decisao!$B$2:$J$2))</f>
        <v/>
      </c>
      <c r="C107" s="4" t="str">
        <f>IF(Variaveis!A107="","",SUMPRODUCT(N(Variaveis!B107:J107),Pesos_Decisao!$B$3:$J$3))</f>
        <v/>
      </c>
      <c r="D107" s="4" t="str">
        <f>IF(Variaveis!A107="","",SUMPRODUCT(N(Variaveis!B107:J107),Pesos_Decisao!$B$4:$J$4))</f>
        <v/>
      </c>
      <c r="E107" s="4" t="str">
        <f>IF(Variaveis!A107="","",SUMPRODUCT(N(Variaveis!B107:J107),Pesos_Decisao!$B$5:$J$5))</f>
        <v/>
      </c>
      <c r="F107" s="4" t="str">
        <f>IF(Variaveis!A107="","",SUMPRODUCT(N(Variaveis!B107:J107),Pesos_Decisao!$B$6:$J$6))</f>
        <v/>
      </c>
      <c r="G107" s="4" t="str">
        <f>IF(Variaveis!A107="","",SUMPRODUCT(N(Variaveis!B107:J107),Pesos_Decisao!$B$7:$J$7))</f>
        <v/>
      </c>
      <c r="H107" s="4" t="str">
        <f>IF(Variaveis!A107="","",SUMPRODUCT(N(Variaveis!B107:J107),Pesos_Decisao!$B$8:$J$8))</f>
        <v/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tr">
        <f>IF(Variaveis!A108="","",Variaveis!A108)</f>
        <v/>
      </c>
      <c r="B108" s="4" t="str">
        <f>IF(Variaveis!A108="","",SUMPRODUCT(N(Variaveis!B108:J108),Pesos_Decisao!$B$2:$J$2))</f>
        <v/>
      </c>
      <c r="C108" s="4" t="str">
        <f>IF(Variaveis!A108="","",SUMPRODUCT(N(Variaveis!B108:J108),Pesos_Decisao!$B$3:$J$3))</f>
        <v/>
      </c>
      <c r="D108" s="4" t="str">
        <f>IF(Variaveis!A108="","",SUMPRODUCT(N(Variaveis!B108:J108),Pesos_Decisao!$B$4:$J$4))</f>
        <v/>
      </c>
      <c r="E108" s="4" t="str">
        <f>IF(Variaveis!A108="","",SUMPRODUCT(N(Variaveis!B108:J108),Pesos_Decisao!$B$5:$J$5))</f>
        <v/>
      </c>
      <c r="F108" s="4" t="str">
        <f>IF(Variaveis!A108="","",SUMPRODUCT(N(Variaveis!B108:J108),Pesos_Decisao!$B$6:$J$6))</f>
        <v/>
      </c>
      <c r="G108" s="4" t="str">
        <f>IF(Variaveis!A108="","",SUMPRODUCT(N(Variaveis!B108:J108),Pesos_Decisao!$B$7:$J$7))</f>
        <v/>
      </c>
      <c r="H108" s="4" t="str">
        <f>IF(Variaveis!A108="","",SUMPRODUCT(N(Variaveis!B108:J108),Pesos_Decisao!$B$8:$J$8))</f>
        <v/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tr">
        <f>IF(Variaveis!A109="","",Variaveis!A109)</f>
        <v/>
      </c>
      <c r="B109" s="4" t="str">
        <f>IF(Variaveis!A109="","",SUMPRODUCT(N(Variaveis!B109:J109),Pesos_Decisao!$B$2:$J$2))</f>
        <v/>
      </c>
      <c r="C109" s="4" t="str">
        <f>IF(Variaveis!A109="","",SUMPRODUCT(N(Variaveis!B109:J109),Pesos_Decisao!$B$3:$J$3))</f>
        <v/>
      </c>
      <c r="D109" s="4" t="str">
        <f>IF(Variaveis!A109="","",SUMPRODUCT(N(Variaveis!B109:J109),Pesos_Decisao!$B$4:$J$4))</f>
        <v/>
      </c>
      <c r="E109" s="4" t="str">
        <f>IF(Variaveis!A109="","",SUMPRODUCT(N(Variaveis!B109:J109),Pesos_Decisao!$B$5:$J$5))</f>
        <v/>
      </c>
      <c r="F109" s="4" t="str">
        <f>IF(Variaveis!A109="","",SUMPRODUCT(N(Variaveis!B109:J109),Pesos_Decisao!$B$6:$J$6))</f>
        <v/>
      </c>
      <c r="G109" s="4" t="str">
        <f>IF(Variaveis!A109="","",SUMPRODUCT(N(Variaveis!B109:J109),Pesos_Decisao!$B$7:$J$7))</f>
        <v/>
      </c>
      <c r="H109" s="4" t="str">
        <f>IF(Variaveis!A109="","",SUMPRODUCT(N(Variaveis!B109:J109),Pesos_Decisao!$B$8:$J$8))</f>
        <v/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tr">
        <f>IF(Variaveis!A110="","",Variaveis!A110)</f>
        <v/>
      </c>
      <c r="B110" s="4" t="str">
        <f>IF(Variaveis!A110="","",SUMPRODUCT(N(Variaveis!B110:J110),Pesos_Decisao!$B$2:$J$2))</f>
        <v/>
      </c>
      <c r="C110" s="4" t="str">
        <f>IF(Variaveis!A110="","",SUMPRODUCT(N(Variaveis!B110:J110),Pesos_Decisao!$B$3:$J$3))</f>
        <v/>
      </c>
      <c r="D110" s="4" t="str">
        <f>IF(Variaveis!A110="","",SUMPRODUCT(N(Variaveis!B110:J110),Pesos_Decisao!$B$4:$J$4))</f>
        <v/>
      </c>
      <c r="E110" s="4" t="str">
        <f>IF(Variaveis!A110="","",SUMPRODUCT(N(Variaveis!B110:J110),Pesos_Decisao!$B$5:$J$5))</f>
        <v/>
      </c>
      <c r="F110" s="4" t="str">
        <f>IF(Variaveis!A110="","",SUMPRODUCT(N(Variaveis!B110:J110),Pesos_Decisao!$B$6:$J$6))</f>
        <v/>
      </c>
      <c r="G110" s="4" t="str">
        <f>IF(Variaveis!A110="","",SUMPRODUCT(N(Variaveis!B110:J110),Pesos_Decisao!$B$7:$J$7))</f>
        <v/>
      </c>
      <c r="H110" s="4" t="str">
        <f>IF(Variaveis!A110="","",SUMPRODUCT(N(Variaveis!B110:J110),Pesos_Decisao!$B$8:$J$8))</f>
        <v/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tr">
        <f>IF(Variaveis!A111="","",Variaveis!A111)</f>
        <v/>
      </c>
      <c r="B111" s="4" t="str">
        <f>IF(Variaveis!A111="","",SUMPRODUCT(N(Variaveis!B111:J111),Pesos_Decisao!$B$2:$J$2))</f>
        <v/>
      </c>
      <c r="C111" s="4" t="str">
        <f>IF(Variaveis!A111="","",SUMPRODUCT(N(Variaveis!B111:J111),Pesos_Decisao!$B$3:$J$3))</f>
        <v/>
      </c>
      <c r="D111" s="4" t="str">
        <f>IF(Variaveis!A111="","",SUMPRODUCT(N(Variaveis!B111:J111),Pesos_Decisao!$B$4:$J$4))</f>
        <v/>
      </c>
      <c r="E111" s="4" t="str">
        <f>IF(Variaveis!A111="","",SUMPRODUCT(N(Variaveis!B111:J111),Pesos_Decisao!$B$5:$J$5))</f>
        <v/>
      </c>
      <c r="F111" s="4" t="str">
        <f>IF(Variaveis!A111="","",SUMPRODUCT(N(Variaveis!B111:J111),Pesos_Decisao!$B$6:$J$6))</f>
        <v/>
      </c>
      <c r="G111" s="4" t="str">
        <f>IF(Variaveis!A111="","",SUMPRODUCT(N(Variaveis!B111:J111),Pesos_Decisao!$B$7:$J$7))</f>
        <v/>
      </c>
      <c r="H111" s="4" t="str">
        <f>IF(Variaveis!A111="","",SUMPRODUCT(N(Variaveis!B111:J111),Pesos_Decisao!$B$8:$J$8))</f>
        <v/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tr">
        <f>IF(Variaveis!A112="","",Variaveis!A112)</f>
        <v/>
      </c>
      <c r="B112" s="4" t="str">
        <f>IF(Variaveis!A112="","",SUMPRODUCT(N(Variaveis!B112:J112),Pesos_Decisao!$B$2:$J$2))</f>
        <v/>
      </c>
      <c r="C112" s="4" t="str">
        <f>IF(Variaveis!A112="","",SUMPRODUCT(N(Variaveis!B112:J112),Pesos_Decisao!$B$3:$J$3))</f>
        <v/>
      </c>
      <c r="D112" s="4" t="str">
        <f>IF(Variaveis!A112="","",SUMPRODUCT(N(Variaveis!B112:J112),Pesos_Decisao!$B$4:$J$4))</f>
        <v/>
      </c>
      <c r="E112" s="4" t="str">
        <f>IF(Variaveis!A112="","",SUMPRODUCT(N(Variaveis!B112:J112),Pesos_Decisao!$B$5:$J$5))</f>
        <v/>
      </c>
      <c r="F112" s="4" t="str">
        <f>IF(Variaveis!A112="","",SUMPRODUCT(N(Variaveis!B112:J112),Pesos_Decisao!$B$6:$J$6))</f>
        <v/>
      </c>
      <c r="G112" s="4" t="str">
        <f>IF(Variaveis!A112="","",SUMPRODUCT(N(Variaveis!B112:J112),Pesos_Decisao!$B$7:$J$7))</f>
        <v/>
      </c>
      <c r="H112" s="4" t="str">
        <f>IF(Variaveis!A112="","",SUMPRODUCT(N(Variaveis!B112:J112),Pesos_Decisao!$B$8:$J$8))</f>
        <v/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tr">
        <f>IF(Variaveis!A113="","",Variaveis!A113)</f>
        <v/>
      </c>
      <c r="B113" s="4" t="str">
        <f>IF(Variaveis!A113="","",SUMPRODUCT(N(Variaveis!B113:J113),Pesos_Decisao!$B$2:$J$2))</f>
        <v/>
      </c>
      <c r="C113" s="4" t="str">
        <f>IF(Variaveis!A113="","",SUMPRODUCT(N(Variaveis!B113:J113),Pesos_Decisao!$B$3:$J$3))</f>
        <v/>
      </c>
      <c r="D113" s="4" t="str">
        <f>IF(Variaveis!A113="","",SUMPRODUCT(N(Variaveis!B113:J113),Pesos_Decisao!$B$4:$J$4))</f>
        <v/>
      </c>
      <c r="E113" s="4" t="str">
        <f>IF(Variaveis!A113="","",SUMPRODUCT(N(Variaveis!B113:J113),Pesos_Decisao!$B$5:$J$5))</f>
        <v/>
      </c>
      <c r="F113" s="4" t="str">
        <f>IF(Variaveis!A113="","",SUMPRODUCT(N(Variaveis!B113:J113),Pesos_Decisao!$B$6:$J$6))</f>
        <v/>
      </c>
      <c r="G113" s="4" t="str">
        <f>IF(Variaveis!A113="","",SUMPRODUCT(N(Variaveis!B113:J113),Pesos_Decisao!$B$7:$J$7))</f>
        <v/>
      </c>
      <c r="H113" s="4" t="str">
        <f>IF(Variaveis!A113="","",SUMPRODUCT(N(Variaveis!B113:J113),Pesos_Decisao!$B$8:$J$8))</f>
        <v/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tr">
        <f>IF(Variaveis!A114="","",Variaveis!A114)</f>
        <v/>
      </c>
      <c r="B114" s="4" t="str">
        <f>IF(Variaveis!A114="","",SUMPRODUCT(N(Variaveis!B114:J114),Pesos_Decisao!$B$2:$J$2))</f>
        <v/>
      </c>
      <c r="C114" s="4" t="str">
        <f>IF(Variaveis!A114="","",SUMPRODUCT(N(Variaveis!B114:J114),Pesos_Decisao!$B$3:$J$3))</f>
        <v/>
      </c>
      <c r="D114" s="4" t="str">
        <f>IF(Variaveis!A114="","",SUMPRODUCT(N(Variaveis!B114:J114),Pesos_Decisao!$B$4:$J$4))</f>
        <v/>
      </c>
      <c r="E114" s="4" t="str">
        <f>IF(Variaveis!A114="","",SUMPRODUCT(N(Variaveis!B114:J114),Pesos_Decisao!$B$5:$J$5))</f>
        <v/>
      </c>
      <c r="F114" s="4" t="str">
        <f>IF(Variaveis!A114="","",SUMPRODUCT(N(Variaveis!B114:J114),Pesos_Decisao!$B$6:$J$6))</f>
        <v/>
      </c>
      <c r="G114" s="4" t="str">
        <f>IF(Variaveis!A114="","",SUMPRODUCT(N(Variaveis!B114:J114),Pesos_Decisao!$B$7:$J$7))</f>
        <v/>
      </c>
      <c r="H114" s="4" t="str">
        <f>IF(Variaveis!A114="","",SUMPRODUCT(N(Variaveis!B114:J114),Pesos_Decisao!$B$8:$J$8))</f>
        <v/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tr">
        <f>IF(Variaveis!A115="","",Variaveis!A115)</f>
        <v/>
      </c>
      <c r="B115" s="4" t="str">
        <f>IF(Variaveis!A115="","",SUMPRODUCT(N(Variaveis!B115:J115),Pesos_Decisao!$B$2:$J$2))</f>
        <v/>
      </c>
      <c r="C115" s="4" t="str">
        <f>IF(Variaveis!A115="","",SUMPRODUCT(N(Variaveis!B115:J115),Pesos_Decisao!$B$3:$J$3))</f>
        <v/>
      </c>
      <c r="D115" s="4" t="str">
        <f>IF(Variaveis!A115="","",SUMPRODUCT(N(Variaveis!B115:J115),Pesos_Decisao!$B$4:$J$4))</f>
        <v/>
      </c>
      <c r="E115" s="4" t="str">
        <f>IF(Variaveis!A115="","",SUMPRODUCT(N(Variaveis!B115:J115),Pesos_Decisao!$B$5:$J$5))</f>
        <v/>
      </c>
      <c r="F115" s="4" t="str">
        <f>IF(Variaveis!A115="","",SUMPRODUCT(N(Variaveis!B115:J115),Pesos_Decisao!$B$6:$J$6))</f>
        <v/>
      </c>
      <c r="G115" s="4" t="str">
        <f>IF(Variaveis!A115="","",SUMPRODUCT(N(Variaveis!B115:J115),Pesos_Decisao!$B$7:$J$7))</f>
        <v/>
      </c>
      <c r="H115" s="4" t="str">
        <f>IF(Variaveis!A115="","",SUMPRODUCT(N(Variaveis!B115:J115),Pesos_Decisao!$B$8:$J$8))</f>
        <v/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tr">
        <f>IF(Variaveis!A116="","",Variaveis!A116)</f>
        <v/>
      </c>
      <c r="B116" s="4" t="str">
        <f>IF(Variaveis!A116="","",SUMPRODUCT(N(Variaveis!B116:J116),Pesos_Decisao!$B$2:$J$2))</f>
        <v/>
      </c>
      <c r="C116" s="4" t="str">
        <f>IF(Variaveis!A116="","",SUMPRODUCT(N(Variaveis!B116:J116),Pesos_Decisao!$B$3:$J$3))</f>
        <v/>
      </c>
      <c r="D116" s="4" t="str">
        <f>IF(Variaveis!A116="","",SUMPRODUCT(N(Variaveis!B116:J116),Pesos_Decisao!$B$4:$J$4))</f>
        <v/>
      </c>
      <c r="E116" s="4" t="str">
        <f>IF(Variaveis!A116="","",SUMPRODUCT(N(Variaveis!B116:J116),Pesos_Decisao!$B$5:$J$5))</f>
        <v/>
      </c>
      <c r="F116" s="4" t="str">
        <f>IF(Variaveis!A116="","",SUMPRODUCT(N(Variaveis!B116:J116),Pesos_Decisao!$B$6:$J$6))</f>
        <v/>
      </c>
      <c r="G116" s="4" t="str">
        <f>IF(Variaveis!A116="","",SUMPRODUCT(N(Variaveis!B116:J116),Pesos_Decisao!$B$7:$J$7))</f>
        <v/>
      </c>
      <c r="H116" s="4" t="str">
        <f>IF(Variaveis!A116="","",SUMPRODUCT(N(Variaveis!B116:J116),Pesos_Decisao!$B$8:$J$8))</f>
        <v/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tr">
        <f>IF(Variaveis!A117="","",Variaveis!A117)</f>
        <v/>
      </c>
      <c r="B117" s="4" t="str">
        <f>IF(Variaveis!A117="","",SUMPRODUCT(N(Variaveis!B117:J117),Pesos_Decisao!$B$2:$J$2))</f>
        <v/>
      </c>
      <c r="C117" s="4" t="str">
        <f>IF(Variaveis!A117="","",SUMPRODUCT(N(Variaveis!B117:J117),Pesos_Decisao!$B$3:$J$3))</f>
        <v/>
      </c>
      <c r="D117" s="4" t="str">
        <f>IF(Variaveis!A117="","",SUMPRODUCT(N(Variaveis!B117:J117),Pesos_Decisao!$B$4:$J$4))</f>
        <v/>
      </c>
      <c r="E117" s="4" t="str">
        <f>IF(Variaveis!A117="","",SUMPRODUCT(N(Variaveis!B117:J117),Pesos_Decisao!$B$5:$J$5))</f>
        <v/>
      </c>
      <c r="F117" s="4" t="str">
        <f>IF(Variaveis!A117="","",SUMPRODUCT(N(Variaveis!B117:J117),Pesos_Decisao!$B$6:$J$6))</f>
        <v/>
      </c>
      <c r="G117" s="4" t="str">
        <f>IF(Variaveis!A117="","",SUMPRODUCT(N(Variaveis!B117:J117),Pesos_Decisao!$B$7:$J$7))</f>
        <v/>
      </c>
      <c r="H117" s="4" t="str">
        <f>IF(Variaveis!A117="","",SUMPRODUCT(N(Variaveis!B117:J117),Pesos_Decisao!$B$8:$J$8))</f>
        <v/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tr">
        <f>IF(Variaveis!A118="","",Variaveis!A118)</f>
        <v/>
      </c>
      <c r="B118" s="4" t="str">
        <f>IF(Variaveis!A118="","",SUMPRODUCT(N(Variaveis!B118:J118),Pesos_Decisao!$B$2:$J$2))</f>
        <v/>
      </c>
      <c r="C118" s="4" t="str">
        <f>IF(Variaveis!A118="","",SUMPRODUCT(N(Variaveis!B118:J118),Pesos_Decisao!$B$3:$J$3))</f>
        <v/>
      </c>
      <c r="D118" s="4" t="str">
        <f>IF(Variaveis!A118="","",SUMPRODUCT(N(Variaveis!B118:J118),Pesos_Decisao!$B$4:$J$4))</f>
        <v/>
      </c>
      <c r="E118" s="4" t="str">
        <f>IF(Variaveis!A118="","",SUMPRODUCT(N(Variaveis!B118:J118),Pesos_Decisao!$B$5:$J$5))</f>
        <v/>
      </c>
      <c r="F118" s="4" t="str">
        <f>IF(Variaveis!A118="","",SUMPRODUCT(N(Variaveis!B118:J118),Pesos_Decisao!$B$6:$J$6))</f>
        <v/>
      </c>
      <c r="G118" s="4" t="str">
        <f>IF(Variaveis!A118="","",SUMPRODUCT(N(Variaveis!B118:J118),Pesos_Decisao!$B$7:$J$7))</f>
        <v/>
      </c>
      <c r="H118" s="4" t="str">
        <f>IF(Variaveis!A118="","",SUMPRODUCT(N(Variaveis!B118:J118),Pesos_Decisao!$B$8:$J$8))</f>
        <v/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tr">
        <f>IF(Variaveis!A119="","",Variaveis!A119)</f>
        <v/>
      </c>
      <c r="B119" s="4" t="str">
        <f>IF(Variaveis!A119="","",SUMPRODUCT(N(Variaveis!B119:J119),Pesos_Decisao!$B$2:$J$2))</f>
        <v/>
      </c>
      <c r="C119" s="4" t="str">
        <f>IF(Variaveis!A119="","",SUMPRODUCT(N(Variaveis!B119:J119),Pesos_Decisao!$B$3:$J$3))</f>
        <v/>
      </c>
      <c r="D119" s="4" t="str">
        <f>IF(Variaveis!A119="","",SUMPRODUCT(N(Variaveis!B119:J119),Pesos_Decisao!$B$4:$J$4))</f>
        <v/>
      </c>
      <c r="E119" s="4" t="str">
        <f>IF(Variaveis!A119="","",SUMPRODUCT(N(Variaveis!B119:J119),Pesos_Decisao!$B$5:$J$5))</f>
        <v/>
      </c>
      <c r="F119" s="4" t="str">
        <f>IF(Variaveis!A119="","",SUMPRODUCT(N(Variaveis!B119:J119),Pesos_Decisao!$B$6:$J$6))</f>
        <v/>
      </c>
      <c r="G119" s="4" t="str">
        <f>IF(Variaveis!A119="","",SUMPRODUCT(N(Variaveis!B119:J119),Pesos_Decisao!$B$7:$J$7))</f>
        <v/>
      </c>
      <c r="H119" s="4" t="str">
        <f>IF(Variaveis!A119="","",SUMPRODUCT(N(Variaveis!B119:J119),Pesos_Decisao!$B$8:$J$8))</f>
        <v/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tr">
        <f>IF(Variaveis!A120="","",Variaveis!A120)</f>
        <v/>
      </c>
      <c r="B120" s="4" t="str">
        <f>IF(Variaveis!A120="","",SUMPRODUCT(N(Variaveis!B120:J120),Pesos_Decisao!$B$2:$J$2))</f>
        <v/>
      </c>
      <c r="C120" s="4" t="str">
        <f>IF(Variaveis!A120="","",SUMPRODUCT(N(Variaveis!B120:J120),Pesos_Decisao!$B$3:$J$3))</f>
        <v/>
      </c>
      <c r="D120" s="4" t="str">
        <f>IF(Variaveis!A120="","",SUMPRODUCT(N(Variaveis!B120:J120),Pesos_Decisao!$B$4:$J$4))</f>
        <v/>
      </c>
      <c r="E120" s="4" t="str">
        <f>IF(Variaveis!A120="","",SUMPRODUCT(N(Variaveis!B120:J120),Pesos_Decisao!$B$5:$J$5))</f>
        <v/>
      </c>
      <c r="F120" s="4" t="str">
        <f>IF(Variaveis!A120="","",SUMPRODUCT(N(Variaveis!B120:J120),Pesos_Decisao!$B$6:$J$6))</f>
        <v/>
      </c>
      <c r="G120" s="4" t="str">
        <f>IF(Variaveis!A120="","",SUMPRODUCT(N(Variaveis!B120:J120),Pesos_Decisao!$B$7:$J$7))</f>
        <v/>
      </c>
      <c r="H120" s="4" t="str">
        <f>IF(Variaveis!A120="","",SUMPRODUCT(N(Variaveis!B120:J120),Pesos_Decisao!$B$8:$J$8))</f>
        <v/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tr">
        <f>IF(Variaveis!A121="","",Variaveis!A121)</f>
        <v/>
      </c>
      <c r="B121" s="4" t="str">
        <f>IF(Variaveis!A121="","",SUMPRODUCT(N(Variaveis!B121:J121),Pesos_Decisao!$B$2:$J$2))</f>
        <v/>
      </c>
      <c r="C121" s="4" t="str">
        <f>IF(Variaveis!A121="","",SUMPRODUCT(N(Variaveis!B121:J121),Pesos_Decisao!$B$3:$J$3))</f>
        <v/>
      </c>
      <c r="D121" s="4" t="str">
        <f>IF(Variaveis!A121="","",SUMPRODUCT(N(Variaveis!B121:J121),Pesos_Decisao!$B$4:$J$4))</f>
        <v/>
      </c>
      <c r="E121" s="4" t="str">
        <f>IF(Variaveis!A121="","",SUMPRODUCT(N(Variaveis!B121:J121),Pesos_Decisao!$B$5:$J$5))</f>
        <v/>
      </c>
      <c r="F121" s="4" t="str">
        <f>IF(Variaveis!A121="","",SUMPRODUCT(N(Variaveis!B121:J121),Pesos_Decisao!$B$6:$J$6))</f>
        <v/>
      </c>
      <c r="G121" s="4" t="str">
        <f>IF(Variaveis!A121="","",SUMPRODUCT(N(Variaveis!B121:J121),Pesos_Decisao!$B$7:$J$7))</f>
        <v/>
      </c>
      <c r="H121" s="4" t="str">
        <f>IF(Variaveis!A121="","",SUMPRODUCT(N(Variaveis!B121:J121),Pesos_Decisao!$B$8:$J$8))</f>
        <v/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tr">
        <f>IF(Variaveis!A122="","",Variaveis!A122)</f>
        <v/>
      </c>
      <c r="B122" s="4" t="str">
        <f>IF(Variaveis!A122="","",SUMPRODUCT(N(Variaveis!B122:J122),Pesos_Decisao!$B$2:$J$2))</f>
        <v/>
      </c>
      <c r="C122" s="4" t="str">
        <f>IF(Variaveis!A122="","",SUMPRODUCT(N(Variaveis!B122:J122),Pesos_Decisao!$B$3:$J$3))</f>
        <v/>
      </c>
      <c r="D122" s="4" t="str">
        <f>IF(Variaveis!A122="","",SUMPRODUCT(N(Variaveis!B122:J122),Pesos_Decisao!$B$4:$J$4))</f>
        <v/>
      </c>
      <c r="E122" s="4" t="str">
        <f>IF(Variaveis!A122="","",SUMPRODUCT(N(Variaveis!B122:J122),Pesos_Decisao!$B$5:$J$5))</f>
        <v/>
      </c>
      <c r="F122" s="4" t="str">
        <f>IF(Variaveis!A122="","",SUMPRODUCT(N(Variaveis!B122:J122),Pesos_Decisao!$B$6:$J$6))</f>
        <v/>
      </c>
      <c r="G122" s="4" t="str">
        <f>IF(Variaveis!A122="","",SUMPRODUCT(N(Variaveis!B122:J122),Pesos_Decisao!$B$7:$J$7))</f>
        <v/>
      </c>
      <c r="H122" s="4" t="str">
        <f>IF(Variaveis!A122="","",SUMPRODUCT(N(Variaveis!B122:J122),Pesos_Decisao!$B$8:$J$8))</f>
        <v/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tr">
        <f>IF(Variaveis!A123="","",Variaveis!A123)</f>
        <v/>
      </c>
      <c r="B123" s="4" t="str">
        <f>IF(Variaveis!A123="","",SUMPRODUCT(N(Variaveis!B123:J123),Pesos_Decisao!$B$2:$J$2))</f>
        <v/>
      </c>
      <c r="C123" s="4" t="str">
        <f>IF(Variaveis!A123="","",SUMPRODUCT(N(Variaveis!B123:J123),Pesos_Decisao!$B$3:$J$3))</f>
        <v/>
      </c>
      <c r="D123" s="4" t="str">
        <f>IF(Variaveis!A123="","",SUMPRODUCT(N(Variaveis!B123:J123),Pesos_Decisao!$B$4:$J$4))</f>
        <v/>
      </c>
      <c r="E123" s="4" t="str">
        <f>IF(Variaveis!A123="","",SUMPRODUCT(N(Variaveis!B123:J123),Pesos_Decisao!$B$5:$J$5))</f>
        <v/>
      </c>
      <c r="F123" s="4" t="str">
        <f>IF(Variaveis!A123="","",SUMPRODUCT(N(Variaveis!B123:J123),Pesos_Decisao!$B$6:$J$6))</f>
        <v/>
      </c>
      <c r="G123" s="4" t="str">
        <f>IF(Variaveis!A123="","",SUMPRODUCT(N(Variaveis!B123:J123),Pesos_Decisao!$B$7:$J$7))</f>
        <v/>
      </c>
      <c r="H123" s="4" t="str">
        <f>IF(Variaveis!A123="","",SUMPRODUCT(N(Variaveis!B123:J123),Pesos_Decisao!$B$8:$J$8))</f>
        <v/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tr">
        <f>IF(Variaveis!A124="","",Variaveis!A124)</f>
        <v/>
      </c>
      <c r="B124" s="4" t="str">
        <f>IF(Variaveis!A124="","",SUMPRODUCT(N(Variaveis!B124:J124),Pesos_Decisao!$B$2:$J$2))</f>
        <v/>
      </c>
      <c r="C124" s="4" t="str">
        <f>IF(Variaveis!A124="","",SUMPRODUCT(N(Variaveis!B124:J124),Pesos_Decisao!$B$3:$J$3))</f>
        <v/>
      </c>
      <c r="D124" s="4" t="str">
        <f>IF(Variaveis!A124="","",SUMPRODUCT(N(Variaveis!B124:J124),Pesos_Decisao!$B$4:$J$4))</f>
        <v/>
      </c>
      <c r="E124" s="4" t="str">
        <f>IF(Variaveis!A124="","",SUMPRODUCT(N(Variaveis!B124:J124),Pesos_Decisao!$B$5:$J$5))</f>
        <v/>
      </c>
      <c r="F124" s="4" t="str">
        <f>IF(Variaveis!A124="","",SUMPRODUCT(N(Variaveis!B124:J124),Pesos_Decisao!$B$6:$J$6))</f>
        <v/>
      </c>
      <c r="G124" s="4" t="str">
        <f>IF(Variaveis!A124="","",SUMPRODUCT(N(Variaveis!B124:J124),Pesos_Decisao!$B$7:$J$7))</f>
        <v/>
      </c>
      <c r="H124" s="4" t="str">
        <f>IF(Variaveis!A124="","",SUMPRODUCT(N(Variaveis!B124:J124),Pesos_Decisao!$B$8:$J$8))</f>
        <v/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tr">
        <f>IF(Variaveis!A125="","",Variaveis!A125)</f>
        <v/>
      </c>
      <c r="B125" s="4" t="str">
        <f>IF(Variaveis!A125="","",SUMPRODUCT(N(Variaveis!B125:J125),Pesos_Decisao!$B$2:$J$2))</f>
        <v/>
      </c>
      <c r="C125" s="4" t="str">
        <f>IF(Variaveis!A125="","",SUMPRODUCT(N(Variaveis!B125:J125),Pesos_Decisao!$B$3:$J$3))</f>
        <v/>
      </c>
      <c r="D125" s="4" t="str">
        <f>IF(Variaveis!A125="","",SUMPRODUCT(N(Variaveis!B125:J125),Pesos_Decisao!$B$4:$J$4))</f>
        <v/>
      </c>
      <c r="E125" s="4" t="str">
        <f>IF(Variaveis!A125="","",SUMPRODUCT(N(Variaveis!B125:J125),Pesos_Decisao!$B$5:$J$5))</f>
        <v/>
      </c>
      <c r="F125" s="4" t="str">
        <f>IF(Variaveis!A125="","",SUMPRODUCT(N(Variaveis!B125:J125),Pesos_Decisao!$B$6:$J$6))</f>
        <v/>
      </c>
      <c r="G125" s="4" t="str">
        <f>IF(Variaveis!A125="","",SUMPRODUCT(N(Variaveis!B125:J125),Pesos_Decisao!$B$7:$J$7))</f>
        <v/>
      </c>
      <c r="H125" s="4" t="str">
        <f>IF(Variaveis!A125="","",SUMPRODUCT(N(Variaveis!B125:J125),Pesos_Decisao!$B$8:$J$8))</f>
        <v/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tr">
        <f>IF(Variaveis!A126="","",Variaveis!A126)</f>
        <v/>
      </c>
      <c r="B126" s="4" t="str">
        <f>IF(Variaveis!A126="","",SUMPRODUCT(N(Variaveis!B126:J126),Pesos_Decisao!$B$2:$J$2))</f>
        <v/>
      </c>
      <c r="C126" s="4" t="str">
        <f>IF(Variaveis!A126="","",SUMPRODUCT(N(Variaveis!B126:J126),Pesos_Decisao!$B$3:$J$3))</f>
        <v/>
      </c>
      <c r="D126" s="4" t="str">
        <f>IF(Variaveis!A126="","",SUMPRODUCT(N(Variaveis!B126:J126),Pesos_Decisao!$B$4:$J$4))</f>
        <v/>
      </c>
      <c r="E126" s="4" t="str">
        <f>IF(Variaveis!A126="","",SUMPRODUCT(N(Variaveis!B126:J126),Pesos_Decisao!$B$5:$J$5))</f>
        <v/>
      </c>
      <c r="F126" s="4" t="str">
        <f>IF(Variaveis!A126="","",SUMPRODUCT(N(Variaveis!B126:J126),Pesos_Decisao!$B$6:$J$6))</f>
        <v/>
      </c>
      <c r="G126" s="4" t="str">
        <f>IF(Variaveis!A126="","",SUMPRODUCT(N(Variaveis!B126:J126),Pesos_Decisao!$B$7:$J$7))</f>
        <v/>
      </c>
      <c r="H126" s="4" t="str">
        <f>IF(Variaveis!A126="","",SUMPRODUCT(N(Variaveis!B126:J126),Pesos_Decisao!$B$8:$J$8))</f>
        <v/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tr">
        <f>IF(Variaveis!A127="","",Variaveis!A127)</f>
        <v/>
      </c>
      <c r="B127" s="4" t="str">
        <f>IF(Variaveis!A127="","",SUMPRODUCT(N(Variaveis!B127:J127),Pesos_Decisao!$B$2:$J$2))</f>
        <v/>
      </c>
      <c r="C127" s="4" t="str">
        <f>IF(Variaveis!A127="","",SUMPRODUCT(N(Variaveis!B127:J127),Pesos_Decisao!$B$3:$J$3))</f>
        <v/>
      </c>
      <c r="D127" s="4" t="str">
        <f>IF(Variaveis!A127="","",SUMPRODUCT(N(Variaveis!B127:J127),Pesos_Decisao!$B$4:$J$4))</f>
        <v/>
      </c>
      <c r="E127" s="4" t="str">
        <f>IF(Variaveis!A127="","",SUMPRODUCT(N(Variaveis!B127:J127),Pesos_Decisao!$B$5:$J$5))</f>
        <v/>
      </c>
      <c r="F127" s="4" t="str">
        <f>IF(Variaveis!A127="","",SUMPRODUCT(N(Variaveis!B127:J127),Pesos_Decisao!$B$6:$J$6))</f>
        <v/>
      </c>
      <c r="G127" s="4" t="str">
        <f>IF(Variaveis!A127="","",SUMPRODUCT(N(Variaveis!B127:J127),Pesos_Decisao!$B$7:$J$7))</f>
        <v/>
      </c>
      <c r="H127" s="4" t="str">
        <f>IF(Variaveis!A127="","",SUMPRODUCT(N(Variaveis!B127:J127),Pesos_Decisao!$B$8:$J$8))</f>
        <v/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tr">
        <f>IF(Variaveis!A128="","",Variaveis!A128)</f>
        <v/>
      </c>
      <c r="B128" s="4" t="str">
        <f>IF(Variaveis!A128="","",SUMPRODUCT(N(Variaveis!B128:J128),Pesos_Decisao!$B$2:$J$2))</f>
        <v/>
      </c>
      <c r="C128" s="4" t="str">
        <f>IF(Variaveis!A128="","",SUMPRODUCT(N(Variaveis!B128:J128),Pesos_Decisao!$B$3:$J$3))</f>
        <v/>
      </c>
      <c r="D128" s="4" t="str">
        <f>IF(Variaveis!A128="","",SUMPRODUCT(N(Variaveis!B128:J128),Pesos_Decisao!$B$4:$J$4))</f>
        <v/>
      </c>
      <c r="E128" s="4" t="str">
        <f>IF(Variaveis!A128="","",SUMPRODUCT(N(Variaveis!B128:J128),Pesos_Decisao!$B$5:$J$5))</f>
        <v/>
      </c>
      <c r="F128" s="4" t="str">
        <f>IF(Variaveis!A128="","",SUMPRODUCT(N(Variaveis!B128:J128),Pesos_Decisao!$B$6:$J$6))</f>
        <v/>
      </c>
      <c r="G128" s="4" t="str">
        <f>IF(Variaveis!A128="","",SUMPRODUCT(N(Variaveis!B128:J128),Pesos_Decisao!$B$7:$J$7))</f>
        <v/>
      </c>
      <c r="H128" s="4" t="str">
        <f>IF(Variaveis!A128="","",SUMPRODUCT(N(Variaveis!B128:J128),Pesos_Decisao!$B$8:$J$8))</f>
        <v/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tr">
        <f>IF(Variaveis!A129="","",Variaveis!A129)</f>
        <v/>
      </c>
      <c r="B129" s="4" t="str">
        <f>IF(Variaveis!A129="","",SUMPRODUCT(N(Variaveis!B129:J129),Pesos_Decisao!$B$2:$J$2))</f>
        <v/>
      </c>
      <c r="C129" s="4" t="str">
        <f>IF(Variaveis!A129="","",SUMPRODUCT(N(Variaveis!B129:J129),Pesos_Decisao!$B$3:$J$3))</f>
        <v/>
      </c>
      <c r="D129" s="4" t="str">
        <f>IF(Variaveis!A129="","",SUMPRODUCT(N(Variaveis!B129:J129),Pesos_Decisao!$B$4:$J$4))</f>
        <v/>
      </c>
      <c r="E129" s="4" t="str">
        <f>IF(Variaveis!A129="","",SUMPRODUCT(N(Variaveis!B129:J129),Pesos_Decisao!$B$5:$J$5))</f>
        <v/>
      </c>
      <c r="F129" s="4" t="str">
        <f>IF(Variaveis!A129="","",SUMPRODUCT(N(Variaveis!B129:J129),Pesos_Decisao!$B$6:$J$6))</f>
        <v/>
      </c>
      <c r="G129" s="4" t="str">
        <f>IF(Variaveis!A129="","",SUMPRODUCT(N(Variaveis!B129:J129),Pesos_Decisao!$B$7:$J$7))</f>
        <v/>
      </c>
      <c r="H129" s="4" t="str">
        <f>IF(Variaveis!A129="","",SUMPRODUCT(N(Variaveis!B129:J129),Pesos_Decisao!$B$8:$J$8))</f>
        <v/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tr">
        <f>IF(Variaveis!A130="","",Variaveis!A130)</f>
        <v/>
      </c>
      <c r="B130" s="4" t="str">
        <f>IF(Variaveis!A130="","",SUMPRODUCT(N(Variaveis!B130:J130),Pesos_Decisao!$B$2:$J$2))</f>
        <v/>
      </c>
      <c r="C130" s="4" t="str">
        <f>IF(Variaveis!A130="","",SUMPRODUCT(N(Variaveis!B130:J130),Pesos_Decisao!$B$3:$J$3))</f>
        <v/>
      </c>
      <c r="D130" s="4" t="str">
        <f>IF(Variaveis!A130="","",SUMPRODUCT(N(Variaveis!B130:J130),Pesos_Decisao!$B$4:$J$4))</f>
        <v/>
      </c>
      <c r="E130" s="4" t="str">
        <f>IF(Variaveis!A130="","",SUMPRODUCT(N(Variaveis!B130:J130),Pesos_Decisao!$B$5:$J$5))</f>
        <v/>
      </c>
      <c r="F130" s="4" t="str">
        <f>IF(Variaveis!A130="","",SUMPRODUCT(N(Variaveis!B130:J130),Pesos_Decisao!$B$6:$J$6))</f>
        <v/>
      </c>
      <c r="G130" s="4" t="str">
        <f>IF(Variaveis!A130="","",SUMPRODUCT(N(Variaveis!B130:J130),Pesos_Decisao!$B$7:$J$7))</f>
        <v/>
      </c>
      <c r="H130" s="4" t="str">
        <f>IF(Variaveis!A130="","",SUMPRODUCT(N(Variaveis!B130:J130),Pesos_Decisao!$B$8:$J$8))</f>
        <v/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tr">
        <f>IF(Variaveis!A131="","",Variaveis!A131)</f>
        <v/>
      </c>
      <c r="B131" s="4" t="str">
        <f>IF(Variaveis!A131="","",SUMPRODUCT(N(Variaveis!B131:J131),Pesos_Decisao!$B$2:$J$2))</f>
        <v/>
      </c>
      <c r="C131" s="4" t="str">
        <f>IF(Variaveis!A131="","",SUMPRODUCT(N(Variaveis!B131:J131),Pesos_Decisao!$B$3:$J$3))</f>
        <v/>
      </c>
      <c r="D131" s="4" t="str">
        <f>IF(Variaveis!A131="","",SUMPRODUCT(N(Variaveis!B131:J131),Pesos_Decisao!$B$4:$J$4))</f>
        <v/>
      </c>
      <c r="E131" s="4" t="str">
        <f>IF(Variaveis!A131="","",SUMPRODUCT(N(Variaveis!B131:J131),Pesos_Decisao!$B$5:$J$5))</f>
        <v/>
      </c>
      <c r="F131" s="4" t="str">
        <f>IF(Variaveis!A131="","",SUMPRODUCT(N(Variaveis!B131:J131),Pesos_Decisao!$B$6:$J$6))</f>
        <v/>
      </c>
      <c r="G131" s="4" t="str">
        <f>IF(Variaveis!A131="","",SUMPRODUCT(N(Variaveis!B131:J131),Pesos_Decisao!$B$7:$J$7))</f>
        <v/>
      </c>
      <c r="H131" s="4" t="str">
        <f>IF(Variaveis!A131="","",SUMPRODUCT(N(Variaveis!B131:J131),Pesos_Decisao!$B$8:$J$8))</f>
        <v/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tr">
        <f>IF(Variaveis!A132="","",Variaveis!A132)</f>
        <v/>
      </c>
      <c r="B132" s="4" t="str">
        <f>IF(Variaveis!A132="","",SUMPRODUCT(N(Variaveis!B132:J132),Pesos_Decisao!$B$2:$J$2))</f>
        <v/>
      </c>
      <c r="C132" s="4" t="str">
        <f>IF(Variaveis!A132="","",SUMPRODUCT(N(Variaveis!B132:J132),Pesos_Decisao!$B$3:$J$3))</f>
        <v/>
      </c>
      <c r="D132" s="4" t="str">
        <f>IF(Variaveis!A132="","",SUMPRODUCT(N(Variaveis!B132:J132),Pesos_Decisao!$B$4:$J$4))</f>
        <v/>
      </c>
      <c r="E132" s="4" t="str">
        <f>IF(Variaveis!A132="","",SUMPRODUCT(N(Variaveis!B132:J132),Pesos_Decisao!$B$5:$J$5))</f>
        <v/>
      </c>
      <c r="F132" s="4" t="str">
        <f>IF(Variaveis!A132="","",SUMPRODUCT(N(Variaveis!B132:J132),Pesos_Decisao!$B$6:$J$6))</f>
        <v/>
      </c>
      <c r="G132" s="4" t="str">
        <f>IF(Variaveis!A132="","",SUMPRODUCT(N(Variaveis!B132:J132),Pesos_Decisao!$B$7:$J$7))</f>
        <v/>
      </c>
      <c r="H132" s="4" t="str">
        <f>IF(Variaveis!A132="","",SUMPRODUCT(N(Variaveis!B132:J132),Pesos_Decisao!$B$8:$J$8))</f>
        <v/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tr">
        <f>IF(Variaveis!A133="","",Variaveis!A133)</f>
        <v/>
      </c>
      <c r="B133" s="4" t="str">
        <f>IF(Variaveis!A133="","",SUMPRODUCT(N(Variaveis!B133:J133),Pesos_Decisao!$B$2:$J$2))</f>
        <v/>
      </c>
      <c r="C133" s="4" t="str">
        <f>IF(Variaveis!A133="","",SUMPRODUCT(N(Variaveis!B133:J133),Pesos_Decisao!$B$3:$J$3))</f>
        <v/>
      </c>
      <c r="D133" s="4" t="str">
        <f>IF(Variaveis!A133="","",SUMPRODUCT(N(Variaveis!B133:J133),Pesos_Decisao!$B$4:$J$4))</f>
        <v/>
      </c>
      <c r="E133" s="4" t="str">
        <f>IF(Variaveis!A133="","",SUMPRODUCT(N(Variaveis!B133:J133),Pesos_Decisao!$B$5:$J$5))</f>
        <v/>
      </c>
      <c r="F133" s="4" t="str">
        <f>IF(Variaveis!A133="","",SUMPRODUCT(N(Variaveis!B133:J133),Pesos_Decisao!$B$6:$J$6))</f>
        <v/>
      </c>
      <c r="G133" s="4" t="str">
        <f>IF(Variaveis!A133="","",SUMPRODUCT(N(Variaveis!B133:J133),Pesos_Decisao!$B$7:$J$7))</f>
        <v/>
      </c>
      <c r="H133" s="4" t="str">
        <f>IF(Variaveis!A133="","",SUMPRODUCT(N(Variaveis!B133:J133),Pesos_Decisao!$B$8:$J$8))</f>
        <v/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tr">
        <f>IF(Variaveis!A134="","",Variaveis!A134)</f>
        <v/>
      </c>
      <c r="B134" s="4" t="str">
        <f>IF(Variaveis!A134="","",SUMPRODUCT(N(Variaveis!B134:J134),Pesos_Decisao!$B$2:$J$2))</f>
        <v/>
      </c>
      <c r="C134" s="4" t="str">
        <f>IF(Variaveis!A134="","",SUMPRODUCT(N(Variaveis!B134:J134),Pesos_Decisao!$B$3:$J$3))</f>
        <v/>
      </c>
      <c r="D134" s="4" t="str">
        <f>IF(Variaveis!A134="","",SUMPRODUCT(N(Variaveis!B134:J134),Pesos_Decisao!$B$4:$J$4))</f>
        <v/>
      </c>
      <c r="E134" s="4" t="str">
        <f>IF(Variaveis!A134="","",SUMPRODUCT(N(Variaveis!B134:J134),Pesos_Decisao!$B$5:$J$5))</f>
        <v/>
      </c>
      <c r="F134" s="4" t="str">
        <f>IF(Variaveis!A134="","",SUMPRODUCT(N(Variaveis!B134:J134),Pesos_Decisao!$B$6:$J$6))</f>
        <v/>
      </c>
      <c r="G134" s="4" t="str">
        <f>IF(Variaveis!A134="","",SUMPRODUCT(N(Variaveis!B134:J134),Pesos_Decisao!$B$7:$J$7))</f>
        <v/>
      </c>
      <c r="H134" s="4" t="str">
        <f>IF(Variaveis!A134="","",SUMPRODUCT(N(Variaveis!B134:J134),Pesos_Decisao!$B$8:$J$8))</f>
        <v/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tr">
        <f>IF(Variaveis!A135="","",Variaveis!A135)</f>
        <v/>
      </c>
      <c r="B135" s="4" t="str">
        <f>IF(Variaveis!A135="","",SUMPRODUCT(N(Variaveis!B135:J135),Pesos_Decisao!$B$2:$J$2))</f>
        <v/>
      </c>
      <c r="C135" s="4" t="str">
        <f>IF(Variaveis!A135="","",SUMPRODUCT(N(Variaveis!B135:J135),Pesos_Decisao!$B$3:$J$3))</f>
        <v/>
      </c>
      <c r="D135" s="4" t="str">
        <f>IF(Variaveis!A135="","",SUMPRODUCT(N(Variaveis!B135:J135),Pesos_Decisao!$B$4:$J$4))</f>
        <v/>
      </c>
      <c r="E135" s="4" t="str">
        <f>IF(Variaveis!A135="","",SUMPRODUCT(N(Variaveis!B135:J135),Pesos_Decisao!$B$5:$J$5))</f>
        <v/>
      </c>
      <c r="F135" s="4" t="str">
        <f>IF(Variaveis!A135="","",SUMPRODUCT(N(Variaveis!B135:J135),Pesos_Decisao!$B$6:$J$6))</f>
        <v/>
      </c>
      <c r="G135" s="4" t="str">
        <f>IF(Variaveis!A135="","",SUMPRODUCT(N(Variaveis!B135:J135),Pesos_Decisao!$B$7:$J$7))</f>
        <v/>
      </c>
      <c r="H135" s="4" t="str">
        <f>IF(Variaveis!A135="","",SUMPRODUCT(N(Variaveis!B135:J135),Pesos_Decisao!$B$8:$J$8))</f>
        <v/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tr">
        <f>IF(Variaveis!A136="","",Variaveis!A136)</f>
        <v/>
      </c>
      <c r="B136" s="4" t="str">
        <f>IF(Variaveis!A136="","",SUMPRODUCT(N(Variaveis!B136:J136),Pesos_Decisao!$B$2:$J$2))</f>
        <v/>
      </c>
      <c r="C136" s="4" t="str">
        <f>IF(Variaveis!A136="","",SUMPRODUCT(N(Variaveis!B136:J136),Pesos_Decisao!$B$3:$J$3))</f>
        <v/>
      </c>
      <c r="D136" s="4" t="str">
        <f>IF(Variaveis!A136="","",SUMPRODUCT(N(Variaveis!B136:J136),Pesos_Decisao!$B$4:$J$4))</f>
        <v/>
      </c>
      <c r="E136" s="4" t="str">
        <f>IF(Variaveis!A136="","",SUMPRODUCT(N(Variaveis!B136:J136),Pesos_Decisao!$B$5:$J$5))</f>
        <v/>
      </c>
      <c r="F136" s="4" t="str">
        <f>IF(Variaveis!A136="","",SUMPRODUCT(N(Variaveis!B136:J136),Pesos_Decisao!$B$6:$J$6))</f>
        <v/>
      </c>
      <c r="G136" s="4" t="str">
        <f>IF(Variaveis!A136="","",SUMPRODUCT(N(Variaveis!B136:J136),Pesos_Decisao!$B$7:$J$7))</f>
        <v/>
      </c>
      <c r="H136" s="4" t="str">
        <f>IF(Variaveis!A136="","",SUMPRODUCT(N(Variaveis!B136:J136),Pesos_Decisao!$B$8:$J$8))</f>
        <v/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tr">
        <f>IF(Variaveis!A137="","",Variaveis!A137)</f>
        <v/>
      </c>
      <c r="B137" s="4" t="str">
        <f>IF(Variaveis!A137="","",SUMPRODUCT(N(Variaveis!B137:J137),Pesos_Decisao!$B$2:$J$2))</f>
        <v/>
      </c>
      <c r="C137" s="4" t="str">
        <f>IF(Variaveis!A137="","",SUMPRODUCT(N(Variaveis!B137:J137),Pesos_Decisao!$B$3:$J$3))</f>
        <v/>
      </c>
      <c r="D137" s="4" t="str">
        <f>IF(Variaveis!A137="","",SUMPRODUCT(N(Variaveis!B137:J137),Pesos_Decisao!$B$4:$J$4))</f>
        <v/>
      </c>
      <c r="E137" s="4" t="str">
        <f>IF(Variaveis!A137="","",SUMPRODUCT(N(Variaveis!B137:J137),Pesos_Decisao!$B$5:$J$5))</f>
        <v/>
      </c>
      <c r="F137" s="4" t="str">
        <f>IF(Variaveis!A137="","",SUMPRODUCT(N(Variaveis!B137:J137),Pesos_Decisao!$B$6:$J$6))</f>
        <v/>
      </c>
      <c r="G137" s="4" t="str">
        <f>IF(Variaveis!A137="","",SUMPRODUCT(N(Variaveis!B137:J137),Pesos_Decisao!$B$7:$J$7))</f>
        <v/>
      </c>
      <c r="H137" s="4" t="str">
        <f>IF(Variaveis!A137="","",SUMPRODUCT(N(Variaveis!B137:J137),Pesos_Decisao!$B$8:$J$8))</f>
        <v/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tr">
        <f>IF(Variaveis!A138="","",Variaveis!A138)</f>
        <v/>
      </c>
      <c r="B138" s="4" t="str">
        <f>IF(Variaveis!A138="","",SUMPRODUCT(N(Variaveis!B138:J138),Pesos_Decisao!$B$2:$J$2))</f>
        <v/>
      </c>
      <c r="C138" s="4" t="str">
        <f>IF(Variaveis!A138="","",SUMPRODUCT(N(Variaveis!B138:J138),Pesos_Decisao!$B$3:$J$3))</f>
        <v/>
      </c>
      <c r="D138" s="4" t="str">
        <f>IF(Variaveis!A138="","",SUMPRODUCT(N(Variaveis!B138:J138),Pesos_Decisao!$B$4:$J$4))</f>
        <v/>
      </c>
      <c r="E138" s="4" t="str">
        <f>IF(Variaveis!A138="","",SUMPRODUCT(N(Variaveis!B138:J138),Pesos_Decisao!$B$5:$J$5))</f>
        <v/>
      </c>
      <c r="F138" s="4" t="str">
        <f>IF(Variaveis!A138="","",SUMPRODUCT(N(Variaveis!B138:J138),Pesos_Decisao!$B$6:$J$6))</f>
        <v/>
      </c>
      <c r="G138" s="4" t="str">
        <f>IF(Variaveis!A138="","",SUMPRODUCT(N(Variaveis!B138:J138),Pesos_Decisao!$B$7:$J$7))</f>
        <v/>
      </c>
      <c r="H138" s="4" t="str">
        <f>IF(Variaveis!A138="","",SUMPRODUCT(N(Variaveis!B138:J138),Pesos_Decisao!$B$8:$J$8))</f>
        <v/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tr">
        <f>IF(Variaveis!A139="","",Variaveis!A139)</f>
        <v/>
      </c>
      <c r="B139" s="4" t="str">
        <f>IF(Variaveis!A139="","",SUMPRODUCT(N(Variaveis!B139:J139),Pesos_Decisao!$B$2:$J$2))</f>
        <v/>
      </c>
      <c r="C139" s="4" t="str">
        <f>IF(Variaveis!A139="","",SUMPRODUCT(N(Variaveis!B139:J139),Pesos_Decisao!$B$3:$J$3))</f>
        <v/>
      </c>
      <c r="D139" s="4" t="str">
        <f>IF(Variaveis!A139="","",SUMPRODUCT(N(Variaveis!B139:J139),Pesos_Decisao!$B$4:$J$4))</f>
        <v/>
      </c>
      <c r="E139" s="4" t="str">
        <f>IF(Variaveis!A139="","",SUMPRODUCT(N(Variaveis!B139:J139),Pesos_Decisao!$B$5:$J$5))</f>
        <v/>
      </c>
      <c r="F139" s="4" t="str">
        <f>IF(Variaveis!A139="","",SUMPRODUCT(N(Variaveis!B139:J139),Pesos_Decisao!$B$6:$J$6))</f>
        <v/>
      </c>
      <c r="G139" s="4" t="str">
        <f>IF(Variaveis!A139="","",SUMPRODUCT(N(Variaveis!B139:J139),Pesos_Decisao!$B$7:$J$7))</f>
        <v/>
      </c>
      <c r="H139" s="4" t="str">
        <f>IF(Variaveis!A139="","",SUMPRODUCT(N(Variaveis!B139:J139),Pesos_Decisao!$B$8:$J$8))</f>
        <v/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tr">
        <f>IF(Variaveis!A140="","",Variaveis!A140)</f>
        <v/>
      </c>
      <c r="B140" s="4" t="str">
        <f>IF(Variaveis!A140="","",SUMPRODUCT(N(Variaveis!B140:J140),Pesos_Decisao!$B$2:$J$2))</f>
        <v/>
      </c>
      <c r="C140" s="4" t="str">
        <f>IF(Variaveis!A140="","",SUMPRODUCT(N(Variaveis!B140:J140),Pesos_Decisao!$B$3:$J$3))</f>
        <v/>
      </c>
      <c r="D140" s="4" t="str">
        <f>IF(Variaveis!A140="","",SUMPRODUCT(N(Variaveis!B140:J140),Pesos_Decisao!$B$4:$J$4))</f>
        <v/>
      </c>
      <c r="E140" s="4" t="str">
        <f>IF(Variaveis!A140="","",SUMPRODUCT(N(Variaveis!B140:J140),Pesos_Decisao!$B$5:$J$5))</f>
        <v/>
      </c>
      <c r="F140" s="4" t="str">
        <f>IF(Variaveis!A140="","",SUMPRODUCT(N(Variaveis!B140:J140),Pesos_Decisao!$B$6:$J$6))</f>
        <v/>
      </c>
      <c r="G140" s="4" t="str">
        <f>IF(Variaveis!A140="","",SUMPRODUCT(N(Variaveis!B140:J140),Pesos_Decisao!$B$7:$J$7))</f>
        <v/>
      </c>
      <c r="H140" s="4" t="str">
        <f>IF(Variaveis!A140="","",SUMPRODUCT(N(Variaveis!B140:J140),Pesos_Decisao!$B$8:$J$8))</f>
        <v/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tr">
        <f>IF(Variaveis!A141="","",Variaveis!A141)</f>
        <v/>
      </c>
      <c r="B141" s="4" t="str">
        <f>IF(Variaveis!A141="","",SUMPRODUCT(N(Variaveis!B141:J141),Pesos_Decisao!$B$2:$J$2))</f>
        <v/>
      </c>
      <c r="C141" s="4" t="str">
        <f>IF(Variaveis!A141="","",SUMPRODUCT(N(Variaveis!B141:J141),Pesos_Decisao!$B$3:$J$3))</f>
        <v/>
      </c>
      <c r="D141" s="4" t="str">
        <f>IF(Variaveis!A141="","",SUMPRODUCT(N(Variaveis!B141:J141),Pesos_Decisao!$B$4:$J$4))</f>
        <v/>
      </c>
      <c r="E141" s="4" t="str">
        <f>IF(Variaveis!A141="","",SUMPRODUCT(N(Variaveis!B141:J141),Pesos_Decisao!$B$5:$J$5))</f>
        <v/>
      </c>
      <c r="F141" s="4" t="str">
        <f>IF(Variaveis!A141="","",SUMPRODUCT(N(Variaveis!B141:J141),Pesos_Decisao!$B$6:$J$6))</f>
        <v/>
      </c>
      <c r="G141" s="4" t="str">
        <f>IF(Variaveis!A141="","",SUMPRODUCT(N(Variaveis!B141:J141),Pesos_Decisao!$B$7:$J$7))</f>
        <v/>
      </c>
      <c r="H141" s="4" t="str">
        <f>IF(Variaveis!A141="","",SUMPRODUCT(N(Variaveis!B141:J141),Pesos_Decisao!$B$8:$J$8))</f>
        <v/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tr">
        <f>IF(Variaveis!A142="","",Variaveis!A142)</f>
        <v/>
      </c>
      <c r="B142" s="4" t="str">
        <f>IF(Variaveis!A142="","",SUMPRODUCT(N(Variaveis!B142:J142),Pesos_Decisao!$B$2:$J$2))</f>
        <v/>
      </c>
      <c r="C142" s="4" t="str">
        <f>IF(Variaveis!A142="","",SUMPRODUCT(N(Variaveis!B142:J142),Pesos_Decisao!$B$3:$J$3))</f>
        <v/>
      </c>
      <c r="D142" s="4" t="str">
        <f>IF(Variaveis!A142="","",SUMPRODUCT(N(Variaveis!B142:J142),Pesos_Decisao!$B$4:$J$4))</f>
        <v/>
      </c>
      <c r="E142" s="4" t="str">
        <f>IF(Variaveis!A142="","",SUMPRODUCT(N(Variaveis!B142:J142),Pesos_Decisao!$B$5:$J$5))</f>
        <v/>
      </c>
      <c r="F142" s="4" t="str">
        <f>IF(Variaveis!A142="","",SUMPRODUCT(N(Variaveis!B142:J142),Pesos_Decisao!$B$6:$J$6))</f>
        <v/>
      </c>
      <c r="G142" s="4" t="str">
        <f>IF(Variaveis!A142="","",SUMPRODUCT(N(Variaveis!B142:J142),Pesos_Decisao!$B$7:$J$7))</f>
        <v/>
      </c>
      <c r="H142" s="4" t="str">
        <f>IF(Variaveis!A142="","",SUMPRODUCT(N(Variaveis!B142:J142),Pesos_Decisao!$B$8:$J$8))</f>
        <v/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tr">
        <f>IF(Variaveis!A143="","",Variaveis!A143)</f>
        <v/>
      </c>
      <c r="B143" s="4" t="str">
        <f>IF(Variaveis!A143="","",SUMPRODUCT(N(Variaveis!B143:J143),Pesos_Decisao!$B$2:$J$2))</f>
        <v/>
      </c>
      <c r="C143" s="4" t="str">
        <f>IF(Variaveis!A143="","",SUMPRODUCT(N(Variaveis!B143:J143),Pesos_Decisao!$B$3:$J$3))</f>
        <v/>
      </c>
      <c r="D143" s="4" t="str">
        <f>IF(Variaveis!A143="","",SUMPRODUCT(N(Variaveis!B143:J143),Pesos_Decisao!$B$4:$J$4))</f>
        <v/>
      </c>
      <c r="E143" s="4" t="str">
        <f>IF(Variaveis!A143="","",SUMPRODUCT(N(Variaveis!B143:J143),Pesos_Decisao!$B$5:$J$5))</f>
        <v/>
      </c>
      <c r="F143" s="4" t="str">
        <f>IF(Variaveis!A143="","",SUMPRODUCT(N(Variaveis!B143:J143),Pesos_Decisao!$B$6:$J$6))</f>
        <v/>
      </c>
      <c r="G143" s="4" t="str">
        <f>IF(Variaveis!A143="","",SUMPRODUCT(N(Variaveis!B143:J143),Pesos_Decisao!$B$7:$J$7))</f>
        <v/>
      </c>
      <c r="H143" s="4" t="str">
        <f>IF(Variaveis!A143="","",SUMPRODUCT(N(Variaveis!B143:J143),Pesos_Decisao!$B$8:$J$8))</f>
        <v/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tr">
        <f>IF(Variaveis!A144="","",Variaveis!A144)</f>
        <v/>
      </c>
      <c r="B144" s="4" t="str">
        <f>IF(Variaveis!A144="","",SUMPRODUCT(N(Variaveis!B144:J144),Pesos_Decisao!$B$2:$J$2))</f>
        <v/>
      </c>
      <c r="C144" s="4" t="str">
        <f>IF(Variaveis!A144="","",SUMPRODUCT(N(Variaveis!B144:J144),Pesos_Decisao!$B$3:$J$3))</f>
        <v/>
      </c>
      <c r="D144" s="4" t="str">
        <f>IF(Variaveis!A144="","",SUMPRODUCT(N(Variaveis!B144:J144),Pesos_Decisao!$B$4:$J$4))</f>
        <v/>
      </c>
      <c r="E144" s="4" t="str">
        <f>IF(Variaveis!A144="","",SUMPRODUCT(N(Variaveis!B144:J144),Pesos_Decisao!$B$5:$J$5))</f>
        <v/>
      </c>
      <c r="F144" s="4" t="str">
        <f>IF(Variaveis!A144="","",SUMPRODUCT(N(Variaveis!B144:J144),Pesos_Decisao!$B$6:$J$6))</f>
        <v/>
      </c>
      <c r="G144" s="4" t="str">
        <f>IF(Variaveis!A144="","",SUMPRODUCT(N(Variaveis!B144:J144),Pesos_Decisao!$B$7:$J$7))</f>
        <v/>
      </c>
      <c r="H144" s="4" t="str">
        <f>IF(Variaveis!A144="","",SUMPRODUCT(N(Variaveis!B144:J144),Pesos_Decisao!$B$8:$J$8))</f>
        <v/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tr">
        <f>IF(Variaveis!A145="","",Variaveis!A145)</f>
        <v/>
      </c>
      <c r="B145" s="4" t="str">
        <f>IF(Variaveis!A145="","",SUMPRODUCT(N(Variaveis!B145:J145),Pesos_Decisao!$B$2:$J$2))</f>
        <v/>
      </c>
      <c r="C145" s="4" t="str">
        <f>IF(Variaveis!A145="","",SUMPRODUCT(N(Variaveis!B145:J145),Pesos_Decisao!$B$3:$J$3))</f>
        <v/>
      </c>
      <c r="D145" s="4" t="str">
        <f>IF(Variaveis!A145="","",SUMPRODUCT(N(Variaveis!B145:J145),Pesos_Decisao!$B$4:$J$4))</f>
        <v/>
      </c>
      <c r="E145" s="4" t="str">
        <f>IF(Variaveis!A145="","",SUMPRODUCT(N(Variaveis!B145:J145),Pesos_Decisao!$B$5:$J$5))</f>
        <v/>
      </c>
      <c r="F145" s="4" t="str">
        <f>IF(Variaveis!A145="","",SUMPRODUCT(N(Variaveis!B145:J145),Pesos_Decisao!$B$6:$J$6))</f>
        <v/>
      </c>
      <c r="G145" s="4" t="str">
        <f>IF(Variaveis!A145="","",SUMPRODUCT(N(Variaveis!B145:J145),Pesos_Decisao!$B$7:$J$7))</f>
        <v/>
      </c>
      <c r="H145" s="4" t="str">
        <f>IF(Variaveis!A145="","",SUMPRODUCT(N(Variaveis!B145:J145),Pesos_Decisao!$B$8:$J$8))</f>
        <v/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tr">
        <f>IF(Variaveis!A146="","",Variaveis!A146)</f>
        <v/>
      </c>
      <c r="B146" s="4" t="str">
        <f>IF(Variaveis!A146="","",SUMPRODUCT(N(Variaveis!B146:J146),Pesos_Decisao!$B$2:$J$2))</f>
        <v/>
      </c>
      <c r="C146" s="4" t="str">
        <f>IF(Variaveis!A146="","",SUMPRODUCT(N(Variaveis!B146:J146),Pesos_Decisao!$B$3:$J$3))</f>
        <v/>
      </c>
      <c r="D146" s="4" t="str">
        <f>IF(Variaveis!A146="","",SUMPRODUCT(N(Variaveis!B146:J146),Pesos_Decisao!$B$4:$J$4))</f>
        <v/>
      </c>
      <c r="E146" s="4" t="str">
        <f>IF(Variaveis!A146="","",SUMPRODUCT(N(Variaveis!B146:J146),Pesos_Decisao!$B$5:$J$5))</f>
        <v/>
      </c>
      <c r="F146" s="4" t="str">
        <f>IF(Variaveis!A146="","",SUMPRODUCT(N(Variaveis!B146:J146),Pesos_Decisao!$B$6:$J$6))</f>
        <v/>
      </c>
      <c r="G146" s="4" t="str">
        <f>IF(Variaveis!A146="","",SUMPRODUCT(N(Variaveis!B146:J146),Pesos_Decisao!$B$7:$J$7))</f>
        <v/>
      </c>
      <c r="H146" s="4" t="str">
        <f>IF(Variaveis!A146="","",SUMPRODUCT(N(Variaveis!B146:J146),Pesos_Decisao!$B$8:$J$8))</f>
        <v/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tr">
        <f>IF(Variaveis!A147="","",Variaveis!A147)</f>
        <v/>
      </c>
      <c r="B147" s="4" t="str">
        <f>IF(Variaveis!A147="","",SUMPRODUCT(N(Variaveis!B147:J147),Pesos_Decisao!$B$2:$J$2))</f>
        <v/>
      </c>
      <c r="C147" s="4" t="str">
        <f>IF(Variaveis!A147="","",SUMPRODUCT(N(Variaveis!B147:J147),Pesos_Decisao!$B$3:$J$3))</f>
        <v/>
      </c>
      <c r="D147" s="4" t="str">
        <f>IF(Variaveis!A147="","",SUMPRODUCT(N(Variaveis!B147:J147),Pesos_Decisao!$B$4:$J$4))</f>
        <v/>
      </c>
      <c r="E147" s="4" t="str">
        <f>IF(Variaveis!A147="","",SUMPRODUCT(N(Variaveis!B147:J147),Pesos_Decisao!$B$5:$J$5))</f>
        <v/>
      </c>
      <c r="F147" s="4" t="str">
        <f>IF(Variaveis!A147="","",SUMPRODUCT(N(Variaveis!B147:J147),Pesos_Decisao!$B$6:$J$6))</f>
        <v/>
      </c>
      <c r="G147" s="4" t="str">
        <f>IF(Variaveis!A147="","",SUMPRODUCT(N(Variaveis!B147:J147),Pesos_Decisao!$B$7:$J$7))</f>
        <v/>
      </c>
      <c r="H147" s="4" t="str">
        <f>IF(Variaveis!A147="","",SUMPRODUCT(N(Variaveis!B147:J147),Pesos_Decisao!$B$8:$J$8))</f>
        <v/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tr">
        <f>IF(Variaveis!A148="","",Variaveis!A148)</f>
        <v/>
      </c>
      <c r="B148" s="4" t="str">
        <f>IF(Variaveis!A148="","",SUMPRODUCT(N(Variaveis!B148:J148),Pesos_Decisao!$B$2:$J$2))</f>
        <v/>
      </c>
      <c r="C148" s="4" t="str">
        <f>IF(Variaveis!A148="","",SUMPRODUCT(N(Variaveis!B148:J148),Pesos_Decisao!$B$3:$J$3))</f>
        <v/>
      </c>
      <c r="D148" s="4" t="str">
        <f>IF(Variaveis!A148="","",SUMPRODUCT(N(Variaveis!B148:J148),Pesos_Decisao!$B$4:$J$4))</f>
        <v/>
      </c>
      <c r="E148" s="4" t="str">
        <f>IF(Variaveis!A148="","",SUMPRODUCT(N(Variaveis!B148:J148),Pesos_Decisao!$B$5:$J$5))</f>
        <v/>
      </c>
      <c r="F148" s="4" t="str">
        <f>IF(Variaveis!A148="","",SUMPRODUCT(N(Variaveis!B148:J148),Pesos_Decisao!$B$6:$J$6))</f>
        <v/>
      </c>
      <c r="G148" s="4" t="str">
        <f>IF(Variaveis!A148="","",SUMPRODUCT(N(Variaveis!B148:J148),Pesos_Decisao!$B$7:$J$7))</f>
        <v/>
      </c>
      <c r="H148" s="4" t="str">
        <f>IF(Variaveis!A148="","",SUMPRODUCT(N(Variaveis!B148:J148),Pesos_Decisao!$B$8:$J$8))</f>
        <v/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tr">
        <f>IF(Variaveis!A149="","",Variaveis!A149)</f>
        <v/>
      </c>
      <c r="B149" s="4" t="str">
        <f>IF(Variaveis!A149="","",SUMPRODUCT(N(Variaveis!B149:J149),Pesos_Decisao!$B$2:$J$2))</f>
        <v/>
      </c>
      <c r="C149" s="4" t="str">
        <f>IF(Variaveis!A149="","",SUMPRODUCT(N(Variaveis!B149:J149),Pesos_Decisao!$B$3:$J$3))</f>
        <v/>
      </c>
      <c r="D149" s="4" t="str">
        <f>IF(Variaveis!A149="","",SUMPRODUCT(N(Variaveis!B149:J149),Pesos_Decisao!$B$4:$J$4))</f>
        <v/>
      </c>
      <c r="E149" s="4" t="str">
        <f>IF(Variaveis!A149="","",SUMPRODUCT(N(Variaveis!B149:J149),Pesos_Decisao!$B$5:$J$5))</f>
        <v/>
      </c>
      <c r="F149" s="4" t="str">
        <f>IF(Variaveis!A149="","",SUMPRODUCT(N(Variaveis!B149:J149),Pesos_Decisao!$B$6:$J$6))</f>
        <v/>
      </c>
      <c r="G149" s="4" t="str">
        <f>IF(Variaveis!A149="","",SUMPRODUCT(N(Variaveis!B149:J149),Pesos_Decisao!$B$7:$J$7))</f>
        <v/>
      </c>
      <c r="H149" s="4" t="str">
        <f>IF(Variaveis!A149="","",SUMPRODUCT(N(Variaveis!B149:J149),Pesos_Decisao!$B$8:$J$8))</f>
        <v/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tr">
        <f>IF(Variaveis!A150="","",Variaveis!A150)</f>
        <v/>
      </c>
      <c r="B150" s="4" t="str">
        <f>IF(Variaveis!A150="","",SUMPRODUCT(N(Variaveis!B150:J150),Pesos_Decisao!$B$2:$J$2))</f>
        <v/>
      </c>
      <c r="C150" s="4" t="str">
        <f>IF(Variaveis!A150="","",SUMPRODUCT(N(Variaveis!B150:J150),Pesos_Decisao!$B$3:$J$3))</f>
        <v/>
      </c>
      <c r="D150" s="4" t="str">
        <f>IF(Variaveis!A150="","",SUMPRODUCT(N(Variaveis!B150:J150),Pesos_Decisao!$B$4:$J$4))</f>
        <v/>
      </c>
      <c r="E150" s="4" t="str">
        <f>IF(Variaveis!A150="","",SUMPRODUCT(N(Variaveis!B150:J150),Pesos_Decisao!$B$5:$J$5))</f>
        <v/>
      </c>
      <c r="F150" s="4" t="str">
        <f>IF(Variaveis!A150="","",SUMPRODUCT(N(Variaveis!B150:J150),Pesos_Decisao!$B$6:$J$6))</f>
        <v/>
      </c>
      <c r="G150" s="4" t="str">
        <f>IF(Variaveis!A150="","",SUMPRODUCT(N(Variaveis!B150:J150),Pesos_Decisao!$B$7:$J$7))</f>
        <v/>
      </c>
      <c r="H150" s="4" t="str">
        <f>IF(Variaveis!A150="","",SUMPRODUCT(N(Variaveis!B150:J150),Pesos_Decisao!$B$8:$J$8))</f>
        <v/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tr">
        <f>IF(Variaveis!A151="","",Variaveis!A151)</f>
        <v/>
      </c>
      <c r="B151" s="4" t="str">
        <f>IF(Variaveis!A151="","",SUMPRODUCT(N(Variaveis!B151:J151),Pesos_Decisao!$B$2:$J$2))</f>
        <v/>
      </c>
      <c r="C151" s="4" t="str">
        <f>IF(Variaveis!A151="","",SUMPRODUCT(N(Variaveis!B151:J151),Pesos_Decisao!$B$3:$J$3))</f>
        <v/>
      </c>
      <c r="D151" s="4" t="str">
        <f>IF(Variaveis!A151="","",SUMPRODUCT(N(Variaveis!B151:J151),Pesos_Decisao!$B$4:$J$4))</f>
        <v/>
      </c>
      <c r="E151" s="4" t="str">
        <f>IF(Variaveis!A151="","",SUMPRODUCT(N(Variaveis!B151:J151),Pesos_Decisao!$B$5:$J$5))</f>
        <v/>
      </c>
      <c r="F151" s="4" t="str">
        <f>IF(Variaveis!A151="","",SUMPRODUCT(N(Variaveis!B151:J151),Pesos_Decisao!$B$6:$J$6))</f>
        <v/>
      </c>
      <c r="G151" s="4" t="str">
        <f>IF(Variaveis!A151="","",SUMPRODUCT(N(Variaveis!B151:J151),Pesos_Decisao!$B$7:$J$7))</f>
        <v/>
      </c>
      <c r="H151" s="4" t="str">
        <f>IF(Variaveis!A151="","",SUMPRODUCT(N(Variaveis!B151:J151),Pesos_Decisao!$B$8:$J$8))</f>
        <v/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tr">
        <f>IF(Variaveis!A152="","",Variaveis!A152)</f>
        <v/>
      </c>
      <c r="B152" s="4" t="str">
        <f>IF(Variaveis!A152="","",SUMPRODUCT(N(Variaveis!B152:J152),Pesos_Decisao!$B$2:$J$2))</f>
        <v/>
      </c>
      <c r="C152" s="4" t="str">
        <f>IF(Variaveis!A152="","",SUMPRODUCT(N(Variaveis!B152:J152),Pesos_Decisao!$B$3:$J$3))</f>
        <v/>
      </c>
      <c r="D152" s="4" t="str">
        <f>IF(Variaveis!A152="","",SUMPRODUCT(N(Variaveis!B152:J152),Pesos_Decisao!$B$4:$J$4))</f>
        <v/>
      </c>
      <c r="E152" s="4" t="str">
        <f>IF(Variaveis!A152="","",SUMPRODUCT(N(Variaveis!B152:J152),Pesos_Decisao!$B$5:$J$5))</f>
        <v/>
      </c>
      <c r="F152" s="4" t="str">
        <f>IF(Variaveis!A152="","",SUMPRODUCT(N(Variaveis!B152:J152),Pesos_Decisao!$B$6:$J$6))</f>
        <v/>
      </c>
      <c r="G152" s="4" t="str">
        <f>IF(Variaveis!A152="","",SUMPRODUCT(N(Variaveis!B152:J152),Pesos_Decisao!$B$7:$J$7))</f>
        <v/>
      </c>
      <c r="H152" s="4" t="str">
        <f>IF(Variaveis!A152="","",SUMPRODUCT(N(Variaveis!B152:J152),Pesos_Decisao!$B$8:$J$8))</f>
        <v/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tr">
        <f>IF(Variaveis!A153="","",Variaveis!A153)</f>
        <v/>
      </c>
      <c r="B153" s="4" t="str">
        <f>IF(Variaveis!A153="","",SUMPRODUCT(N(Variaveis!B153:J153),Pesos_Decisao!$B$2:$J$2))</f>
        <v/>
      </c>
      <c r="C153" s="4" t="str">
        <f>IF(Variaveis!A153="","",SUMPRODUCT(N(Variaveis!B153:J153),Pesos_Decisao!$B$3:$J$3))</f>
        <v/>
      </c>
      <c r="D153" s="4" t="str">
        <f>IF(Variaveis!A153="","",SUMPRODUCT(N(Variaveis!B153:J153),Pesos_Decisao!$B$4:$J$4))</f>
        <v/>
      </c>
      <c r="E153" s="4" t="str">
        <f>IF(Variaveis!A153="","",SUMPRODUCT(N(Variaveis!B153:J153),Pesos_Decisao!$B$5:$J$5))</f>
        <v/>
      </c>
      <c r="F153" s="4" t="str">
        <f>IF(Variaveis!A153="","",SUMPRODUCT(N(Variaveis!B153:J153),Pesos_Decisao!$B$6:$J$6))</f>
        <v/>
      </c>
      <c r="G153" s="4" t="str">
        <f>IF(Variaveis!A153="","",SUMPRODUCT(N(Variaveis!B153:J153),Pesos_Decisao!$B$7:$J$7))</f>
        <v/>
      </c>
      <c r="H153" s="4" t="str">
        <f>IF(Variaveis!A153="","",SUMPRODUCT(N(Variaveis!B153:J153),Pesos_Decisao!$B$8:$J$8))</f>
        <v/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tr">
        <f>IF(Variaveis!A154="","",Variaveis!A154)</f>
        <v/>
      </c>
      <c r="B154" s="4" t="str">
        <f>IF(Variaveis!A154="","",SUMPRODUCT(N(Variaveis!B154:J154),Pesos_Decisao!$B$2:$J$2))</f>
        <v/>
      </c>
      <c r="C154" s="4" t="str">
        <f>IF(Variaveis!A154="","",SUMPRODUCT(N(Variaveis!B154:J154),Pesos_Decisao!$B$3:$J$3))</f>
        <v/>
      </c>
      <c r="D154" s="4" t="str">
        <f>IF(Variaveis!A154="","",SUMPRODUCT(N(Variaveis!B154:J154),Pesos_Decisao!$B$4:$J$4))</f>
        <v/>
      </c>
      <c r="E154" s="4" t="str">
        <f>IF(Variaveis!A154="","",SUMPRODUCT(N(Variaveis!B154:J154),Pesos_Decisao!$B$5:$J$5))</f>
        <v/>
      </c>
      <c r="F154" s="4" t="str">
        <f>IF(Variaveis!A154="","",SUMPRODUCT(N(Variaveis!B154:J154),Pesos_Decisao!$B$6:$J$6))</f>
        <v/>
      </c>
      <c r="G154" s="4" t="str">
        <f>IF(Variaveis!A154="","",SUMPRODUCT(N(Variaveis!B154:J154),Pesos_Decisao!$B$7:$J$7))</f>
        <v/>
      </c>
      <c r="H154" s="4" t="str">
        <f>IF(Variaveis!A154="","",SUMPRODUCT(N(Variaveis!B154:J154),Pesos_Decisao!$B$8:$J$8))</f>
        <v/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tr">
        <f>IF(Variaveis!A155="","",Variaveis!A155)</f>
        <v/>
      </c>
      <c r="B155" s="4" t="str">
        <f>IF(Variaveis!A155="","",SUMPRODUCT(N(Variaveis!B155:J155),Pesos_Decisao!$B$2:$J$2))</f>
        <v/>
      </c>
      <c r="C155" s="4" t="str">
        <f>IF(Variaveis!A155="","",SUMPRODUCT(N(Variaveis!B155:J155),Pesos_Decisao!$B$3:$J$3))</f>
        <v/>
      </c>
      <c r="D155" s="4" t="str">
        <f>IF(Variaveis!A155="","",SUMPRODUCT(N(Variaveis!B155:J155),Pesos_Decisao!$B$4:$J$4))</f>
        <v/>
      </c>
      <c r="E155" s="4" t="str">
        <f>IF(Variaveis!A155="","",SUMPRODUCT(N(Variaveis!B155:J155),Pesos_Decisao!$B$5:$J$5))</f>
        <v/>
      </c>
      <c r="F155" s="4" t="str">
        <f>IF(Variaveis!A155="","",SUMPRODUCT(N(Variaveis!B155:J155),Pesos_Decisao!$B$6:$J$6))</f>
        <v/>
      </c>
      <c r="G155" s="4" t="str">
        <f>IF(Variaveis!A155="","",SUMPRODUCT(N(Variaveis!B155:J155),Pesos_Decisao!$B$7:$J$7))</f>
        <v/>
      </c>
      <c r="H155" s="4" t="str">
        <f>IF(Variaveis!A155="","",SUMPRODUCT(N(Variaveis!B155:J155),Pesos_Decisao!$B$8:$J$8))</f>
        <v/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tr">
        <f>IF(Variaveis!A156="","",Variaveis!A156)</f>
        <v/>
      </c>
      <c r="B156" s="4" t="str">
        <f>IF(Variaveis!A156="","",SUMPRODUCT(N(Variaveis!B156:J156),Pesos_Decisao!$B$2:$J$2))</f>
        <v/>
      </c>
      <c r="C156" s="4" t="str">
        <f>IF(Variaveis!A156="","",SUMPRODUCT(N(Variaveis!B156:J156),Pesos_Decisao!$B$3:$J$3))</f>
        <v/>
      </c>
      <c r="D156" s="4" t="str">
        <f>IF(Variaveis!A156="","",SUMPRODUCT(N(Variaveis!B156:J156),Pesos_Decisao!$B$4:$J$4))</f>
        <v/>
      </c>
      <c r="E156" s="4" t="str">
        <f>IF(Variaveis!A156="","",SUMPRODUCT(N(Variaveis!B156:J156),Pesos_Decisao!$B$5:$J$5))</f>
        <v/>
      </c>
      <c r="F156" s="4" t="str">
        <f>IF(Variaveis!A156="","",SUMPRODUCT(N(Variaveis!B156:J156),Pesos_Decisao!$B$6:$J$6))</f>
        <v/>
      </c>
      <c r="G156" s="4" t="str">
        <f>IF(Variaveis!A156="","",SUMPRODUCT(N(Variaveis!B156:J156),Pesos_Decisao!$B$7:$J$7))</f>
        <v/>
      </c>
      <c r="H156" s="4" t="str">
        <f>IF(Variaveis!A156="","",SUMPRODUCT(N(Variaveis!B156:J156),Pesos_Decisao!$B$8:$J$8))</f>
        <v/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tr">
        <f>IF(Variaveis!A157="","",Variaveis!A157)</f>
        <v/>
      </c>
      <c r="B157" s="4" t="str">
        <f>IF(Variaveis!A157="","",SUMPRODUCT(N(Variaveis!B157:J157),Pesos_Decisao!$B$2:$J$2))</f>
        <v/>
      </c>
      <c r="C157" s="4" t="str">
        <f>IF(Variaveis!A157="","",SUMPRODUCT(N(Variaveis!B157:J157),Pesos_Decisao!$B$3:$J$3))</f>
        <v/>
      </c>
      <c r="D157" s="4" t="str">
        <f>IF(Variaveis!A157="","",SUMPRODUCT(N(Variaveis!B157:J157),Pesos_Decisao!$B$4:$J$4))</f>
        <v/>
      </c>
      <c r="E157" s="4" t="str">
        <f>IF(Variaveis!A157="","",SUMPRODUCT(N(Variaveis!B157:J157),Pesos_Decisao!$B$5:$J$5))</f>
        <v/>
      </c>
      <c r="F157" s="4" t="str">
        <f>IF(Variaveis!A157="","",SUMPRODUCT(N(Variaveis!B157:J157),Pesos_Decisao!$B$6:$J$6))</f>
        <v/>
      </c>
      <c r="G157" s="4" t="str">
        <f>IF(Variaveis!A157="","",SUMPRODUCT(N(Variaveis!B157:J157),Pesos_Decisao!$B$7:$J$7))</f>
        <v/>
      </c>
      <c r="H157" s="4" t="str">
        <f>IF(Variaveis!A157="","",SUMPRODUCT(N(Variaveis!B157:J157),Pesos_Decisao!$B$8:$J$8))</f>
        <v/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tr">
        <f>IF(Variaveis!A158="","",Variaveis!A158)</f>
        <v/>
      </c>
      <c r="B158" s="4" t="str">
        <f>IF(Variaveis!A158="","",SUMPRODUCT(N(Variaveis!B158:J158),Pesos_Decisao!$B$2:$J$2))</f>
        <v/>
      </c>
      <c r="C158" s="4" t="str">
        <f>IF(Variaveis!A158="","",SUMPRODUCT(N(Variaveis!B158:J158),Pesos_Decisao!$B$3:$J$3))</f>
        <v/>
      </c>
      <c r="D158" s="4" t="str">
        <f>IF(Variaveis!A158="","",SUMPRODUCT(N(Variaveis!B158:J158),Pesos_Decisao!$B$4:$J$4))</f>
        <v/>
      </c>
      <c r="E158" s="4" t="str">
        <f>IF(Variaveis!A158="","",SUMPRODUCT(N(Variaveis!B158:J158),Pesos_Decisao!$B$5:$J$5))</f>
        <v/>
      </c>
      <c r="F158" s="4" t="str">
        <f>IF(Variaveis!A158="","",SUMPRODUCT(N(Variaveis!B158:J158),Pesos_Decisao!$B$6:$J$6))</f>
        <v/>
      </c>
      <c r="G158" s="4" t="str">
        <f>IF(Variaveis!A158="","",SUMPRODUCT(N(Variaveis!B158:J158),Pesos_Decisao!$B$7:$J$7))</f>
        <v/>
      </c>
      <c r="H158" s="4" t="str">
        <f>IF(Variaveis!A158="","",SUMPRODUCT(N(Variaveis!B158:J158),Pesos_Decisao!$B$8:$J$8))</f>
        <v/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tr">
        <f>IF(Variaveis!A159="","",Variaveis!A159)</f>
        <v/>
      </c>
      <c r="B159" s="4" t="str">
        <f>IF(Variaveis!A159="","",SUMPRODUCT(N(Variaveis!B159:J159),Pesos_Decisao!$B$2:$J$2))</f>
        <v/>
      </c>
      <c r="C159" s="4" t="str">
        <f>IF(Variaveis!A159="","",SUMPRODUCT(N(Variaveis!B159:J159),Pesos_Decisao!$B$3:$J$3))</f>
        <v/>
      </c>
      <c r="D159" s="4" t="str">
        <f>IF(Variaveis!A159="","",SUMPRODUCT(N(Variaveis!B159:J159),Pesos_Decisao!$B$4:$J$4))</f>
        <v/>
      </c>
      <c r="E159" s="4" t="str">
        <f>IF(Variaveis!A159="","",SUMPRODUCT(N(Variaveis!B159:J159),Pesos_Decisao!$B$5:$J$5))</f>
        <v/>
      </c>
      <c r="F159" s="4" t="str">
        <f>IF(Variaveis!A159="","",SUMPRODUCT(N(Variaveis!B159:J159),Pesos_Decisao!$B$6:$J$6))</f>
        <v/>
      </c>
      <c r="G159" s="4" t="str">
        <f>IF(Variaveis!A159="","",SUMPRODUCT(N(Variaveis!B159:J159),Pesos_Decisao!$B$7:$J$7))</f>
        <v/>
      </c>
      <c r="H159" s="4" t="str">
        <f>IF(Variaveis!A159="","",SUMPRODUCT(N(Variaveis!B159:J159),Pesos_Decisao!$B$8:$J$8))</f>
        <v/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tr">
        <f>IF(Variaveis!A160="","",Variaveis!A160)</f>
        <v/>
      </c>
      <c r="B160" s="4" t="str">
        <f>IF(Variaveis!A160="","",SUMPRODUCT(N(Variaveis!B160:J160),Pesos_Decisao!$B$2:$J$2))</f>
        <v/>
      </c>
      <c r="C160" s="4" t="str">
        <f>IF(Variaveis!A160="","",SUMPRODUCT(N(Variaveis!B160:J160),Pesos_Decisao!$B$3:$J$3))</f>
        <v/>
      </c>
      <c r="D160" s="4" t="str">
        <f>IF(Variaveis!A160="","",SUMPRODUCT(N(Variaveis!B160:J160),Pesos_Decisao!$B$4:$J$4))</f>
        <v/>
      </c>
      <c r="E160" s="4" t="str">
        <f>IF(Variaveis!A160="","",SUMPRODUCT(N(Variaveis!B160:J160),Pesos_Decisao!$B$5:$J$5))</f>
        <v/>
      </c>
      <c r="F160" s="4" t="str">
        <f>IF(Variaveis!A160="","",SUMPRODUCT(N(Variaveis!B160:J160),Pesos_Decisao!$B$6:$J$6))</f>
        <v/>
      </c>
      <c r="G160" s="4" t="str">
        <f>IF(Variaveis!A160="","",SUMPRODUCT(N(Variaveis!B160:J160),Pesos_Decisao!$B$7:$J$7))</f>
        <v/>
      </c>
      <c r="H160" s="4" t="str">
        <f>IF(Variaveis!A160="","",SUMPRODUCT(N(Variaveis!B160:J160),Pesos_Decisao!$B$8:$J$8))</f>
        <v/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tr">
        <f>IF(Variaveis!A161="","",Variaveis!A161)</f>
        <v/>
      </c>
      <c r="B161" s="4" t="str">
        <f>IF(Variaveis!A161="","",SUMPRODUCT(N(Variaveis!B161:J161),Pesos_Decisao!$B$2:$J$2))</f>
        <v/>
      </c>
      <c r="C161" s="4" t="str">
        <f>IF(Variaveis!A161="","",SUMPRODUCT(N(Variaveis!B161:J161),Pesos_Decisao!$B$3:$J$3))</f>
        <v/>
      </c>
      <c r="D161" s="4" t="str">
        <f>IF(Variaveis!A161="","",SUMPRODUCT(N(Variaveis!B161:J161),Pesos_Decisao!$B$4:$J$4))</f>
        <v/>
      </c>
      <c r="E161" s="4" t="str">
        <f>IF(Variaveis!A161="","",SUMPRODUCT(N(Variaveis!B161:J161),Pesos_Decisao!$B$5:$J$5))</f>
        <v/>
      </c>
      <c r="F161" s="4" t="str">
        <f>IF(Variaveis!A161="","",SUMPRODUCT(N(Variaveis!B161:J161),Pesos_Decisao!$B$6:$J$6))</f>
        <v/>
      </c>
      <c r="G161" s="4" t="str">
        <f>IF(Variaveis!A161="","",SUMPRODUCT(N(Variaveis!B161:J161),Pesos_Decisao!$B$7:$J$7))</f>
        <v/>
      </c>
      <c r="H161" s="4" t="str">
        <f>IF(Variaveis!A161="","",SUMPRODUCT(N(Variaveis!B161:J161),Pesos_Decisao!$B$8:$J$8))</f>
        <v/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tr">
        <f>IF(Variaveis!A162="","",Variaveis!A162)</f>
        <v/>
      </c>
      <c r="B162" s="4" t="str">
        <f>IF(Variaveis!A162="","",SUMPRODUCT(N(Variaveis!B162:J162),Pesos_Decisao!$B$2:$J$2))</f>
        <v/>
      </c>
      <c r="C162" s="4" t="str">
        <f>IF(Variaveis!A162="","",SUMPRODUCT(N(Variaveis!B162:J162),Pesos_Decisao!$B$3:$J$3))</f>
        <v/>
      </c>
      <c r="D162" s="4" t="str">
        <f>IF(Variaveis!A162="","",SUMPRODUCT(N(Variaveis!B162:J162),Pesos_Decisao!$B$4:$J$4))</f>
        <v/>
      </c>
      <c r="E162" s="4" t="str">
        <f>IF(Variaveis!A162="","",SUMPRODUCT(N(Variaveis!B162:J162),Pesos_Decisao!$B$5:$J$5))</f>
        <v/>
      </c>
      <c r="F162" s="4" t="str">
        <f>IF(Variaveis!A162="","",SUMPRODUCT(N(Variaveis!B162:J162),Pesos_Decisao!$B$6:$J$6))</f>
        <v/>
      </c>
      <c r="G162" s="4" t="str">
        <f>IF(Variaveis!A162="","",SUMPRODUCT(N(Variaveis!B162:J162),Pesos_Decisao!$B$7:$J$7))</f>
        <v/>
      </c>
      <c r="H162" s="4" t="str">
        <f>IF(Variaveis!A162="","",SUMPRODUCT(N(Variaveis!B162:J162),Pesos_Decisao!$B$8:$J$8))</f>
        <v/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tr">
        <f>IF(Variaveis!A163="","",Variaveis!A163)</f>
        <v/>
      </c>
      <c r="B163" s="4" t="str">
        <f>IF(Variaveis!A163="","",SUMPRODUCT(N(Variaveis!B163:J163),Pesos_Decisao!$B$2:$J$2))</f>
        <v/>
      </c>
      <c r="C163" s="4" t="str">
        <f>IF(Variaveis!A163="","",SUMPRODUCT(N(Variaveis!B163:J163),Pesos_Decisao!$B$3:$J$3))</f>
        <v/>
      </c>
      <c r="D163" s="4" t="str">
        <f>IF(Variaveis!A163="","",SUMPRODUCT(N(Variaveis!B163:J163),Pesos_Decisao!$B$4:$J$4))</f>
        <v/>
      </c>
      <c r="E163" s="4" t="str">
        <f>IF(Variaveis!A163="","",SUMPRODUCT(N(Variaveis!B163:J163),Pesos_Decisao!$B$5:$J$5))</f>
        <v/>
      </c>
      <c r="F163" s="4" t="str">
        <f>IF(Variaveis!A163="","",SUMPRODUCT(N(Variaveis!B163:J163),Pesos_Decisao!$B$6:$J$6))</f>
        <v/>
      </c>
      <c r="G163" s="4" t="str">
        <f>IF(Variaveis!A163="","",SUMPRODUCT(N(Variaveis!B163:J163),Pesos_Decisao!$B$7:$J$7))</f>
        <v/>
      </c>
      <c r="H163" s="4" t="str">
        <f>IF(Variaveis!A163="","",SUMPRODUCT(N(Variaveis!B163:J163),Pesos_Decisao!$B$8:$J$8))</f>
        <v/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tr">
        <f>IF(Variaveis!A164="","",Variaveis!A164)</f>
        <v/>
      </c>
      <c r="B164" s="4" t="str">
        <f>IF(Variaveis!A164="","",SUMPRODUCT(N(Variaveis!B164:J164),Pesos_Decisao!$B$2:$J$2))</f>
        <v/>
      </c>
      <c r="C164" s="4" t="str">
        <f>IF(Variaveis!A164="","",SUMPRODUCT(N(Variaveis!B164:J164),Pesos_Decisao!$B$3:$J$3))</f>
        <v/>
      </c>
      <c r="D164" s="4" t="str">
        <f>IF(Variaveis!A164="","",SUMPRODUCT(N(Variaveis!B164:J164),Pesos_Decisao!$B$4:$J$4))</f>
        <v/>
      </c>
      <c r="E164" s="4" t="str">
        <f>IF(Variaveis!A164="","",SUMPRODUCT(N(Variaveis!B164:J164),Pesos_Decisao!$B$5:$J$5))</f>
        <v/>
      </c>
      <c r="F164" s="4" t="str">
        <f>IF(Variaveis!A164="","",SUMPRODUCT(N(Variaveis!B164:J164),Pesos_Decisao!$B$6:$J$6))</f>
        <v/>
      </c>
      <c r="G164" s="4" t="str">
        <f>IF(Variaveis!A164="","",SUMPRODUCT(N(Variaveis!B164:J164),Pesos_Decisao!$B$7:$J$7))</f>
        <v/>
      </c>
      <c r="H164" s="4" t="str">
        <f>IF(Variaveis!A164="","",SUMPRODUCT(N(Variaveis!B164:J164),Pesos_Decisao!$B$8:$J$8))</f>
        <v/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tr">
        <f>IF(Variaveis!A165="","",Variaveis!A165)</f>
        <v/>
      </c>
      <c r="B165" s="4" t="str">
        <f>IF(Variaveis!A165="","",SUMPRODUCT(N(Variaveis!B165:J165),Pesos_Decisao!$B$2:$J$2))</f>
        <v/>
      </c>
      <c r="C165" s="4" t="str">
        <f>IF(Variaveis!A165="","",SUMPRODUCT(N(Variaveis!B165:J165),Pesos_Decisao!$B$3:$J$3))</f>
        <v/>
      </c>
      <c r="D165" s="4" t="str">
        <f>IF(Variaveis!A165="","",SUMPRODUCT(N(Variaveis!B165:J165),Pesos_Decisao!$B$4:$J$4))</f>
        <v/>
      </c>
      <c r="E165" s="4" t="str">
        <f>IF(Variaveis!A165="","",SUMPRODUCT(N(Variaveis!B165:J165),Pesos_Decisao!$B$5:$J$5))</f>
        <v/>
      </c>
      <c r="F165" s="4" t="str">
        <f>IF(Variaveis!A165="","",SUMPRODUCT(N(Variaveis!B165:J165),Pesos_Decisao!$B$6:$J$6))</f>
        <v/>
      </c>
      <c r="G165" s="4" t="str">
        <f>IF(Variaveis!A165="","",SUMPRODUCT(N(Variaveis!B165:J165),Pesos_Decisao!$B$7:$J$7))</f>
        <v/>
      </c>
      <c r="H165" s="4" t="str">
        <f>IF(Variaveis!A165="","",SUMPRODUCT(N(Variaveis!B165:J165),Pesos_Decisao!$B$8:$J$8))</f>
        <v/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tr">
        <f>IF(Variaveis!A166="","",Variaveis!A166)</f>
        <v/>
      </c>
      <c r="B166" s="4" t="str">
        <f>IF(Variaveis!A166="","",SUMPRODUCT(N(Variaveis!B166:J166),Pesos_Decisao!$B$2:$J$2))</f>
        <v/>
      </c>
      <c r="C166" s="4" t="str">
        <f>IF(Variaveis!A166="","",SUMPRODUCT(N(Variaveis!B166:J166),Pesos_Decisao!$B$3:$J$3))</f>
        <v/>
      </c>
      <c r="D166" s="4" t="str">
        <f>IF(Variaveis!A166="","",SUMPRODUCT(N(Variaveis!B166:J166),Pesos_Decisao!$B$4:$J$4))</f>
        <v/>
      </c>
      <c r="E166" s="4" t="str">
        <f>IF(Variaveis!A166="","",SUMPRODUCT(N(Variaveis!B166:J166),Pesos_Decisao!$B$5:$J$5))</f>
        <v/>
      </c>
      <c r="F166" s="4" t="str">
        <f>IF(Variaveis!A166="","",SUMPRODUCT(N(Variaveis!B166:J166),Pesos_Decisao!$B$6:$J$6))</f>
        <v/>
      </c>
      <c r="G166" s="4" t="str">
        <f>IF(Variaveis!A166="","",SUMPRODUCT(N(Variaveis!B166:J166),Pesos_Decisao!$B$7:$J$7))</f>
        <v/>
      </c>
      <c r="H166" s="4" t="str">
        <f>IF(Variaveis!A166="","",SUMPRODUCT(N(Variaveis!B166:J166),Pesos_Decisao!$B$8:$J$8))</f>
        <v/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tr">
        <f>IF(Variaveis!A167="","",Variaveis!A167)</f>
        <v/>
      </c>
      <c r="B167" s="4" t="str">
        <f>IF(Variaveis!A167="","",SUMPRODUCT(N(Variaveis!B167:J167),Pesos_Decisao!$B$2:$J$2))</f>
        <v/>
      </c>
      <c r="C167" s="4" t="str">
        <f>IF(Variaveis!A167="","",SUMPRODUCT(N(Variaveis!B167:J167),Pesos_Decisao!$B$3:$J$3))</f>
        <v/>
      </c>
      <c r="D167" s="4" t="str">
        <f>IF(Variaveis!A167="","",SUMPRODUCT(N(Variaveis!B167:J167),Pesos_Decisao!$B$4:$J$4))</f>
        <v/>
      </c>
      <c r="E167" s="4" t="str">
        <f>IF(Variaveis!A167="","",SUMPRODUCT(N(Variaveis!B167:J167),Pesos_Decisao!$B$5:$J$5))</f>
        <v/>
      </c>
      <c r="F167" s="4" t="str">
        <f>IF(Variaveis!A167="","",SUMPRODUCT(N(Variaveis!B167:J167),Pesos_Decisao!$B$6:$J$6))</f>
        <v/>
      </c>
      <c r="G167" s="4" t="str">
        <f>IF(Variaveis!A167="","",SUMPRODUCT(N(Variaveis!B167:J167),Pesos_Decisao!$B$7:$J$7))</f>
        <v/>
      </c>
      <c r="H167" s="4" t="str">
        <f>IF(Variaveis!A167="","",SUMPRODUCT(N(Variaveis!B167:J167),Pesos_Decisao!$B$8:$J$8))</f>
        <v/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tr">
        <f>IF(Variaveis!A168="","",Variaveis!A168)</f>
        <v/>
      </c>
      <c r="B168" s="4" t="str">
        <f>IF(Variaveis!A168="","",SUMPRODUCT(N(Variaveis!B168:J168),Pesos_Decisao!$B$2:$J$2))</f>
        <v/>
      </c>
      <c r="C168" s="4" t="str">
        <f>IF(Variaveis!A168="","",SUMPRODUCT(N(Variaveis!B168:J168),Pesos_Decisao!$B$3:$J$3))</f>
        <v/>
      </c>
      <c r="D168" s="4" t="str">
        <f>IF(Variaveis!A168="","",SUMPRODUCT(N(Variaveis!B168:J168),Pesos_Decisao!$B$4:$J$4))</f>
        <v/>
      </c>
      <c r="E168" s="4" t="str">
        <f>IF(Variaveis!A168="","",SUMPRODUCT(N(Variaveis!B168:J168),Pesos_Decisao!$B$5:$J$5))</f>
        <v/>
      </c>
      <c r="F168" s="4" t="str">
        <f>IF(Variaveis!A168="","",SUMPRODUCT(N(Variaveis!B168:J168),Pesos_Decisao!$B$6:$J$6))</f>
        <v/>
      </c>
      <c r="G168" s="4" t="str">
        <f>IF(Variaveis!A168="","",SUMPRODUCT(N(Variaveis!B168:J168),Pesos_Decisao!$B$7:$J$7))</f>
        <v/>
      </c>
      <c r="H168" s="4" t="str">
        <f>IF(Variaveis!A168="","",SUMPRODUCT(N(Variaveis!B168:J168),Pesos_Decisao!$B$8:$J$8))</f>
        <v/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tr">
        <f>IF(Variaveis!A169="","",Variaveis!A169)</f>
        <v/>
      </c>
      <c r="B169" s="4" t="str">
        <f>IF(Variaveis!A169="","",SUMPRODUCT(N(Variaveis!B169:J169),Pesos_Decisao!$B$2:$J$2))</f>
        <v/>
      </c>
      <c r="C169" s="4" t="str">
        <f>IF(Variaveis!A169="","",SUMPRODUCT(N(Variaveis!B169:J169),Pesos_Decisao!$B$3:$J$3))</f>
        <v/>
      </c>
      <c r="D169" s="4" t="str">
        <f>IF(Variaveis!A169="","",SUMPRODUCT(N(Variaveis!B169:J169),Pesos_Decisao!$B$4:$J$4))</f>
        <v/>
      </c>
      <c r="E169" s="4" t="str">
        <f>IF(Variaveis!A169="","",SUMPRODUCT(N(Variaveis!B169:J169),Pesos_Decisao!$B$5:$J$5))</f>
        <v/>
      </c>
      <c r="F169" s="4" t="str">
        <f>IF(Variaveis!A169="","",SUMPRODUCT(N(Variaveis!B169:J169),Pesos_Decisao!$B$6:$J$6))</f>
        <v/>
      </c>
      <c r="G169" s="4" t="str">
        <f>IF(Variaveis!A169="","",SUMPRODUCT(N(Variaveis!B169:J169),Pesos_Decisao!$B$7:$J$7))</f>
        <v/>
      </c>
      <c r="H169" s="4" t="str">
        <f>IF(Variaveis!A169="","",SUMPRODUCT(N(Variaveis!B169:J169),Pesos_Decisao!$B$8:$J$8))</f>
        <v/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tr">
        <f>IF(Variaveis!A170="","",Variaveis!A170)</f>
        <v/>
      </c>
      <c r="B170" s="4" t="str">
        <f>IF(Variaveis!A170="","",SUMPRODUCT(N(Variaveis!B170:J170),Pesos_Decisao!$B$2:$J$2))</f>
        <v/>
      </c>
      <c r="C170" s="4" t="str">
        <f>IF(Variaveis!A170="","",SUMPRODUCT(N(Variaveis!B170:J170),Pesos_Decisao!$B$3:$J$3))</f>
        <v/>
      </c>
      <c r="D170" s="4" t="str">
        <f>IF(Variaveis!A170="","",SUMPRODUCT(N(Variaveis!B170:J170),Pesos_Decisao!$B$4:$J$4))</f>
        <v/>
      </c>
      <c r="E170" s="4" t="str">
        <f>IF(Variaveis!A170="","",SUMPRODUCT(N(Variaveis!B170:J170),Pesos_Decisao!$B$5:$J$5))</f>
        <v/>
      </c>
      <c r="F170" s="4" t="str">
        <f>IF(Variaveis!A170="","",SUMPRODUCT(N(Variaveis!B170:J170),Pesos_Decisao!$B$6:$J$6))</f>
        <v/>
      </c>
      <c r="G170" s="4" t="str">
        <f>IF(Variaveis!A170="","",SUMPRODUCT(N(Variaveis!B170:J170),Pesos_Decisao!$B$7:$J$7))</f>
        <v/>
      </c>
      <c r="H170" s="4" t="str">
        <f>IF(Variaveis!A170="","",SUMPRODUCT(N(Variaveis!B170:J170),Pesos_Decisao!$B$8:$J$8))</f>
        <v/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tr">
        <f>IF(Variaveis!A171="","",Variaveis!A171)</f>
        <v/>
      </c>
      <c r="B171" s="4" t="str">
        <f>IF(Variaveis!A171="","",SUMPRODUCT(N(Variaveis!B171:J171),Pesos_Decisao!$B$2:$J$2))</f>
        <v/>
      </c>
      <c r="C171" s="4" t="str">
        <f>IF(Variaveis!A171="","",SUMPRODUCT(N(Variaveis!B171:J171),Pesos_Decisao!$B$3:$J$3))</f>
        <v/>
      </c>
      <c r="D171" s="4" t="str">
        <f>IF(Variaveis!A171="","",SUMPRODUCT(N(Variaveis!B171:J171),Pesos_Decisao!$B$4:$J$4))</f>
        <v/>
      </c>
      <c r="E171" s="4" t="str">
        <f>IF(Variaveis!A171="","",SUMPRODUCT(N(Variaveis!B171:J171),Pesos_Decisao!$B$5:$J$5))</f>
        <v/>
      </c>
      <c r="F171" s="4" t="str">
        <f>IF(Variaveis!A171="","",SUMPRODUCT(N(Variaveis!B171:J171),Pesos_Decisao!$B$6:$J$6))</f>
        <v/>
      </c>
      <c r="G171" s="4" t="str">
        <f>IF(Variaveis!A171="","",SUMPRODUCT(N(Variaveis!B171:J171),Pesos_Decisao!$B$7:$J$7))</f>
        <v/>
      </c>
      <c r="H171" s="4" t="str">
        <f>IF(Variaveis!A171="","",SUMPRODUCT(N(Variaveis!B171:J171),Pesos_Decisao!$B$8:$J$8))</f>
        <v/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tr">
        <f>IF(Variaveis!A172="","",Variaveis!A172)</f>
        <v/>
      </c>
      <c r="B172" s="4" t="str">
        <f>IF(Variaveis!A172="","",SUMPRODUCT(N(Variaveis!B172:J172),Pesos_Decisao!$B$2:$J$2))</f>
        <v/>
      </c>
      <c r="C172" s="4" t="str">
        <f>IF(Variaveis!A172="","",SUMPRODUCT(N(Variaveis!B172:J172),Pesos_Decisao!$B$3:$J$3))</f>
        <v/>
      </c>
      <c r="D172" s="4" t="str">
        <f>IF(Variaveis!A172="","",SUMPRODUCT(N(Variaveis!B172:J172),Pesos_Decisao!$B$4:$J$4))</f>
        <v/>
      </c>
      <c r="E172" s="4" t="str">
        <f>IF(Variaveis!A172="","",SUMPRODUCT(N(Variaveis!B172:J172),Pesos_Decisao!$B$5:$J$5))</f>
        <v/>
      </c>
      <c r="F172" s="4" t="str">
        <f>IF(Variaveis!A172="","",SUMPRODUCT(N(Variaveis!B172:J172),Pesos_Decisao!$B$6:$J$6))</f>
        <v/>
      </c>
      <c r="G172" s="4" t="str">
        <f>IF(Variaveis!A172="","",SUMPRODUCT(N(Variaveis!B172:J172),Pesos_Decisao!$B$7:$J$7))</f>
        <v/>
      </c>
      <c r="H172" s="4" t="str">
        <f>IF(Variaveis!A172="","",SUMPRODUCT(N(Variaveis!B172:J172),Pesos_Decisao!$B$8:$J$8))</f>
        <v/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tr">
        <f>IF(Variaveis!A173="","",Variaveis!A173)</f>
        <v/>
      </c>
      <c r="B173" s="4" t="str">
        <f>IF(Variaveis!A173="","",SUMPRODUCT(N(Variaveis!B173:J173),Pesos_Decisao!$B$2:$J$2))</f>
        <v/>
      </c>
      <c r="C173" s="4" t="str">
        <f>IF(Variaveis!A173="","",SUMPRODUCT(N(Variaveis!B173:J173),Pesos_Decisao!$B$3:$J$3))</f>
        <v/>
      </c>
      <c r="D173" s="4" t="str">
        <f>IF(Variaveis!A173="","",SUMPRODUCT(N(Variaveis!B173:J173),Pesos_Decisao!$B$4:$J$4))</f>
        <v/>
      </c>
      <c r="E173" s="4" t="str">
        <f>IF(Variaveis!A173="","",SUMPRODUCT(N(Variaveis!B173:J173),Pesos_Decisao!$B$5:$J$5))</f>
        <v/>
      </c>
      <c r="F173" s="4" t="str">
        <f>IF(Variaveis!A173="","",SUMPRODUCT(N(Variaveis!B173:J173),Pesos_Decisao!$B$6:$J$6))</f>
        <v/>
      </c>
      <c r="G173" s="4" t="str">
        <f>IF(Variaveis!A173="","",SUMPRODUCT(N(Variaveis!B173:J173),Pesos_Decisao!$B$7:$J$7))</f>
        <v/>
      </c>
      <c r="H173" s="4" t="str">
        <f>IF(Variaveis!A173="","",SUMPRODUCT(N(Variaveis!B173:J173),Pesos_Decisao!$B$8:$J$8))</f>
        <v/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tr">
        <f>IF(Variaveis!A174="","",Variaveis!A174)</f>
        <v/>
      </c>
      <c r="B174" s="4" t="str">
        <f>IF(Variaveis!A174="","",SUMPRODUCT(N(Variaveis!B174:J174),Pesos_Decisao!$B$2:$J$2))</f>
        <v/>
      </c>
      <c r="C174" s="4" t="str">
        <f>IF(Variaveis!A174="","",SUMPRODUCT(N(Variaveis!B174:J174),Pesos_Decisao!$B$3:$J$3))</f>
        <v/>
      </c>
      <c r="D174" s="4" t="str">
        <f>IF(Variaveis!A174="","",SUMPRODUCT(N(Variaveis!B174:J174),Pesos_Decisao!$B$4:$J$4))</f>
        <v/>
      </c>
      <c r="E174" s="4" t="str">
        <f>IF(Variaveis!A174="","",SUMPRODUCT(N(Variaveis!B174:J174),Pesos_Decisao!$B$5:$J$5))</f>
        <v/>
      </c>
      <c r="F174" s="4" t="str">
        <f>IF(Variaveis!A174="","",SUMPRODUCT(N(Variaveis!B174:J174),Pesos_Decisao!$B$6:$J$6))</f>
        <v/>
      </c>
      <c r="G174" s="4" t="str">
        <f>IF(Variaveis!A174="","",SUMPRODUCT(N(Variaveis!B174:J174),Pesos_Decisao!$B$7:$J$7))</f>
        <v/>
      </c>
      <c r="H174" s="4" t="str">
        <f>IF(Variaveis!A174="","",SUMPRODUCT(N(Variaveis!B174:J174),Pesos_Decisao!$B$8:$J$8))</f>
        <v/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tr">
        <f>IF(Variaveis!A175="","",Variaveis!A175)</f>
        <v/>
      </c>
      <c r="B175" s="4" t="str">
        <f>IF(Variaveis!A175="","",SUMPRODUCT(N(Variaveis!B175:J175),Pesos_Decisao!$B$2:$J$2))</f>
        <v/>
      </c>
      <c r="C175" s="4" t="str">
        <f>IF(Variaveis!A175="","",SUMPRODUCT(N(Variaveis!B175:J175),Pesos_Decisao!$B$3:$J$3))</f>
        <v/>
      </c>
      <c r="D175" s="4" t="str">
        <f>IF(Variaveis!A175="","",SUMPRODUCT(N(Variaveis!B175:J175),Pesos_Decisao!$B$4:$J$4))</f>
        <v/>
      </c>
      <c r="E175" s="4" t="str">
        <f>IF(Variaveis!A175="","",SUMPRODUCT(N(Variaveis!B175:J175),Pesos_Decisao!$B$5:$J$5))</f>
        <v/>
      </c>
      <c r="F175" s="4" t="str">
        <f>IF(Variaveis!A175="","",SUMPRODUCT(N(Variaveis!B175:J175),Pesos_Decisao!$B$6:$J$6))</f>
        <v/>
      </c>
      <c r="G175" s="4" t="str">
        <f>IF(Variaveis!A175="","",SUMPRODUCT(N(Variaveis!B175:J175),Pesos_Decisao!$B$7:$J$7))</f>
        <v/>
      </c>
      <c r="H175" s="4" t="str">
        <f>IF(Variaveis!A175="","",SUMPRODUCT(N(Variaveis!B175:J175),Pesos_Decisao!$B$8:$J$8))</f>
        <v/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tr">
        <f>IF(Variaveis!A176="","",Variaveis!A176)</f>
        <v/>
      </c>
      <c r="B176" s="4" t="str">
        <f>IF(Variaveis!A176="","",SUMPRODUCT(N(Variaveis!B176:J176),Pesos_Decisao!$B$2:$J$2))</f>
        <v/>
      </c>
      <c r="C176" s="4" t="str">
        <f>IF(Variaveis!A176="","",SUMPRODUCT(N(Variaveis!B176:J176),Pesos_Decisao!$B$3:$J$3))</f>
        <v/>
      </c>
      <c r="D176" s="4" t="str">
        <f>IF(Variaveis!A176="","",SUMPRODUCT(N(Variaveis!B176:J176),Pesos_Decisao!$B$4:$J$4))</f>
        <v/>
      </c>
      <c r="E176" s="4" t="str">
        <f>IF(Variaveis!A176="","",SUMPRODUCT(N(Variaveis!B176:J176),Pesos_Decisao!$B$5:$J$5))</f>
        <v/>
      </c>
      <c r="F176" s="4" t="str">
        <f>IF(Variaveis!A176="","",SUMPRODUCT(N(Variaveis!B176:J176),Pesos_Decisao!$B$6:$J$6))</f>
        <v/>
      </c>
      <c r="G176" s="4" t="str">
        <f>IF(Variaveis!A176="","",SUMPRODUCT(N(Variaveis!B176:J176),Pesos_Decisao!$B$7:$J$7))</f>
        <v/>
      </c>
      <c r="H176" s="4" t="str">
        <f>IF(Variaveis!A176="","",SUMPRODUCT(N(Variaveis!B176:J176),Pesos_Decisao!$B$8:$J$8))</f>
        <v/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tr">
        <f>IF(Variaveis!A177="","",Variaveis!A177)</f>
        <v/>
      </c>
      <c r="B177" s="4" t="str">
        <f>IF(Variaveis!A177="","",SUMPRODUCT(N(Variaveis!B177:J177),Pesos_Decisao!$B$2:$J$2))</f>
        <v/>
      </c>
      <c r="C177" s="4" t="str">
        <f>IF(Variaveis!A177="","",SUMPRODUCT(N(Variaveis!B177:J177),Pesos_Decisao!$B$3:$J$3))</f>
        <v/>
      </c>
      <c r="D177" s="4" t="str">
        <f>IF(Variaveis!A177="","",SUMPRODUCT(N(Variaveis!B177:J177),Pesos_Decisao!$B$4:$J$4))</f>
        <v/>
      </c>
      <c r="E177" s="4" t="str">
        <f>IF(Variaveis!A177="","",SUMPRODUCT(N(Variaveis!B177:J177),Pesos_Decisao!$B$5:$J$5))</f>
        <v/>
      </c>
      <c r="F177" s="4" t="str">
        <f>IF(Variaveis!A177="","",SUMPRODUCT(N(Variaveis!B177:J177),Pesos_Decisao!$B$6:$J$6))</f>
        <v/>
      </c>
      <c r="G177" s="4" t="str">
        <f>IF(Variaveis!A177="","",SUMPRODUCT(N(Variaveis!B177:J177),Pesos_Decisao!$B$7:$J$7))</f>
        <v/>
      </c>
      <c r="H177" s="4" t="str">
        <f>IF(Variaveis!A177="","",SUMPRODUCT(N(Variaveis!B177:J177),Pesos_Decisao!$B$8:$J$8))</f>
        <v/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tr">
        <f>IF(Variaveis!A178="","",Variaveis!A178)</f>
        <v/>
      </c>
      <c r="B178" s="4" t="str">
        <f>IF(Variaveis!A178="","",SUMPRODUCT(N(Variaveis!B178:J178),Pesos_Decisao!$B$2:$J$2))</f>
        <v/>
      </c>
      <c r="C178" s="4" t="str">
        <f>IF(Variaveis!A178="","",SUMPRODUCT(N(Variaveis!B178:J178),Pesos_Decisao!$B$3:$J$3))</f>
        <v/>
      </c>
      <c r="D178" s="4" t="str">
        <f>IF(Variaveis!A178="","",SUMPRODUCT(N(Variaveis!B178:J178),Pesos_Decisao!$B$4:$J$4))</f>
        <v/>
      </c>
      <c r="E178" s="4" t="str">
        <f>IF(Variaveis!A178="","",SUMPRODUCT(N(Variaveis!B178:J178),Pesos_Decisao!$B$5:$J$5))</f>
        <v/>
      </c>
      <c r="F178" s="4" t="str">
        <f>IF(Variaveis!A178="","",SUMPRODUCT(N(Variaveis!B178:J178),Pesos_Decisao!$B$6:$J$6))</f>
        <v/>
      </c>
      <c r="G178" s="4" t="str">
        <f>IF(Variaveis!A178="","",SUMPRODUCT(N(Variaveis!B178:J178),Pesos_Decisao!$B$7:$J$7))</f>
        <v/>
      </c>
      <c r="H178" s="4" t="str">
        <f>IF(Variaveis!A178="","",SUMPRODUCT(N(Variaveis!B178:J178),Pesos_Decisao!$B$8:$J$8))</f>
        <v/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tr">
        <f>IF(Variaveis!A179="","",Variaveis!A179)</f>
        <v/>
      </c>
      <c r="B179" s="4" t="str">
        <f>IF(Variaveis!A179="","",SUMPRODUCT(N(Variaveis!B179:J179),Pesos_Decisao!$B$2:$J$2))</f>
        <v/>
      </c>
      <c r="C179" s="4" t="str">
        <f>IF(Variaveis!A179="","",SUMPRODUCT(N(Variaveis!B179:J179),Pesos_Decisao!$B$3:$J$3))</f>
        <v/>
      </c>
      <c r="D179" s="4" t="str">
        <f>IF(Variaveis!A179="","",SUMPRODUCT(N(Variaveis!B179:J179),Pesos_Decisao!$B$4:$J$4))</f>
        <v/>
      </c>
      <c r="E179" s="4" t="str">
        <f>IF(Variaveis!A179="","",SUMPRODUCT(N(Variaveis!B179:J179),Pesos_Decisao!$B$5:$J$5))</f>
        <v/>
      </c>
      <c r="F179" s="4" t="str">
        <f>IF(Variaveis!A179="","",SUMPRODUCT(N(Variaveis!B179:J179),Pesos_Decisao!$B$6:$J$6))</f>
        <v/>
      </c>
      <c r="G179" s="4" t="str">
        <f>IF(Variaveis!A179="","",SUMPRODUCT(N(Variaveis!B179:J179),Pesos_Decisao!$B$7:$J$7))</f>
        <v/>
      </c>
      <c r="H179" s="4" t="str">
        <f>IF(Variaveis!A179="","",SUMPRODUCT(N(Variaveis!B179:J179),Pesos_Decisao!$B$8:$J$8))</f>
        <v/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tr">
        <f>IF(Variaveis!A180="","",Variaveis!A180)</f>
        <v/>
      </c>
      <c r="B180" s="4" t="str">
        <f>IF(Variaveis!A180="","",SUMPRODUCT(N(Variaveis!B180:J180),Pesos_Decisao!$B$2:$J$2))</f>
        <v/>
      </c>
      <c r="C180" s="4" t="str">
        <f>IF(Variaveis!A180="","",SUMPRODUCT(N(Variaveis!B180:J180),Pesos_Decisao!$B$3:$J$3))</f>
        <v/>
      </c>
      <c r="D180" s="4" t="str">
        <f>IF(Variaveis!A180="","",SUMPRODUCT(N(Variaveis!B180:J180),Pesos_Decisao!$B$4:$J$4))</f>
        <v/>
      </c>
      <c r="E180" s="4" t="str">
        <f>IF(Variaveis!A180="","",SUMPRODUCT(N(Variaveis!B180:J180),Pesos_Decisao!$B$5:$J$5))</f>
        <v/>
      </c>
      <c r="F180" s="4" t="str">
        <f>IF(Variaveis!A180="","",SUMPRODUCT(N(Variaveis!B180:J180),Pesos_Decisao!$B$6:$J$6))</f>
        <v/>
      </c>
      <c r="G180" s="4" t="str">
        <f>IF(Variaveis!A180="","",SUMPRODUCT(N(Variaveis!B180:J180),Pesos_Decisao!$B$7:$J$7))</f>
        <v/>
      </c>
      <c r="H180" s="4" t="str">
        <f>IF(Variaveis!A180="","",SUMPRODUCT(N(Variaveis!B180:J180),Pesos_Decisao!$B$8:$J$8))</f>
        <v/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tr">
        <f>IF(Variaveis!A181="","",Variaveis!A181)</f>
        <v/>
      </c>
      <c r="B181" s="4" t="str">
        <f>IF(Variaveis!A181="","",SUMPRODUCT(N(Variaveis!B181:J181),Pesos_Decisao!$B$2:$J$2))</f>
        <v/>
      </c>
      <c r="C181" s="4" t="str">
        <f>IF(Variaveis!A181="","",SUMPRODUCT(N(Variaveis!B181:J181),Pesos_Decisao!$B$3:$J$3))</f>
        <v/>
      </c>
      <c r="D181" s="4" t="str">
        <f>IF(Variaveis!A181="","",SUMPRODUCT(N(Variaveis!B181:J181),Pesos_Decisao!$B$4:$J$4))</f>
        <v/>
      </c>
      <c r="E181" s="4" t="str">
        <f>IF(Variaveis!A181="","",SUMPRODUCT(N(Variaveis!B181:J181),Pesos_Decisao!$B$5:$J$5))</f>
        <v/>
      </c>
      <c r="F181" s="4" t="str">
        <f>IF(Variaveis!A181="","",SUMPRODUCT(N(Variaveis!B181:J181),Pesos_Decisao!$B$6:$J$6))</f>
        <v/>
      </c>
      <c r="G181" s="4" t="str">
        <f>IF(Variaveis!A181="","",SUMPRODUCT(N(Variaveis!B181:J181),Pesos_Decisao!$B$7:$J$7))</f>
        <v/>
      </c>
      <c r="H181" s="4" t="str">
        <f>IF(Variaveis!A181="","",SUMPRODUCT(N(Variaveis!B181:J181),Pesos_Decisao!$B$8:$J$8))</f>
        <v/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tr">
        <f>IF(Variaveis!A182="","",Variaveis!A182)</f>
        <v/>
      </c>
      <c r="B182" s="4" t="str">
        <f>IF(Variaveis!A182="","",SUMPRODUCT(N(Variaveis!B182:J182),Pesos_Decisao!$B$2:$J$2))</f>
        <v/>
      </c>
      <c r="C182" s="4" t="str">
        <f>IF(Variaveis!A182="","",SUMPRODUCT(N(Variaveis!B182:J182),Pesos_Decisao!$B$3:$J$3))</f>
        <v/>
      </c>
      <c r="D182" s="4" t="str">
        <f>IF(Variaveis!A182="","",SUMPRODUCT(N(Variaveis!B182:J182),Pesos_Decisao!$B$4:$J$4))</f>
        <v/>
      </c>
      <c r="E182" s="4" t="str">
        <f>IF(Variaveis!A182="","",SUMPRODUCT(N(Variaveis!B182:J182),Pesos_Decisao!$B$5:$J$5))</f>
        <v/>
      </c>
      <c r="F182" s="4" t="str">
        <f>IF(Variaveis!A182="","",SUMPRODUCT(N(Variaveis!B182:J182),Pesos_Decisao!$B$6:$J$6))</f>
        <v/>
      </c>
      <c r="G182" s="4" t="str">
        <f>IF(Variaveis!A182="","",SUMPRODUCT(N(Variaveis!B182:J182),Pesos_Decisao!$B$7:$J$7))</f>
        <v/>
      </c>
      <c r="H182" s="4" t="str">
        <f>IF(Variaveis!A182="","",SUMPRODUCT(N(Variaveis!B182:J182),Pesos_Decisao!$B$8:$J$8))</f>
        <v/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tr">
        <f>IF(Variaveis!A183="","",Variaveis!A183)</f>
        <v/>
      </c>
      <c r="B183" s="4" t="str">
        <f>IF(Variaveis!A183="","",SUMPRODUCT(N(Variaveis!B183:J183),Pesos_Decisao!$B$2:$J$2))</f>
        <v/>
      </c>
      <c r="C183" s="4" t="str">
        <f>IF(Variaveis!A183="","",SUMPRODUCT(N(Variaveis!B183:J183),Pesos_Decisao!$B$3:$J$3))</f>
        <v/>
      </c>
      <c r="D183" s="4" t="str">
        <f>IF(Variaveis!A183="","",SUMPRODUCT(N(Variaveis!B183:J183),Pesos_Decisao!$B$4:$J$4))</f>
        <v/>
      </c>
      <c r="E183" s="4" t="str">
        <f>IF(Variaveis!A183="","",SUMPRODUCT(N(Variaveis!B183:J183),Pesos_Decisao!$B$5:$J$5))</f>
        <v/>
      </c>
      <c r="F183" s="4" t="str">
        <f>IF(Variaveis!A183="","",SUMPRODUCT(N(Variaveis!B183:J183),Pesos_Decisao!$B$6:$J$6))</f>
        <v/>
      </c>
      <c r="G183" s="4" t="str">
        <f>IF(Variaveis!A183="","",SUMPRODUCT(N(Variaveis!B183:J183),Pesos_Decisao!$B$7:$J$7))</f>
        <v/>
      </c>
      <c r="H183" s="4" t="str">
        <f>IF(Variaveis!A183="","",SUMPRODUCT(N(Variaveis!B183:J183),Pesos_Decisao!$B$8:$J$8))</f>
        <v/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tr">
        <f>IF(Variaveis!A184="","",Variaveis!A184)</f>
        <v/>
      </c>
      <c r="B184" s="4" t="str">
        <f>IF(Variaveis!A184="","",SUMPRODUCT(N(Variaveis!B184:J184),Pesos_Decisao!$B$2:$J$2))</f>
        <v/>
      </c>
      <c r="C184" s="4" t="str">
        <f>IF(Variaveis!A184="","",SUMPRODUCT(N(Variaveis!B184:J184),Pesos_Decisao!$B$3:$J$3))</f>
        <v/>
      </c>
      <c r="D184" s="4" t="str">
        <f>IF(Variaveis!A184="","",SUMPRODUCT(N(Variaveis!B184:J184),Pesos_Decisao!$B$4:$J$4))</f>
        <v/>
      </c>
      <c r="E184" s="4" t="str">
        <f>IF(Variaveis!A184="","",SUMPRODUCT(N(Variaveis!B184:J184),Pesos_Decisao!$B$5:$J$5))</f>
        <v/>
      </c>
      <c r="F184" s="4" t="str">
        <f>IF(Variaveis!A184="","",SUMPRODUCT(N(Variaveis!B184:J184),Pesos_Decisao!$B$6:$J$6))</f>
        <v/>
      </c>
      <c r="G184" s="4" t="str">
        <f>IF(Variaveis!A184="","",SUMPRODUCT(N(Variaveis!B184:J184),Pesos_Decisao!$B$7:$J$7))</f>
        <v/>
      </c>
      <c r="H184" s="4" t="str">
        <f>IF(Variaveis!A184="","",SUMPRODUCT(N(Variaveis!B184:J184),Pesos_Decisao!$B$8:$J$8))</f>
        <v/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tr">
        <f>IF(Variaveis!A185="","",Variaveis!A185)</f>
        <v/>
      </c>
      <c r="B185" s="4" t="str">
        <f>IF(Variaveis!A185="","",SUMPRODUCT(N(Variaveis!B185:J185),Pesos_Decisao!$B$2:$J$2))</f>
        <v/>
      </c>
      <c r="C185" s="4" t="str">
        <f>IF(Variaveis!A185="","",SUMPRODUCT(N(Variaveis!B185:J185),Pesos_Decisao!$B$3:$J$3))</f>
        <v/>
      </c>
      <c r="D185" s="4" t="str">
        <f>IF(Variaveis!A185="","",SUMPRODUCT(N(Variaveis!B185:J185),Pesos_Decisao!$B$4:$J$4))</f>
        <v/>
      </c>
      <c r="E185" s="4" t="str">
        <f>IF(Variaveis!A185="","",SUMPRODUCT(N(Variaveis!B185:J185),Pesos_Decisao!$B$5:$J$5))</f>
        <v/>
      </c>
      <c r="F185" s="4" t="str">
        <f>IF(Variaveis!A185="","",SUMPRODUCT(N(Variaveis!B185:J185),Pesos_Decisao!$B$6:$J$6))</f>
        <v/>
      </c>
      <c r="G185" s="4" t="str">
        <f>IF(Variaveis!A185="","",SUMPRODUCT(N(Variaveis!B185:J185),Pesos_Decisao!$B$7:$J$7))</f>
        <v/>
      </c>
      <c r="H185" s="4" t="str">
        <f>IF(Variaveis!A185="","",SUMPRODUCT(N(Variaveis!B185:J185),Pesos_Decisao!$B$8:$J$8))</f>
        <v/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tr">
        <f>IF(Variaveis!A186="","",Variaveis!A186)</f>
        <v/>
      </c>
      <c r="B186" s="4" t="str">
        <f>IF(Variaveis!A186="","",SUMPRODUCT(N(Variaveis!B186:J186),Pesos_Decisao!$B$2:$J$2))</f>
        <v/>
      </c>
      <c r="C186" s="4" t="str">
        <f>IF(Variaveis!A186="","",SUMPRODUCT(N(Variaveis!B186:J186),Pesos_Decisao!$B$3:$J$3))</f>
        <v/>
      </c>
      <c r="D186" s="4" t="str">
        <f>IF(Variaveis!A186="","",SUMPRODUCT(N(Variaveis!B186:J186),Pesos_Decisao!$B$4:$J$4))</f>
        <v/>
      </c>
      <c r="E186" s="4" t="str">
        <f>IF(Variaveis!A186="","",SUMPRODUCT(N(Variaveis!B186:J186),Pesos_Decisao!$B$5:$J$5))</f>
        <v/>
      </c>
      <c r="F186" s="4" t="str">
        <f>IF(Variaveis!A186="","",SUMPRODUCT(N(Variaveis!B186:J186),Pesos_Decisao!$B$6:$J$6))</f>
        <v/>
      </c>
      <c r="G186" s="4" t="str">
        <f>IF(Variaveis!A186="","",SUMPRODUCT(N(Variaveis!B186:J186),Pesos_Decisao!$B$7:$J$7))</f>
        <v/>
      </c>
      <c r="H186" s="4" t="str">
        <f>IF(Variaveis!A186="","",SUMPRODUCT(N(Variaveis!B186:J186),Pesos_Decisao!$B$8:$J$8))</f>
        <v/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tr">
        <f>IF(Variaveis!A187="","",Variaveis!A187)</f>
        <v/>
      </c>
      <c r="B187" s="4" t="str">
        <f>IF(Variaveis!A187="","",SUMPRODUCT(N(Variaveis!B187:J187),Pesos_Decisao!$B$2:$J$2))</f>
        <v/>
      </c>
      <c r="C187" s="4" t="str">
        <f>IF(Variaveis!A187="","",SUMPRODUCT(N(Variaveis!B187:J187),Pesos_Decisao!$B$3:$J$3))</f>
        <v/>
      </c>
      <c r="D187" s="4" t="str">
        <f>IF(Variaveis!A187="","",SUMPRODUCT(N(Variaveis!B187:J187),Pesos_Decisao!$B$4:$J$4))</f>
        <v/>
      </c>
      <c r="E187" s="4" t="str">
        <f>IF(Variaveis!A187="","",SUMPRODUCT(N(Variaveis!B187:J187),Pesos_Decisao!$B$5:$J$5))</f>
        <v/>
      </c>
      <c r="F187" s="4" t="str">
        <f>IF(Variaveis!A187="","",SUMPRODUCT(N(Variaveis!B187:J187),Pesos_Decisao!$B$6:$J$6))</f>
        <v/>
      </c>
      <c r="G187" s="4" t="str">
        <f>IF(Variaveis!A187="","",SUMPRODUCT(N(Variaveis!B187:J187),Pesos_Decisao!$B$7:$J$7))</f>
        <v/>
      </c>
      <c r="H187" s="4" t="str">
        <f>IF(Variaveis!A187="","",SUMPRODUCT(N(Variaveis!B187:J187),Pesos_Decisao!$B$8:$J$8))</f>
        <v/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tr">
        <f>IF(Variaveis!A188="","",Variaveis!A188)</f>
        <v/>
      </c>
      <c r="B188" s="4" t="str">
        <f>IF(Variaveis!A188="","",SUMPRODUCT(N(Variaveis!B188:J188),Pesos_Decisao!$B$2:$J$2))</f>
        <v/>
      </c>
      <c r="C188" s="4" t="str">
        <f>IF(Variaveis!A188="","",SUMPRODUCT(N(Variaveis!B188:J188),Pesos_Decisao!$B$3:$J$3))</f>
        <v/>
      </c>
      <c r="D188" s="4" t="str">
        <f>IF(Variaveis!A188="","",SUMPRODUCT(N(Variaveis!B188:J188),Pesos_Decisao!$B$4:$J$4))</f>
        <v/>
      </c>
      <c r="E188" s="4" t="str">
        <f>IF(Variaveis!A188="","",SUMPRODUCT(N(Variaveis!B188:J188),Pesos_Decisao!$B$5:$J$5))</f>
        <v/>
      </c>
      <c r="F188" s="4" t="str">
        <f>IF(Variaveis!A188="","",SUMPRODUCT(N(Variaveis!B188:J188),Pesos_Decisao!$B$6:$J$6))</f>
        <v/>
      </c>
      <c r="G188" s="4" t="str">
        <f>IF(Variaveis!A188="","",SUMPRODUCT(N(Variaveis!B188:J188),Pesos_Decisao!$B$7:$J$7))</f>
        <v/>
      </c>
      <c r="H188" s="4" t="str">
        <f>IF(Variaveis!A188="","",SUMPRODUCT(N(Variaveis!B188:J188),Pesos_Decisao!$B$8:$J$8))</f>
        <v/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tr">
        <f>IF(Variaveis!A189="","",Variaveis!A189)</f>
        <v/>
      </c>
      <c r="B189" s="4" t="str">
        <f>IF(Variaveis!A189="","",SUMPRODUCT(N(Variaveis!B189:J189),Pesos_Decisao!$B$2:$J$2))</f>
        <v/>
      </c>
      <c r="C189" s="4" t="str">
        <f>IF(Variaveis!A189="","",SUMPRODUCT(N(Variaveis!B189:J189),Pesos_Decisao!$B$3:$J$3))</f>
        <v/>
      </c>
      <c r="D189" s="4" t="str">
        <f>IF(Variaveis!A189="","",SUMPRODUCT(N(Variaveis!B189:J189),Pesos_Decisao!$B$4:$J$4))</f>
        <v/>
      </c>
      <c r="E189" s="4" t="str">
        <f>IF(Variaveis!A189="","",SUMPRODUCT(N(Variaveis!B189:J189),Pesos_Decisao!$B$5:$J$5))</f>
        <v/>
      </c>
      <c r="F189" s="4" t="str">
        <f>IF(Variaveis!A189="","",SUMPRODUCT(N(Variaveis!B189:J189),Pesos_Decisao!$B$6:$J$6))</f>
        <v/>
      </c>
      <c r="G189" s="4" t="str">
        <f>IF(Variaveis!A189="","",SUMPRODUCT(N(Variaveis!B189:J189),Pesos_Decisao!$B$7:$J$7))</f>
        <v/>
      </c>
      <c r="H189" s="4" t="str">
        <f>IF(Variaveis!A189="","",SUMPRODUCT(N(Variaveis!B189:J189),Pesos_Decisao!$B$8:$J$8))</f>
        <v/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tr">
        <f>IF(Variaveis!A190="","",Variaveis!A190)</f>
        <v/>
      </c>
      <c r="B190" s="4" t="str">
        <f>IF(Variaveis!A190="","",SUMPRODUCT(N(Variaveis!B190:J190),Pesos_Decisao!$B$2:$J$2))</f>
        <v/>
      </c>
      <c r="C190" s="4" t="str">
        <f>IF(Variaveis!A190="","",SUMPRODUCT(N(Variaveis!B190:J190),Pesos_Decisao!$B$3:$J$3))</f>
        <v/>
      </c>
      <c r="D190" s="4" t="str">
        <f>IF(Variaveis!A190="","",SUMPRODUCT(N(Variaveis!B190:J190),Pesos_Decisao!$B$4:$J$4))</f>
        <v/>
      </c>
      <c r="E190" s="4" t="str">
        <f>IF(Variaveis!A190="","",SUMPRODUCT(N(Variaveis!B190:J190),Pesos_Decisao!$B$5:$J$5))</f>
        <v/>
      </c>
      <c r="F190" s="4" t="str">
        <f>IF(Variaveis!A190="","",SUMPRODUCT(N(Variaveis!B190:J190),Pesos_Decisao!$B$6:$J$6))</f>
        <v/>
      </c>
      <c r="G190" s="4" t="str">
        <f>IF(Variaveis!A190="","",SUMPRODUCT(N(Variaveis!B190:J190),Pesos_Decisao!$B$7:$J$7))</f>
        <v/>
      </c>
      <c r="H190" s="4" t="str">
        <f>IF(Variaveis!A190="","",SUMPRODUCT(N(Variaveis!B190:J190),Pesos_Decisao!$B$8:$J$8))</f>
        <v/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tr">
        <f>IF(Variaveis!A191="","",Variaveis!A191)</f>
        <v/>
      </c>
      <c r="B191" s="4" t="str">
        <f>IF(Variaveis!A191="","",SUMPRODUCT(N(Variaveis!B191:J191),Pesos_Decisao!$B$2:$J$2))</f>
        <v/>
      </c>
      <c r="C191" s="4" t="str">
        <f>IF(Variaveis!A191="","",SUMPRODUCT(N(Variaveis!B191:J191),Pesos_Decisao!$B$3:$J$3))</f>
        <v/>
      </c>
      <c r="D191" s="4" t="str">
        <f>IF(Variaveis!A191="","",SUMPRODUCT(N(Variaveis!B191:J191),Pesos_Decisao!$B$4:$J$4))</f>
        <v/>
      </c>
      <c r="E191" s="4" t="str">
        <f>IF(Variaveis!A191="","",SUMPRODUCT(N(Variaveis!B191:J191),Pesos_Decisao!$B$5:$J$5))</f>
        <v/>
      </c>
      <c r="F191" s="4" t="str">
        <f>IF(Variaveis!A191="","",SUMPRODUCT(N(Variaveis!B191:J191),Pesos_Decisao!$B$6:$J$6))</f>
        <v/>
      </c>
      <c r="G191" s="4" t="str">
        <f>IF(Variaveis!A191="","",SUMPRODUCT(N(Variaveis!B191:J191),Pesos_Decisao!$B$7:$J$7))</f>
        <v/>
      </c>
      <c r="H191" s="4" t="str">
        <f>IF(Variaveis!A191="","",SUMPRODUCT(N(Variaveis!B191:J191),Pesos_Decisao!$B$8:$J$8))</f>
        <v/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tr">
        <f>IF(Variaveis!A192="","",Variaveis!A192)</f>
        <v/>
      </c>
      <c r="B192" s="4" t="str">
        <f>IF(Variaveis!A192="","",SUMPRODUCT(N(Variaveis!B192:J192),Pesos_Decisao!$B$2:$J$2))</f>
        <v/>
      </c>
      <c r="C192" s="4" t="str">
        <f>IF(Variaveis!A192="","",SUMPRODUCT(N(Variaveis!B192:J192),Pesos_Decisao!$B$3:$J$3))</f>
        <v/>
      </c>
      <c r="D192" s="4" t="str">
        <f>IF(Variaveis!A192="","",SUMPRODUCT(N(Variaveis!B192:J192),Pesos_Decisao!$B$4:$J$4))</f>
        <v/>
      </c>
      <c r="E192" s="4" t="str">
        <f>IF(Variaveis!A192="","",SUMPRODUCT(N(Variaveis!B192:J192),Pesos_Decisao!$B$5:$J$5))</f>
        <v/>
      </c>
      <c r="F192" s="4" t="str">
        <f>IF(Variaveis!A192="","",SUMPRODUCT(N(Variaveis!B192:J192),Pesos_Decisao!$B$6:$J$6))</f>
        <v/>
      </c>
      <c r="G192" s="4" t="str">
        <f>IF(Variaveis!A192="","",SUMPRODUCT(N(Variaveis!B192:J192),Pesos_Decisao!$B$7:$J$7))</f>
        <v/>
      </c>
      <c r="H192" s="4" t="str">
        <f>IF(Variaveis!A192="","",SUMPRODUCT(N(Variaveis!B192:J192),Pesos_Decisao!$B$8:$J$8))</f>
        <v/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tr">
        <f>IF(Variaveis!A193="","",Variaveis!A193)</f>
        <v/>
      </c>
      <c r="B193" s="4" t="str">
        <f>IF(Variaveis!A193="","",SUMPRODUCT(N(Variaveis!B193:J193),Pesos_Decisao!$B$2:$J$2))</f>
        <v/>
      </c>
      <c r="C193" s="4" t="str">
        <f>IF(Variaveis!A193="","",SUMPRODUCT(N(Variaveis!B193:J193),Pesos_Decisao!$B$3:$J$3))</f>
        <v/>
      </c>
      <c r="D193" s="4" t="str">
        <f>IF(Variaveis!A193="","",SUMPRODUCT(N(Variaveis!B193:J193),Pesos_Decisao!$B$4:$J$4))</f>
        <v/>
      </c>
      <c r="E193" s="4" t="str">
        <f>IF(Variaveis!A193="","",SUMPRODUCT(N(Variaveis!B193:J193),Pesos_Decisao!$B$5:$J$5))</f>
        <v/>
      </c>
      <c r="F193" s="4" t="str">
        <f>IF(Variaveis!A193="","",SUMPRODUCT(N(Variaveis!B193:J193),Pesos_Decisao!$B$6:$J$6))</f>
        <v/>
      </c>
      <c r="G193" s="4" t="str">
        <f>IF(Variaveis!A193="","",SUMPRODUCT(N(Variaveis!B193:J193),Pesos_Decisao!$B$7:$J$7))</f>
        <v/>
      </c>
      <c r="H193" s="4" t="str">
        <f>IF(Variaveis!A193="","",SUMPRODUCT(N(Variaveis!B193:J193),Pesos_Decisao!$B$8:$J$8))</f>
        <v/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tr">
        <f>IF(Variaveis!A194="","",Variaveis!A194)</f>
        <v/>
      </c>
      <c r="B194" s="4" t="str">
        <f>IF(Variaveis!A194="","",SUMPRODUCT(N(Variaveis!B194:J194),Pesos_Decisao!$B$2:$J$2))</f>
        <v/>
      </c>
      <c r="C194" s="4" t="str">
        <f>IF(Variaveis!A194="","",SUMPRODUCT(N(Variaveis!B194:J194),Pesos_Decisao!$B$3:$J$3))</f>
        <v/>
      </c>
      <c r="D194" s="4" t="str">
        <f>IF(Variaveis!A194="","",SUMPRODUCT(N(Variaveis!B194:J194),Pesos_Decisao!$B$4:$J$4))</f>
        <v/>
      </c>
      <c r="E194" s="4" t="str">
        <f>IF(Variaveis!A194="","",SUMPRODUCT(N(Variaveis!B194:J194),Pesos_Decisao!$B$5:$J$5))</f>
        <v/>
      </c>
      <c r="F194" s="4" t="str">
        <f>IF(Variaveis!A194="","",SUMPRODUCT(N(Variaveis!B194:J194),Pesos_Decisao!$B$6:$J$6))</f>
        <v/>
      </c>
      <c r="G194" s="4" t="str">
        <f>IF(Variaveis!A194="","",SUMPRODUCT(N(Variaveis!B194:J194),Pesos_Decisao!$B$7:$J$7))</f>
        <v/>
      </c>
      <c r="H194" s="4" t="str">
        <f>IF(Variaveis!A194="","",SUMPRODUCT(N(Variaveis!B194:J194),Pesos_Decisao!$B$8:$J$8))</f>
        <v/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tr">
        <f>IF(Variaveis!A195="","",Variaveis!A195)</f>
        <v/>
      </c>
      <c r="B195" s="4" t="str">
        <f>IF(Variaveis!A195="","",SUMPRODUCT(N(Variaveis!B195:J195),Pesos_Decisao!$B$2:$J$2))</f>
        <v/>
      </c>
      <c r="C195" s="4" t="str">
        <f>IF(Variaveis!A195="","",SUMPRODUCT(N(Variaveis!B195:J195),Pesos_Decisao!$B$3:$J$3))</f>
        <v/>
      </c>
      <c r="D195" s="4" t="str">
        <f>IF(Variaveis!A195="","",SUMPRODUCT(N(Variaveis!B195:J195),Pesos_Decisao!$B$4:$J$4))</f>
        <v/>
      </c>
      <c r="E195" s="4" t="str">
        <f>IF(Variaveis!A195="","",SUMPRODUCT(N(Variaveis!B195:J195),Pesos_Decisao!$B$5:$J$5))</f>
        <v/>
      </c>
      <c r="F195" s="4" t="str">
        <f>IF(Variaveis!A195="","",SUMPRODUCT(N(Variaveis!B195:J195),Pesos_Decisao!$B$6:$J$6))</f>
        <v/>
      </c>
      <c r="G195" s="4" t="str">
        <f>IF(Variaveis!A195="","",SUMPRODUCT(N(Variaveis!B195:J195),Pesos_Decisao!$B$7:$J$7))</f>
        <v/>
      </c>
      <c r="H195" s="4" t="str">
        <f>IF(Variaveis!A195="","",SUMPRODUCT(N(Variaveis!B195:J195),Pesos_Decisao!$B$8:$J$8))</f>
        <v/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tr">
        <f>IF(Variaveis!A196="","",Variaveis!A196)</f>
        <v/>
      </c>
      <c r="B196" s="4" t="str">
        <f>IF(Variaveis!A196="","",SUMPRODUCT(N(Variaveis!B196:J196),Pesos_Decisao!$B$2:$J$2))</f>
        <v/>
      </c>
      <c r="C196" s="4" t="str">
        <f>IF(Variaveis!A196="","",SUMPRODUCT(N(Variaveis!B196:J196),Pesos_Decisao!$B$3:$J$3))</f>
        <v/>
      </c>
      <c r="D196" s="4" t="str">
        <f>IF(Variaveis!A196="","",SUMPRODUCT(N(Variaveis!B196:J196),Pesos_Decisao!$B$4:$J$4))</f>
        <v/>
      </c>
      <c r="E196" s="4" t="str">
        <f>IF(Variaveis!A196="","",SUMPRODUCT(N(Variaveis!B196:J196),Pesos_Decisao!$B$5:$J$5))</f>
        <v/>
      </c>
      <c r="F196" s="4" t="str">
        <f>IF(Variaveis!A196="","",SUMPRODUCT(N(Variaveis!B196:J196),Pesos_Decisao!$B$6:$J$6))</f>
        <v/>
      </c>
      <c r="G196" s="4" t="str">
        <f>IF(Variaveis!A196="","",SUMPRODUCT(N(Variaveis!B196:J196),Pesos_Decisao!$B$7:$J$7))</f>
        <v/>
      </c>
      <c r="H196" s="4" t="str">
        <f>IF(Variaveis!A196="","",SUMPRODUCT(N(Variaveis!B196:J196),Pesos_Decisao!$B$8:$J$8))</f>
        <v/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tr">
        <f>IF(Variaveis!A197="","",Variaveis!A197)</f>
        <v/>
      </c>
      <c r="B197" s="4" t="str">
        <f>IF(Variaveis!A197="","",SUMPRODUCT(N(Variaveis!B197:J197),Pesos_Decisao!$B$2:$J$2))</f>
        <v/>
      </c>
      <c r="C197" s="4" t="str">
        <f>IF(Variaveis!A197="","",SUMPRODUCT(N(Variaveis!B197:J197),Pesos_Decisao!$B$3:$J$3))</f>
        <v/>
      </c>
      <c r="D197" s="4" t="str">
        <f>IF(Variaveis!A197="","",SUMPRODUCT(N(Variaveis!B197:J197),Pesos_Decisao!$B$4:$J$4))</f>
        <v/>
      </c>
      <c r="E197" s="4" t="str">
        <f>IF(Variaveis!A197="","",SUMPRODUCT(N(Variaveis!B197:J197),Pesos_Decisao!$B$5:$J$5))</f>
        <v/>
      </c>
      <c r="F197" s="4" t="str">
        <f>IF(Variaveis!A197="","",SUMPRODUCT(N(Variaveis!B197:J197),Pesos_Decisao!$B$6:$J$6))</f>
        <v/>
      </c>
      <c r="G197" s="4" t="str">
        <f>IF(Variaveis!A197="","",SUMPRODUCT(N(Variaveis!B197:J197),Pesos_Decisao!$B$7:$J$7))</f>
        <v/>
      </c>
      <c r="H197" s="4" t="str">
        <f>IF(Variaveis!A197="","",SUMPRODUCT(N(Variaveis!B197:J197),Pesos_Decisao!$B$8:$J$8))</f>
        <v/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tr">
        <f>IF(Variaveis!A198="","",Variaveis!A198)</f>
        <v/>
      </c>
      <c r="B198" s="4" t="str">
        <f>IF(Variaveis!A198="","",SUMPRODUCT(N(Variaveis!B198:J198),Pesos_Decisao!$B$2:$J$2))</f>
        <v/>
      </c>
      <c r="C198" s="4" t="str">
        <f>IF(Variaveis!A198="","",SUMPRODUCT(N(Variaveis!B198:J198),Pesos_Decisao!$B$3:$J$3))</f>
        <v/>
      </c>
      <c r="D198" s="4" t="str">
        <f>IF(Variaveis!A198="","",SUMPRODUCT(N(Variaveis!B198:J198),Pesos_Decisao!$B$4:$J$4))</f>
        <v/>
      </c>
      <c r="E198" s="4" t="str">
        <f>IF(Variaveis!A198="","",SUMPRODUCT(N(Variaveis!B198:J198),Pesos_Decisao!$B$5:$J$5))</f>
        <v/>
      </c>
      <c r="F198" s="4" t="str">
        <f>IF(Variaveis!A198="","",SUMPRODUCT(N(Variaveis!B198:J198),Pesos_Decisao!$B$6:$J$6))</f>
        <v/>
      </c>
      <c r="G198" s="4" t="str">
        <f>IF(Variaveis!A198="","",SUMPRODUCT(N(Variaveis!B198:J198),Pesos_Decisao!$B$7:$J$7))</f>
        <v/>
      </c>
      <c r="H198" s="4" t="str">
        <f>IF(Variaveis!A198="","",SUMPRODUCT(N(Variaveis!B198:J198),Pesos_Decisao!$B$8:$J$8))</f>
        <v/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tr">
        <f>IF(Variaveis!A199="","",Variaveis!A199)</f>
        <v/>
      </c>
      <c r="B199" s="4" t="str">
        <f>IF(Variaveis!A199="","",SUMPRODUCT(N(Variaveis!B199:J199),Pesos_Decisao!$B$2:$J$2))</f>
        <v/>
      </c>
      <c r="C199" s="4" t="str">
        <f>IF(Variaveis!A199="","",SUMPRODUCT(N(Variaveis!B199:J199),Pesos_Decisao!$B$3:$J$3))</f>
        <v/>
      </c>
      <c r="D199" s="4" t="str">
        <f>IF(Variaveis!A199="","",SUMPRODUCT(N(Variaveis!B199:J199),Pesos_Decisao!$B$4:$J$4))</f>
        <v/>
      </c>
      <c r="E199" s="4" t="str">
        <f>IF(Variaveis!A199="","",SUMPRODUCT(N(Variaveis!B199:J199),Pesos_Decisao!$B$5:$J$5))</f>
        <v/>
      </c>
      <c r="F199" s="4" t="str">
        <f>IF(Variaveis!A199="","",SUMPRODUCT(N(Variaveis!B199:J199),Pesos_Decisao!$B$6:$J$6))</f>
        <v/>
      </c>
      <c r="G199" s="4" t="str">
        <f>IF(Variaveis!A199="","",SUMPRODUCT(N(Variaveis!B199:J199),Pesos_Decisao!$B$7:$J$7))</f>
        <v/>
      </c>
      <c r="H199" s="4" t="str">
        <f>IF(Variaveis!A199="","",SUMPRODUCT(N(Variaveis!B199:J199),Pesos_Decisao!$B$8:$J$8))</f>
        <v/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tr">
        <f>IF(Variaveis!A200="","",Variaveis!A200)</f>
        <v/>
      </c>
      <c r="B200" s="4" t="str">
        <f>IF(Variaveis!A200="","",SUMPRODUCT(N(Variaveis!B200:J200),Pesos_Decisao!$B$2:$J$2))</f>
        <v/>
      </c>
      <c r="C200" s="4" t="str">
        <f>IF(Variaveis!A200="","",SUMPRODUCT(N(Variaveis!B200:J200),Pesos_Decisao!$B$3:$J$3))</f>
        <v/>
      </c>
      <c r="D200" s="4" t="str">
        <f>IF(Variaveis!A200="","",SUMPRODUCT(N(Variaveis!B200:J200),Pesos_Decisao!$B$4:$J$4))</f>
        <v/>
      </c>
      <c r="E200" s="4" t="str">
        <f>IF(Variaveis!A200="","",SUMPRODUCT(N(Variaveis!B200:J200),Pesos_Decisao!$B$5:$J$5))</f>
        <v/>
      </c>
      <c r="F200" s="4" t="str">
        <f>IF(Variaveis!A200="","",SUMPRODUCT(N(Variaveis!B200:J200),Pesos_Decisao!$B$6:$J$6))</f>
        <v/>
      </c>
      <c r="G200" s="4" t="str">
        <f>IF(Variaveis!A200="","",SUMPRODUCT(N(Variaveis!B200:J200),Pesos_Decisao!$B$7:$J$7))</f>
        <v/>
      </c>
      <c r="H200" s="4" t="str">
        <f>IF(Variaveis!A200="","",SUMPRODUCT(N(Variaveis!B200:J200),Pesos_Decisao!$B$8:$J$8))</f>
        <v/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tr">
        <f>IF(Variaveis!A201="","",Variaveis!A201)</f>
        <v/>
      </c>
      <c r="B201" s="4" t="str">
        <f>IF(Variaveis!A201="","",SUMPRODUCT(N(Variaveis!B201:J201),Pesos_Decisao!$B$2:$J$2))</f>
        <v/>
      </c>
      <c r="C201" s="4" t="str">
        <f>IF(Variaveis!A201="","",SUMPRODUCT(N(Variaveis!B201:J201),Pesos_Decisao!$B$3:$J$3))</f>
        <v/>
      </c>
      <c r="D201" s="4" t="str">
        <f>IF(Variaveis!A201="","",SUMPRODUCT(N(Variaveis!B201:J201),Pesos_Decisao!$B$4:$J$4))</f>
        <v/>
      </c>
      <c r="E201" s="4" t="str">
        <f>IF(Variaveis!A201="","",SUMPRODUCT(N(Variaveis!B201:J201),Pesos_Decisao!$B$5:$J$5))</f>
        <v/>
      </c>
      <c r="F201" s="4" t="str">
        <f>IF(Variaveis!A201="","",SUMPRODUCT(N(Variaveis!B201:J201),Pesos_Decisao!$B$6:$J$6))</f>
        <v/>
      </c>
      <c r="G201" s="4" t="str">
        <f>IF(Variaveis!A201="","",SUMPRODUCT(N(Variaveis!B201:J201),Pesos_Decisao!$B$7:$J$7))</f>
        <v/>
      </c>
      <c r="H201" s="4" t="str">
        <f>IF(Variaveis!A201="","",SUMPRODUCT(N(Variaveis!B201:J201),Pesos_Decisao!$B$8:$J$8))</f>
        <v/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tr">
        <f>IF(Variaveis!A202="","",Variaveis!A202)</f>
        <v/>
      </c>
      <c r="B202" s="4" t="str">
        <f>IF(Variaveis!A202="","",SUMPRODUCT(N(Variaveis!B202:J202),Pesos_Decisao!$B$2:$J$2))</f>
        <v/>
      </c>
      <c r="C202" s="4" t="str">
        <f>IF(Variaveis!A202="","",SUMPRODUCT(N(Variaveis!B202:J202),Pesos_Decisao!$B$3:$J$3))</f>
        <v/>
      </c>
      <c r="D202" s="4" t="str">
        <f>IF(Variaveis!A202="","",SUMPRODUCT(N(Variaveis!B202:J202),Pesos_Decisao!$B$4:$J$4))</f>
        <v/>
      </c>
      <c r="E202" s="4" t="str">
        <f>IF(Variaveis!A202="","",SUMPRODUCT(N(Variaveis!B202:J202),Pesos_Decisao!$B$5:$J$5))</f>
        <v/>
      </c>
      <c r="F202" s="4" t="str">
        <f>IF(Variaveis!A202="","",SUMPRODUCT(N(Variaveis!B202:J202),Pesos_Decisao!$B$6:$J$6))</f>
        <v/>
      </c>
      <c r="G202" s="4" t="str">
        <f>IF(Variaveis!A202="","",SUMPRODUCT(N(Variaveis!B202:J202),Pesos_Decisao!$B$7:$J$7))</f>
        <v/>
      </c>
      <c r="H202" s="4" t="str">
        <f>IF(Variaveis!A202="","",SUMPRODUCT(N(Variaveis!B202:J202),Pesos_Decisao!$B$8:$J$8))</f>
        <v/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tr">
        <f>IF(Variaveis!A203="","",Variaveis!A203)</f>
        <v/>
      </c>
      <c r="B203" s="4" t="str">
        <f>IF(Variaveis!A203="","",SUMPRODUCT(N(Variaveis!B203:J203),Pesos_Decisao!$B$2:$J$2))</f>
        <v/>
      </c>
      <c r="C203" s="4" t="str">
        <f>IF(Variaveis!A203="","",SUMPRODUCT(N(Variaveis!B203:J203),Pesos_Decisao!$B$3:$J$3))</f>
        <v/>
      </c>
      <c r="D203" s="4" t="str">
        <f>IF(Variaveis!A203="","",SUMPRODUCT(N(Variaveis!B203:J203),Pesos_Decisao!$B$4:$J$4))</f>
        <v/>
      </c>
      <c r="E203" s="4" t="str">
        <f>IF(Variaveis!A203="","",SUMPRODUCT(N(Variaveis!B203:J203),Pesos_Decisao!$B$5:$J$5))</f>
        <v/>
      </c>
      <c r="F203" s="4" t="str">
        <f>IF(Variaveis!A203="","",SUMPRODUCT(N(Variaveis!B203:J203),Pesos_Decisao!$B$6:$J$6))</f>
        <v/>
      </c>
      <c r="G203" s="4" t="str">
        <f>IF(Variaveis!A203="","",SUMPRODUCT(N(Variaveis!B203:J203),Pesos_Decisao!$B$7:$J$7))</f>
        <v/>
      </c>
      <c r="H203" s="4" t="str">
        <f>IF(Variaveis!A203="","",SUMPRODUCT(N(Variaveis!B203:J203),Pesos_Decisao!$B$8:$J$8))</f>
        <v/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tr">
        <f>IF(Variaveis!A204="","",Variaveis!A204)</f>
        <v/>
      </c>
      <c r="B204" s="4" t="str">
        <f>IF(Variaveis!A204="","",SUMPRODUCT(N(Variaveis!B204:J204),Pesos_Decisao!$B$2:$J$2))</f>
        <v/>
      </c>
      <c r="C204" s="4" t="str">
        <f>IF(Variaveis!A204="","",SUMPRODUCT(N(Variaveis!B204:J204),Pesos_Decisao!$B$3:$J$3))</f>
        <v/>
      </c>
      <c r="D204" s="4" t="str">
        <f>IF(Variaveis!A204="","",SUMPRODUCT(N(Variaveis!B204:J204),Pesos_Decisao!$B$4:$J$4))</f>
        <v/>
      </c>
      <c r="E204" s="4" t="str">
        <f>IF(Variaveis!A204="","",SUMPRODUCT(N(Variaveis!B204:J204),Pesos_Decisao!$B$5:$J$5))</f>
        <v/>
      </c>
      <c r="F204" s="4" t="str">
        <f>IF(Variaveis!A204="","",SUMPRODUCT(N(Variaveis!B204:J204),Pesos_Decisao!$B$6:$J$6))</f>
        <v/>
      </c>
      <c r="G204" s="4" t="str">
        <f>IF(Variaveis!A204="","",SUMPRODUCT(N(Variaveis!B204:J204),Pesos_Decisao!$B$7:$J$7))</f>
        <v/>
      </c>
      <c r="H204" s="4" t="str">
        <f>IF(Variaveis!A204="","",SUMPRODUCT(N(Variaveis!B204:J204),Pesos_Decisao!$B$8:$J$8))</f>
        <v/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tr">
        <f>IF(Variaveis!A205="","",Variaveis!A205)</f>
        <v/>
      </c>
      <c r="B205" s="4" t="str">
        <f>IF(Variaveis!A205="","",SUMPRODUCT(N(Variaveis!B205:J205),Pesos_Decisao!$B$2:$J$2))</f>
        <v/>
      </c>
      <c r="C205" s="4" t="str">
        <f>IF(Variaveis!A205="","",SUMPRODUCT(N(Variaveis!B205:J205),Pesos_Decisao!$B$3:$J$3))</f>
        <v/>
      </c>
      <c r="D205" s="4" t="str">
        <f>IF(Variaveis!A205="","",SUMPRODUCT(N(Variaveis!B205:J205),Pesos_Decisao!$B$4:$J$4))</f>
        <v/>
      </c>
      <c r="E205" s="4" t="str">
        <f>IF(Variaveis!A205="","",SUMPRODUCT(N(Variaveis!B205:J205),Pesos_Decisao!$B$5:$J$5))</f>
        <v/>
      </c>
      <c r="F205" s="4" t="str">
        <f>IF(Variaveis!A205="","",SUMPRODUCT(N(Variaveis!B205:J205),Pesos_Decisao!$B$6:$J$6))</f>
        <v/>
      </c>
      <c r="G205" s="4" t="str">
        <f>IF(Variaveis!A205="","",SUMPRODUCT(N(Variaveis!B205:J205),Pesos_Decisao!$B$7:$J$7))</f>
        <v/>
      </c>
      <c r="H205" s="4" t="str">
        <f>IF(Variaveis!A205="","",SUMPRODUCT(N(Variaveis!B205:J205),Pesos_Decisao!$B$8:$J$8))</f>
        <v/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tr">
        <f>IF(Variaveis!A206="","",Variaveis!A206)</f>
        <v/>
      </c>
      <c r="B206" s="4" t="str">
        <f>IF(Variaveis!A206="","",SUMPRODUCT(N(Variaveis!B206:J206),Pesos_Decisao!$B$2:$J$2))</f>
        <v/>
      </c>
      <c r="C206" s="4" t="str">
        <f>IF(Variaveis!A206="","",SUMPRODUCT(N(Variaveis!B206:J206),Pesos_Decisao!$B$3:$J$3))</f>
        <v/>
      </c>
      <c r="D206" s="4" t="str">
        <f>IF(Variaveis!A206="","",SUMPRODUCT(N(Variaveis!B206:J206),Pesos_Decisao!$B$4:$J$4))</f>
        <v/>
      </c>
      <c r="E206" s="4" t="str">
        <f>IF(Variaveis!A206="","",SUMPRODUCT(N(Variaveis!B206:J206),Pesos_Decisao!$B$5:$J$5))</f>
        <v/>
      </c>
      <c r="F206" s="4" t="str">
        <f>IF(Variaveis!A206="","",SUMPRODUCT(N(Variaveis!B206:J206),Pesos_Decisao!$B$6:$J$6))</f>
        <v/>
      </c>
      <c r="G206" s="4" t="str">
        <f>IF(Variaveis!A206="","",SUMPRODUCT(N(Variaveis!B206:J206),Pesos_Decisao!$B$7:$J$7))</f>
        <v/>
      </c>
      <c r="H206" s="4" t="str">
        <f>IF(Variaveis!A206="","",SUMPRODUCT(N(Variaveis!B206:J206),Pesos_Decisao!$B$8:$J$8))</f>
        <v/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tr">
        <f>IF(Variaveis!A207="","",Variaveis!A207)</f>
        <v/>
      </c>
      <c r="B207" s="4" t="str">
        <f>IF(Variaveis!A207="","",SUMPRODUCT(N(Variaveis!B207:J207),Pesos_Decisao!$B$2:$J$2))</f>
        <v/>
      </c>
      <c r="C207" s="4" t="str">
        <f>IF(Variaveis!A207="","",SUMPRODUCT(N(Variaveis!B207:J207),Pesos_Decisao!$B$3:$J$3))</f>
        <v/>
      </c>
      <c r="D207" s="4" t="str">
        <f>IF(Variaveis!A207="","",SUMPRODUCT(N(Variaveis!B207:J207),Pesos_Decisao!$B$4:$J$4))</f>
        <v/>
      </c>
      <c r="E207" s="4" t="str">
        <f>IF(Variaveis!A207="","",SUMPRODUCT(N(Variaveis!B207:J207),Pesos_Decisao!$B$5:$J$5))</f>
        <v/>
      </c>
      <c r="F207" s="4" t="str">
        <f>IF(Variaveis!A207="","",SUMPRODUCT(N(Variaveis!B207:J207),Pesos_Decisao!$B$6:$J$6))</f>
        <v/>
      </c>
      <c r="G207" s="4" t="str">
        <f>IF(Variaveis!A207="","",SUMPRODUCT(N(Variaveis!B207:J207),Pesos_Decisao!$B$7:$J$7))</f>
        <v/>
      </c>
      <c r="H207" s="4" t="str">
        <f>IF(Variaveis!A207="","",SUMPRODUCT(N(Variaveis!B207:J207),Pesos_Decisao!$B$8:$J$8))</f>
        <v/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tr">
        <f>IF(Variaveis!A208="","",Variaveis!A208)</f>
        <v/>
      </c>
      <c r="B208" s="4" t="str">
        <f>IF(Variaveis!A208="","",SUMPRODUCT(N(Variaveis!B208:J208),Pesos_Decisao!$B$2:$J$2))</f>
        <v/>
      </c>
      <c r="C208" s="4" t="str">
        <f>IF(Variaveis!A208="","",SUMPRODUCT(N(Variaveis!B208:J208),Pesos_Decisao!$B$3:$J$3))</f>
        <v/>
      </c>
      <c r="D208" s="4" t="str">
        <f>IF(Variaveis!A208="","",SUMPRODUCT(N(Variaveis!B208:J208),Pesos_Decisao!$B$4:$J$4))</f>
        <v/>
      </c>
      <c r="E208" s="4" t="str">
        <f>IF(Variaveis!A208="","",SUMPRODUCT(N(Variaveis!B208:J208),Pesos_Decisao!$B$5:$J$5))</f>
        <v/>
      </c>
      <c r="F208" s="4" t="str">
        <f>IF(Variaveis!A208="","",SUMPRODUCT(N(Variaveis!B208:J208),Pesos_Decisao!$B$6:$J$6))</f>
        <v/>
      </c>
      <c r="G208" s="4" t="str">
        <f>IF(Variaveis!A208="","",SUMPRODUCT(N(Variaveis!B208:J208),Pesos_Decisao!$B$7:$J$7))</f>
        <v/>
      </c>
      <c r="H208" s="4" t="str">
        <f>IF(Variaveis!A208="","",SUMPRODUCT(N(Variaveis!B208:J208),Pesos_Decisao!$B$8:$J$8))</f>
        <v/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tr">
        <f>IF(Variaveis!A209="","",Variaveis!A209)</f>
        <v/>
      </c>
      <c r="B209" s="4" t="str">
        <f>IF(Variaveis!A209="","",SUMPRODUCT(N(Variaveis!B209:J209),Pesos_Decisao!$B$2:$J$2))</f>
        <v/>
      </c>
      <c r="C209" s="4" t="str">
        <f>IF(Variaveis!A209="","",SUMPRODUCT(N(Variaveis!B209:J209),Pesos_Decisao!$B$3:$J$3))</f>
        <v/>
      </c>
      <c r="D209" s="4" t="str">
        <f>IF(Variaveis!A209="","",SUMPRODUCT(N(Variaveis!B209:J209),Pesos_Decisao!$B$4:$J$4))</f>
        <v/>
      </c>
      <c r="E209" s="4" t="str">
        <f>IF(Variaveis!A209="","",SUMPRODUCT(N(Variaveis!B209:J209),Pesos_Decisao!$B$5:$J$5))</f>
        <v/>
      </c>
      <c r="F209" s="4" t="str">
        <f>IF(Variaveis!A209="","",SUMPRODUCT(N(Variaveis!B209:J209),Pesos_Decisao!$B$6:$J$6))</f>
        <v/>
      </c>
      <c r="G209" s="4" t="str">
        <f>IF(Variaveis!A209="","",SUMPRODUCT(N(Variaveis!B209:J209),Pesos_Decisao!$B$7:$J$7))</f>
        <v/>
      </c>
      <c r="H209" s="4" t="str">
        <f>IF(Variaveis!A209="","",SUMPRODUCT(N(Variaveis!B209:J209),Pesos_Decisao!$B$8:$J$8))</f>
        <v/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tr">
        <f>IF(Variaveis!A210="","",Variaveis!A210)</f>
        <v/>
      </c>
      <c r="B210" s="4" t="str">
        <f>IF(Variaveis!A210="","",SUMPRODUCT(N(Variaveis!B210:J210),Pesos_Decisao!$B$2:$J$2))</f>
        <v/>
      </c>
      <c r="C210" s="4" t="str">
        <f>IF(Variaveis!A210="","",SUMPRODUCT(N(Variaveis!B210:J210),Pesos_Decisao!$B$3:$J$3))</f>
        <v/>
      </c>
      <c r="D210" s="4" t="str">
        <f>IF(Variaveis!A210="","",SUMPRODUCT(N(Variaveis!B210:J210),Pesos_Decisao!$B$4:$J$4))</f>
        <v/>
      </c>
      <c r="E210" s="4" t="str">
        <f>IF(Variaveis!A210="","",SUMPRODUCT(N(Variaveis!B210:J210),Pesos_Decisao!$B$5:$J$5))</f>
        <v/>
      </c>
      <c r="F210" s="4" t="str">
        <f>IF(Variaveis!A210="","",SUMPRODUCT(N(Variaveis!B210:J210),Pesos_Decisao!$B$6:$J$6))</f>
        <v/>
      </c>
      <c r="G210" s="4" t="str">
        <f>IF(Variaveis!A210="","",SUMPRODUCT(N(Variaveis!B210:J210),Pesos_Decisao!$B$7:$J$7))</f>
        <v/>
      </c>
      <c r="H210" s="4" t="str">
        <f>IF(Variaveis!A210="","",SUMPRODUCT(N(Variaveis!B210:J210),Pesos_Decisao!$B$8:$J$8))</f>
        <v/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tr">
        <f>IF(Variaveis!A211="","",Variaveis!A211)</f>
        <v/>
      </c>
      <c r="B211" s="4" t="str">
        <f>IF(Variaveis!A211="","",SUMPRODUCT(N(Variaveis!B211:J211),Pesos_Decisao!$B$2:$J$2))</f>
        <v/>
      </c>
      <c r="C211" s="4" t="str">
        <f>IF(Variaveis!A211="","",SUMPRODUCT(N(Variaveis!B211:J211),Pesos_Decisao!$B$3:$J$3))</f>
        <v/>
      </c>
      <c r="D211" s="4" t="str">
        <f>IF(Variaveis!A211="","",SUMPRODUCT(N(Variaveis!B211:J211),Pesos_Decisao!$B$4:$J$4))</f>
        <v/>
      </c>
      <c r="E211" s="4" t="str">
        <f>IF(Variaveis!A211="","",SUMPRODUCT(N(Variaveis!B211:J211),Pesos_Decisao!$B$5:$J$5))</f>
        <v/>
      </c>
      <c r="F211" s="4" t="str">
        <f>IF(Variaveis!A211="","",SUMPRODUCT(N(Variaveis!B211:J211),Pesos_Decisao!$B$6:$J$6))</f>
        <v/>
      </c>
      <c r="G211" s="4" t="str">
        <f>IF(Variaveis!A211="","",SUMPRODUCT(N(Variaveis!B211:J211),Pesos_Decisao!$B$7:$J$7))</f>
        <v/>
      </c>
      <c r="H211" s="4" t="str">
        <f>IF(Variaveis!A211="","",SUMPRODUCT(N(Variaveis!B211:J211),Pesos_Decisao!$B$8:$J$8))</f>
        <v/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tr">
        <f>IF(Variaveis!A212="","",Variaveis!A212)</f>
        <v/>
      </c>
      <c r="B212" s="4" t="str">
        <f>IF(Variaveis!A212="","",SUMPRODUCT(N(Variaveis!B212:J212),Pesos_Decisao!$B$2:$J$2))</f>
        <v/>
      </c>
      <c r="C212" s="4" t="str">
        <f>IF(Variaveis!A212="","",SUMPRODUCT(N(Variaveis!B212:J212),Pesos_Decisao!$B$3:$J$3))</f>
        <v/>
      </c>
      <c r="D212" s="4" t="str">
        <f>IF(Variaveis!A212="","",SUMPRODUCT(N(Variaveis!B212:J212),Pesos_Decisao!$B$4:$J$4))</f>
        <v/>
      </c>
      <c r="E212" s="4" t="str">
        <f>IF(Variaveis!A212="","",SUMPRODUCT(N(Variaveis!B212:J212),Pesos_Decisao!$B$5:$J$5))</f>
        <v/>
      </c>
      <c r="F212" s="4" t="str">
        <f>IF(Variaveis!A212="","",SUMPRODUCT(N(Variaveis!B212:J212),Pesos_Decisao!$B$6:$J$6))</f>
        <v/>
      </c>
      <c r="G212" s="4" t="str">
        <f>IF(Variaveis!A212="","",SUMPRODUCT(N(Variaveis!B212:J212),Pesos_Decisao!$B$7:$J$7))</f>
        <v/>
      </c>
      <c r="H212" s="4" t="str">
        <f>IF(Variaveis!A212="","",SUMPRODUCT(N(Variaveis!B212:J212),Pesos_Decisao!$B$8:$J$8))</f>
        <v/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tr">
        <f>IF(Variaveis!A213="","",Variaveis!A213)</f>
        <v/>
      </c>
      <c r="B213" s="4" t="str">
        <f>IF(Variaveis!A213="","",SUMPRODUCT(N(Variaveis!B213:J213),Pesos_Decisao!$B$2:$J$2))</f>
        <v/>
      </c>
      <c r="C213" s="4" t="str">
        <f>IF(Variaveis!A213="","",SUMPRODUCT(N(Variaveis!B213:J213),Pesos_Decisao!$B$3:$J$3))</f>
        <v/>
      </c>
      <c r="D213" s="4" t="str">
        <f>IF(Variaveis!A213="","",SUMPRODUCT(N(Variaveis!B213:J213),Pesos_Decisao!$B$4:$J$4))</f>
        <v/>
      </c>
      <c r="E213" s="4" t="str">
        <f>IF(Variaveis!A213="","",SUMPRODUCT(N(Variaveis!B213:J213),Pesos_Decisao!$B$5:$J$5))</f>
        <v/>
      </c>
      <c r="F213" s="4" t="str">
        <f>IF(Variaveis!A213="","",SUMPRODUCT(N(Variaveis!B213:J213),Pesos_Decisao!$B$6:$J$6))</f>
        <v/>
      </c>
      <c r="G213" s="4" t="str">
        <f>IF(Variaveis!A213="","",SUMPRODUCT(N(Variaveis!B213:J213),Pesos_Decisao!$B$7:$J$7))</f>
        <v/>
      </c>
      <c r="H213" s="4" t="str">
        <f>IF(Variaveis!A213="","",SUMPRODUCT(N(Variaveis!B213:J213),Pesos_Decisao!$B$8:$J$8))</f>
        <v/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tr">
        <f>IF(Variaveis!A214="","",Variaveis!A214)</f>
        <v/>
      </c>
      <c r="B214" s="4" t="str">
        <f>IF(Variaveis!A214="","",SUMPRODUCT(N(Variaveis!B214:J214),Pesos_Decisao!$B$2:$J$2))</f>
        <v/>
      </c>
      <c r="C214" s="4" t="str">
        <f>IF(Variaveis!A214="","",SUMPRODUCT(N(Variaveis!B214:J214),Pesos_Decisao!$B$3:$J$3))</f>
        <v/>
      </c>
      <c r="D214" s="4" t="str">
        <f>IF(Variaveis!A214="","",SUMPRODUCT(N(Variaveis!B214:J214),Pesos_Decisao!$B$4:$J$4))</f>
        <v/>
      </c>
      <c r="E214" s="4" t="str">
        <f>IF(Variaveis!A214="","",SUMPRODUCT(N(Variaveis!B214:J214),Pesos_Decisao!$B$5:$J$5))</f>
        <v/>
      </c>
      <c r="F214" s="4" t="str">
        <f>IF(Variaveis!A214="","",SUMPRODUCT(N(Variaveis!B214:J214),Pesos_Decisao!$B$6:$J$6))</f>
        <v/>
      </c>
      <c r="G214" s="4" t="str">
        <f>IF(Variaveis!A214="","",SUMPRODUCT(N(Variaveis!B214:J214),Pesos_Decisao!$B$7:$J$7))</f>
        <v/>
      </c>
      <c r="H214" s="4" t="str">
        <f>IF(Variaveis!A214="","",SUMPRODUCT(N(Variaveis!B214:J214),Pesos_Decisao!$B$8:$J$8))</f>
        <v/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tr">
        <f>IF(Variaveis!A215="","",Variaveis!A215)</f>
        <v/>
      </c>
      <c r="B215" s="4" t="str">
        <f>IF(Variaveis!A215="","",SUMPRODUCT(N(Variaveis!B215:J215),Pesos_Decisao!$B$2:$J$2))</f>
        <v/>
      </c>
      <c r="C215" s="4" t="str">
        <f>IF(Variaveis!A215="","",SUMPRODUCT(N(Variaveis!B215:J215),Pesos_Decisao!$B$3:$J$3))</f>
        <v/>
      </c>
      <c r="D215" s="4" t="str">
        <f>IF(Variaveis!A215="","",SUMPRODUCT(N(Variaveis!B215:J215),Pesos_Decisao!$B$4:$J$4))</f>
        <v/>
      </c>
      <c r="E215" s="4" t="str">
        <f>IF(Variaveis!A215="","",SUMPRODUCT(N(Variaveis!B215:J215),Pesos_Decisao!$B$5:$J$5))</f>
        <v/>
      </c>
      <c r="F215" s="4" t="str">
        <f>IF(Variaveis!A215="","",SUMPRODUCT(N(Variaveis!B215:J215),Pesos_Decisao!$B$6:$J$6))</f>
        <v/>
      </c>
      <c r="G215" s="4" t="str">
        <f>IF(Variaveis!A215="","",SUMPRODUCT(N(Variaveis!B215:J215),Pesos_Decisao!$B$7:$J$7))</f>
        <v/>
      </c>
      <c r="H215" s="4" t="str">
        <f>IF(Variaveis!A215="","",SUMPRODUCT(N(Variaveis!B215:J215),Pesos_Decisao!$B$8:$J$8))</f>
        <v/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tr">
        <f>IF(Variaveis!A216="","",Variaveis!A216)</f>
        <v/>
      </c>
      <c r="B216" s="4" t="str">
        <f>IF(Variaveis!A216="","",SUMPRODUCT(N(Variaveis!B216:J216),Pesos_Decisao!$B$2:$J$2))</f>
        <v/>
      </c>
      <c r="C216" s="4" t="str">
        <f>IF(Variaveis!A216="","",SUMPRODUCT(N(Variaveis!B216:J216),Pesos_Decisao!$B$3:$J$3))</f>
        <v/>
      </c>
      <c r="D216" s="4" t="str">
        <f>IF(Variaveis!A216="","",SUMPRODUCT(N(Variaveis!B216:J216),Pesos_Decisao!$B$4:$J$4))</f>
        <v/>
      </c>
      <c r="E216" s="4" t="str">
        <f>IF(Variaveis!A216="","",SUMPRODUCT(N(Variaveis!B216:J216),Pesos_Decisao!$B$5:$J$5))</f>
        <v/>
      </c>
      <c r="F216" s="4" t="str">
        <f>IF(Variaveis!A216="","",SUMPRODUCT(N(Variaveis!B216:J216),Pesos_Decisao!$B$6:$J$6))</f>
        <v/>
      </c>
      <c r="G216" s="4" t="str">
        <f>IF(Variaveis!A216="","",SUMPRODUCT(N(Variaveis!B216:J216),Pesos_Decisao!$B$7:$J$7))</f>
        <v/>
      </c>
      <c r="H216" s="4" t="str">
        <f>IF(Variaveis!A216="","",SUMPRODUCT(N(Variaveis!B216:J216),Pesos_Decisao!$B$8:$J$8))</f>
        <v/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tr">
        <f>IF(Variaveis!A217="","",Variaveis!A217)</f>
        <v/>
      </c>
      <c r="B217" s="4" t="str">
        <f>IF(Variaveis!A217="","",SUMPRODUCT(N(Variaveis!B217:J217),Pesos_Decisao!$B$2:$J$2))</f>
        <v/>
      </c>
      <c r="C217" s="4" t="str">
        <f>IF(Variaveis!A217="","",SUMPRODUCT(N(Variaveis!B217:J217),Pesos_Decisao!$B$3:$J$3))</f>
        <v/>
      </c>
      <c r="D217" s="4" t="str">
        <f>IF(Variaveis!A217="","",SUMPRODUCT(N(Variaveis!B217:J217),Pesos_Decisao!$B$4:$J$4))</f>
        <v/>
      </c>
      <c r="E217" s="4" t="str">
        <f>IF(Variaveis!A217="","",SUMPRODUCT(N(Variaveis!B217:J217),Pesos_Decisao!$B$5:$J$5))</f>
        <v/>
      </c>
      <c r="F217" s="4" t="str">
        <f>IF(Variaveis!A217="","",SUMPRODUCT(N(Variaveis!B217:J217),Pesos_Decisao!$B$6:$J$6))</f>
        <v/>
      </c>
      <c r="G217" s="4" t="str">
        <f>IF(Variaveis!A217="","",SUMPRODUCT(N(Variaveis!B217:J217),Pesos_Decisao!$B$7:$J$7))</f>
        <v/>
      </c>
      <c r="H217" s="4" t="str">
        <f>IF(Variaveis!A217="","",SUMPRODUCT(N(Variaveis!B217:J217),Pesos_Decisao!$B$8:$J$8))</f>
        <v/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tr">
        <f>IF(Variaveis!A218="","",Variaveis!A218)</f>
        <v/>
      </c>
      <c r="B218" s="4" t="str">
        <f>IF(Variaveis!A218="","",SUMPRODUCT(N(Variaveis!B218:J218),Pesos_Decisao!$B$2:$J$2))</f>
        <v/>
      </c>
      <c r="C218" s="4" t="str">
        <f>IF(Variaveis!A218="","",SUMPRODUCT(N(Variaveis!B218:J218),Pesos_Decisao!$B$3:$J$3))</f>
        <v/>
      </c>
      <c r="D218" s="4" t="str">
        <f>IF(Variaveis!A218="","",SUMPRODUCT(N(Variaveis!B218:J218),Pesos_Decisao!$B$4:$J$4))</f>
        <v/>
      </c>
      <c r="E218" s="4" t="str">
        <f>IF(Variaveis!A218="","",SUMPRODUCT(N(Variaveis!B218:J218),Pesos_Decisao!$B$5:$J$5))</f>
        <v/>
      </c>
      <c r="F218" s="4" t="str">
        <f>IF(Variaveis!A218="","",SUMPRODUCT(N(Variaveis!B218:J218),Pesos_Decisao!$B$6:$J$6))</f>
        <v/>
      </c>
      <c r="G218" s="4" t="str">
        <f>IF(Variaveis!A218="","",SUMPRODUCT(N(Variaveis!B218:J218),Pesos_Decisao!$B$7:$J$7))</f>
        <v/>
      </c>
      <c r="H218" s="4" t="str">
        <f>IF(Variaveis!A218="","",SUMPRODUCT(N(Variaveis!B218:J218),Pesos_Decisao!$B$8:$J$8))</f>
        <v/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tr">
        <f>IF(Variaveis!A219="","",Variaveis!A219)</f>
        <v/>
      </c>
      <c r="B219" s="4" t="str">
        <f>IF(Variaveis!A219="","",SUMPRODUCT(N(Variaveis!B219:J219),Pesos_Decisao!$B$2:$J$2))</f>
        <v/>
      </c>
      <c r="C219" s="4" t="str">
        <f>IF(Variaveis!A219="","",SUMPRODUCT(N(Variaveis!B219:J219),Pesos_Decisao!$B$3:$J$3))</f>
        <v/>
      </c>
      <c r="D219" s="4" t="str">
        <f>IF(Variaveis!A219="","",SUMPRODUCT(N(Variaveis!B219:J219),Pesos_Decisao!$B$4:$J$4))</f>
        <v/>
      </c>
      <c r="E219" s="4" t="str">
        <f>IF(Variaveis!A219="","",SUMPRODUCT(N(Variaveis!B219:J219),Pesos_Decisao!$B$5:$J$5))</f>
        <v/>
      </c>
      <c r="F219" s="4" t="str">
        <f>IF(Variaveis!A219="","",SUMPRODUCT(N(Variaveis!B219:J219),Pesos_Decisao!$B$6:$J$6))</f>
        <v/>
      </c>
      <c r="G219" s="4" t="str">
        <f>IF(Variaveis!A219="","",SUMPRODUCT(N(Variaveis!B219:J219),Pesos_Decisao!$B$7:$J$7))</f>
        <v/>
      </c>
      <c r="H219" s="4" t="str">
        <f>IF(Variaveis!A219="","",SUMPRODUCT(N(Variaveis!B219:J219),Pesos_Decisao!$B$8:$J$8))</f>
        <v/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tr">
        <f>IF(Variaveis!A220="","",Variaveis!A220)</f>
        <v/>
      </c>
      <c r="B220" s="4" t="str">
        <f>IF(Variaveis!A220="","",SUMPRODUCT(N(Variaveis!B220:J220),Pesos_Decisao!$B$2:$J$2))</f>
        <v/>
      </c>
      <c r="C220" s="4" t="str">
        <f>IF(Variaveis!A220="","",SUMPRODUCT(N(Variaveis!B220:J220),Pesos_Decisao!$B$3:$J$3))</f>
        <v/>
      </c>
      <c r="D220" s="4" t="str">
        <f>IF(Variaveis!A220="","",SUMPRODUCT(N(Variaveis!B220:J220),Pesos_Decisao!$B$4:$J$4))</f>
        <v/>
      </c>
      <c r="E220" s="4" t="str">
        <f>IF(Variaveis!A220="","",SUMPRODUCT(N(Variaveis!B220:J220),Pesos_Decisao!$B$5:$J$5))</f>
        <v/>
      </c>
      <c r="F220" s="4" t="str">
        <f>IF(Variaveis!A220="","",SUMPRODUCT(N(Variaveis!B220:J220),Pesos_Decisao!$B$6:$J$6))</f>
        <v/>
      </c>
      <c r="G220" s="4" t="str">
        <f>IF(Variaveis!A220="","",SUMPRODUCT(N(Variaveis!B220:J220),Pesos_Decisao!$B$7:$J$7))</f>
        <v/>
      </c>
      <c r="H220" s="4" t="str">
        <f>IF(Variaveis!A220="","",SUMPRODUCT(N(Variaveis!B220:J220),Pesos_Decisao!$B$8:$J$8))</f>
        <v/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tr">
        <f>IF(Variaveis!A221="","",Variaveis!A221)</f>
        <v/>
      </c>
      <c r="B221" s="4" t="str">
        <f>IF(Variaveis!A221="","",SUMPRODUCT(N(Variaveis!B221:J221),Pesos_Decisao!$B$2:$J$2))</f>
        <v/>
      </c>
      <c r="C221" s="4" t="str">
        <f>IF(Variaveis!A221="","",SUMPRODUCT(N(Variaveis!B221:J221),Pesos_Decisao!$B$3:$J$3))</f>
        <v/>
      </c>
      <c r="D221" s="4" t="str">
        <f>IF(Variaveis!A221="","",SUMPRODUCT(N(Variaveis!B221:J221),Pesos_Decisao!$B$4:$J$4))</f>
        <v/>
      </c>
      <c r="E221" s="4" t="str">
        <f>IF(Variaveis!A221="","",SUMPRODUCT(N(Variaveis!B221:J221),Pesos_Decisao!$B$5:$J$5))</f>
        <v/>
      </c>
      <c r="F221" s="4" t="str">
        <f>IF(Variaveis!A221="","",SUMPRODUCT(N(Variaveis!B221:J221),Pesos_Decisao!$B$6:$J$6))</f>
        <v/>
      </c>
      <c r="G221" s="4" t="str">
        <f>IF(Variaveis!A221="","",SUMPRODUCT(N(Variaveis!B221:J221),Pesos_Decisao!$B$7:$J$7))</f>
        <v/>
      </c>
      <c r="H221" s="4" t="str">
        <f>IF(Variaveis!A221="","",SUMPRODUCT(N(Variaveis!B221:J221),Pesos_Decisao!$B$8:$J$8))</f>
        <v/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tr">
        <f>IF(Variaveis!A222="","",Variaveis!A222)</f>
        <v/>
      </c>
      <c r="B222" s="4" t="str">
        <f>IF(Variaveis!A222="","",SUMPRODUCT(N(Variaveis!B222:J222),Pesos_Decisao!$B$2:$J$2))</f>
        <v/>
      </c>
      <c r="C222" s="4" t="str">
        <f>IF(Variaveis!A222="","",SUMPRODUCT(N(Variaveis!B222:J222),Pesos_Decisao!$B$3:$J$3))</f>
        <v/>
      </c>
      <c r="D222" s="4" t="str">
        <f>IF(Variaveis!A222="","",SUMPRODUCT(N(Variaveis!B222:J222),Pesos_Decisao!$B$4:$J$4))</f>
        <v/>
      </c>
      <c r="E222" s="4" t="str">
        <f>IF(Variaveis!A222="","",SUMPRODUCT(N(Variaveis!B222:J222),Pesos_Decisao!$B$5:$J$5))</f>
        <v/>
      </c>
      <c r="F222" s="4" t="str">
        <f>IF(Variaveis!A222="","",SUMPRODUCT(N(Variaveis!B222:J222),Pesos_Decisao!$B$6:$J$6))</f>
        <v/>
      </c>
      <c r="G222" s="4" t="str">
        <f>IF(Variaveis!A222="","",SUMPRODUCT(N(Variaveis!B222:J222),Pesos_Decisao!$B$7:$J$7))</f>
        <v/>
      </c>
      <c r="H222" s="4" t="str">
        <f>IF(Variaveis!A222="","",SUMPRODUCT(N(Variaveis!B222:J222),Pesos_Decisao!$B$8:$J$8))</f>
        <v/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tr">
        <f>IF(Variaveis!A223="","",Variaveis!A223)</f>
        <v/>
      </c>
      <c r="B223" s="4" t="str">
        <f>IF(Variaveis!A223="","",SUMPRODUCT(N(Variaveis!B223:J223),Pesos_Decisao!$B$2:$J$2))</f>
        <v/>
      </c>
      <c r="C223" s="4" t="str">
        <f>IF(Variaveis!A223="","",SUMPRODUCT(N(Variaveis!B223:J223),Pesos_Decisao!$B$3:$J$3))</f>
        <v/>
      </c>
      <c r="D223" s="4" t="str">
        <f>IF(Variaveis!A223="","",SUMPRODUCT(N(Variaveis!B223:J223),Pesos_Decisao!$B$4:$J$4))</f>
        <v/>
      </c>
      <c r="E223" s="4" t="str">
        <f>IF(Variaveis!A223="","",SUMPRODUCT(N(Variaveis!B223:J223),Pesos_Decisao!$B$5:$J$5))</f>
        <v/>
      </c>
      <c r="F223" s="4" t="str">
        <f>IF(Variaveis!A223="","",SUMPRODUCT(N(Variaveis!B223:J223),Pesos_Decisao!$B$6:$J$6))</f>
        <v/>
      </c>
      <c r="G223" s="4" t="str">
        <f>IF(Variaveis!A223="","",SUMPRODUCT(N(Variaveis!B223:J223),Pesos_Decisao!$B$7:$J$7))</f>
        <v/>
      </c>
      <c r="H223" s="4" t="str">
        <f>IF(Variaveis!A223="","",SUMPRODUCT(N(Variaveis!B223:J223),Pesos_Decisao!$B$8:$J$8))</f>
        <v/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tr">
        <f>IF(Variaveis!A224="","",Variaveis!A224)</f>
        <v/>
      </c>
      <c r="B224" s="4" t="str">
        <f>IF(Variaveis!A224="","",SUMPRODUCT(N(Variaveis!B224:J224),Pesos_Decisao!$B$2:$J$2))</f>
        <v/>
      </c>
      <c r="C224" s="4" t="str">
        <f>IF(Variaveis!A224="","",SUMPRODUCT(N(Variaveis!B224:J224),Pesos_Decisao!$B$3:$J$3))</f>
        <v/>
      </c>
      <c r="D224" s="4" t="str">
        <f>IF(Variaveis!A224="","",SUMPRODUCT(N(Variaveis!B224:J224),Pesos_Decisao!$B$4:$J$4))</f>
        <v/>
      </c>
      <c r="E224" s="4" t="str">
        <f>IF(Variaveis!A224="","",SUMPRODUCT(N(Variaveis!B224:J224),Pesos_Decisao!$B$5:$J$5))</f>
        <v/>
      </c>
      <c r="F224" s="4" t="str">
        <f>IF(Variaveis!A224="","",SUMPRODUCT(N(Variaveis!B224:J224),Pesos_Decisao!$B$6:$J$6))</f>
        <v/>
      </c>
      <c r="G224" s="4" t="str">
        <f>IF(Variaveis!A224="","",SUMPRODUCT(N(Variaveis!B224:J224),Pesos_Decisao!$B$7:$J$7))</f>
        <v/>
      </c>
      <c r="H224" s="4" t="str">
        <f>IF(Variaveis!A224="","",SUMPRODUCT(N(Variaveis!B224:J224),Pesos_Decisao!$B$8:$J$8))</f>
        <v/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tr">
        <f>IF(Variaveis!A225="","",Variaveis!A225)</f>
        <v/>
      </c>
      <c r="B225" s="4" t="str">
        <f>IF(Variaveis!A225="","",SUMPRODUCT(N(Variaveis!B225:J225),Pesos_Decisao!$B$2:$J$2))</f>
        <v/>
      </c>
      <c r="C225" s="4" t="str">
        <f>IF(Variaveis!A225="","",SUMPRODUCT(N(Variaveis!B225:J225),Pesos_Decisao!$B$3:$J$3))</f>
        <v/>
      </c>
      <c r="D225" s="4" t="str">
        <f>IF(Variaveis!A225="","",SUMPRODUCT(N(Variaveis!B225:J225),Pesos_Decisao!$B$4:$J$4))</f>
        <v/>
      </c>
      <c r="E225" s="4" t="str">
        <f>IF(Variaveis!A225="","",SUMPRODUCT(N(Variaveis!B225:J225),Pesos_Decisao!$B$5:$J$5))</f>
        <v/>
      </c>
      <c r="F225" s="4" t="str">
        <f>IF(Variaveis!A225="","",SUMPRODUCT(N(Variaveis!B225:J225),Pesos_Decisao!$B$6:$J$6))</f>
        <v/>
      </c>
      <c r="G225" s="4" t="str">
        <f>IF(Variaveis!A225="","",SUMPRODUCT(N(Variaveis!B225:J225),Pesos_Decisao!$B$7:$J$7))</f>
        <v/>
      </c>
      <c r="H225" s="4" t="str">
        <f>IF(Variaveis!A225="","",SUMPRODUCT(N(Variaveis!B225:J225),Pesos_Decisao!$B$8:$J$8))</f>
        <v/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tr">
        <f>IF(Variaveis!A226="","",Variaveis!A226)</f>
        <v/>
      </c>
      <c r="B226" s="4" t="str">
        <f>IF(Variaveis!A226="","",SUMPRODUCT(N(Variaveis!B226:J226),Pesos_Decisao!$B$2:$J$2))</f>
        <v/>
      </c>
      <c r="C226" s="4" t="str">
        <f>IF(Variaveis!A226="","",SUMPRODUCT(N(Variaveis!B226:J226),Pesos_Decisao!$B$3:$J$3))</f>
        <v/>
      </c>
      <c r="D226" s="4" t="str">
        <f>IF(Variaveis!A226="","",SUMPRODUCT(N(Variaveis!B226:J226),Pesos_Decisao!$B$4:$J$4))</f>
        <v/>
      </c>
      <c r="E226" s="4" t="str">
        <f>IF(Variaveis!A226="","",SUMPRODUCT(N(Variaveis!B226:J226),Pesos_Decisao!$B$5:$J$5))</f>
        <v/>
      </c>
      <c r="F226" s="4" t="str">
        <f>IF(Variaveis!A226="","",SUMPRODUCT(N(Variaveis!B226:J226),Pesos_Decisao!$B$6:$J$6))</f>
        <v/>
      </c>
      <c r="G226" s="4" t="str">
        <f>IF(Variaveis!A226="","",SUMPRODUCT(N(Variaveis!B226:J226),Pesos_Decisao!$B$7:$J$7))</f>
        <v/>
      </c>
      <c r="H226" s="4" t="str">
        <f>IF(Variaveis!A226="","",SUMPRODUCT(N(Variaveis!B226:J226),Pesos_Decisao!$B$8:$J$8))</f>
        <v/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tr">
        <f>IF(Variaveis!A227="","",Variaveis!A227)</f>
        <v/>
      </c>
      <c r="B227" s="4" t="str">
        <f>IF(Variaveis!A227="","",SUMPRODUCT(N(Variaveis!B227:J227),Pesos_Decisao!$B$2:$J$2))</f>
        <v/>
      </c>
      <c r="C227" s="4" t="str">
        <f>IF(Variaveis!A227="","",SUMPRODUCT(N(Variaveis!B227:J227),Pesos_Decisao!$B$3:$J$3))</f>
        <v/>
      </c>
      <c r="D227" s="4" t="str">
        <f>IF(Variaveis!A227="","",SUMPRODUCT(N(Variaveis!B227:J227),Pesos_Decisao!$B$4:$J$4))</f>
        <v/>
      </c>
      <c r="E227" s="4" t="str">
        <f>IF(Variaveis!A227="","",SUMPRODUCT(N(Variaveis!B227:J227),Pesos_Decisao!$B$5:$J$5))</f>
        <v/>
      </c>
      <c r="F227" s="4" t="str">
        <f>IF(Variaveis!A227="","",SUMPRODUCT(N(Variaveis!B227:J227),Pesos_Decisao!$B$6:$J$6))</f>
        <v/>
      </c>
      <c r="G227" s="4" t="str">
        <f>IF(Variaveis!A227="","",SUMPRODUCT(N(Variaveis!B227:J227),Pesos_Decisao!$B$7:$J$7))</f>
        <v/>
      </c>
      <c r="H227" s="4" t="str">
        <f>IF(Variaveis!A227="","",SUMPRODUCT(N(Variaveis!B227:J227),Pesos_Decisao!$B$8:$J$8))</f>
        <v/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tr">
        <f>IF(Variaveis!A228="","",Variaveis!A228)</f>
        <v/>
      </c>
      <c r="B228" s="4" t="str">
        <f>IF(Variaveis!A228="","",SUMPRODUCT(N(Variaveis!B228:J228),Pesos_Decisao!$B$2:$J$2))</f>
        <v/>
      </c>
      <c r="C228" s="4" t="str">
        <f>IF(Variaveis!A228="","",SUMPRODUCT(N(Variaveis!B228:J228),Pesos_Decisao!$B$3:$J$3))</f>
        <v/>
      </c>
      <c r="D228" s="4" t="str">
        <f>IF(Variaveis!A228="","",SUMPRODUCT(N(Variaveis!B228:J228),Pesos_Decisao!$B$4:$J$4))</f>
        <v/>
      </c>
      <c r="E228" s="4" t="str">
        <f>IF(Variaveis!A228="","",SUMPRODUCT(N(Variaveis!B228:J228),Pesos_Decisao!$B$5:$J$5))</f>
        <v/>
      </c>
      <c r="F228" s="4" t="str">
        <f>IF(Variaveis!A228="","",SUMPRODUCT(N(Variaveis!B228:J228),Pesos_Decisao!$B$6:$J$6))</f>
        <v/>
      </c>
      <c r="G228" s="4" t="str">
        <f>IF(Variaveis!A228="","",SUMPRODUCT(N(Variaveis!B228:J228),Pesos_Decisao!$B$7:$J$7))</f>
        <v/>
      </c>
      <c r="H228" s="4" t="str">
        <f>IF(Variaveis!A228="","",SUMPRODUCT(N(Variaveis!B228:J228),Pesos_Decisao!$B$8:$J$8))</f>
        <v/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tr">
        <f>IF(Variaveis!A229="","",Variaveis!A229)</f>
        <v/>
      </c>
      <c r="B229" s="4" t="str">
        <f>IF(Variaveis!A229="","",SUMPRODUCT(N(Variaveis!B229:J229),Pesos_Decisao!$B$2:$J$2))</f>
        <v/>
      </c>
      <c r="C229" s="4" t="str">
        <f>IF(Variaveis!A229="","",SUMPRODUCT(N(Variaveis!B229:J229),Pesos_Decisao!$B$3:$J$3))</f>
        <v/>
      </c>
      <c r="D229" s="4" t="str">
        <f>IF(Variaveis!A229="","",SUMPRODUCT(N(Variaveis!B229:J229),Pesos_Decisao!$B$4:$J$4))</f>
        <v/>
      </c>
      <c r="E229" s="4" t="str">
        <f>IF(Variaveis!A229="","",SUMPRODUCT(N(Variaveis!B229:J229),Pesos_Decisao!$B$5:$J$5))</f>
        <v/>
      </c>
      <c r="F229" s="4" t="str">
        <f>IF(Variaveis!A229="","",SUMPRODUCT(N(Variaveis!B229:J229),Pesos_Decisao!$B$6:$J$6))</f>
        <v/>
      </c>
      <c r="G229" s="4" t="str">
        <f>IF(Variaveis!A229="","",SUMPRODUCT(N(Variaveis!B229:J229),Pesos_Decisao!$B$7:$J$7))</f>
        <v/>
      </c>
      <c r="H229" s="4" t="str">
        <f>IF(Variaveis!A229="","",SUMPRODUCT(N(Variaveis!B229:J229),Pesos_Decisao!$B$8:$J$8))</f>
        <v/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tr">
        <f>IF(Variaveis!A230="","",Variaveis!A230)</f>
        <v/>
      </c>
      <c r="B230" s="4" t="str">
        <f>IF(Variaveis!A230="","",SUMPRODUCT(N(Variaveis!B230:J230),Pesos_Decisao!$B$2:$J$2))</f>
        <v/>
      </c>
      <c r="C230" s="4" t="str">
        <f>IF(Variaveis!A230="","",SUMPRODUCT(N(Variaveis!B230:J230),Pesos_Decisao!$B$3:$J$3))</f>
        <v/>
      </c>
      <c r="D230" s="4" t="str">
        <f>IF(Variaveis!A230="","",SUMPRODUCT(N(Variaveis!B230:J230),Pesos_Decisao!$B$4:$J$4))</f>
        <v/>
      </c>
      <c r="E230" s="4" t="str">
        <f>IF(Variaveis!A230="","",SUMPRODUCT(N(Variaveis!B230:J230),Pesos_Decisao!$B$5:$J$5))</f>
        <v/>
      </c>
      <c r="F230" s="4" t="str">
        <f>IF(Variaveis!A230="","",SUMPRODUCT(N(Variaveis!B230:J230),Pesos_Decisao!$B$6:$J$6))</f>
        <v/>
      </c>
      <c r="G230" s="4" t="str">
        <f>IF(Variaveis!A230="","",SUMPRODUCT(N(Variaveis!B230:J230),Pesos_Decisao!$B$7:$J$7))</f>
        <v/>
      </c>
      <c r="H230" s="4" t="str">
        <f>IF(Variaveis!A230="","",SUMPRODUCT(N(Variaveis!B230:J230),Pesos_Decisao!$B$8:$J$8))</f>
        <v/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tr">
        <f>IF(Variaveis!A231="","",Variaveis!A231)</f>
        <v/>
      </c>
      <c r="B231" s="4" t="str">
        <f>IF(Variaveis!A231="","",SUMPRODUCT(N(Variaveis!B231:J231),Pesos_Decisao!$B$2:$J$2))</f>
        <v/>
      </c>
      <c r="C231" s="4" t="str">
        <f>IF(Variaveis!A231="","",SUMPRODUCT(N(Variaveis!B231:J231),Pesos_Decisao!$B$3:$J$3))</f>
        <v/>
      </c>
      <c r="D231" s="4" t="str">
        <f>IF(Variaveis!A231="","",SUMPRODUCT(N(Variaveis!B231:J231),Pesos_Decisao!$B$4:$J$4))</f>
        <v/>
      </c>
      <c r="E231" s="4" t="str">
        <f>IF(Variaveis!A231="","",SUMPRODUCT(N(Variaveis!B231:J231),Pesos_Decisao!$B$5:$J$5))</f>
        <v/>
      </c>
      <c r="F231" s="4" t="str">
        <f>IF(Variaveis!A231="","",SUMPRODUCT(N(Variaveis!B231:J231),Pesos_Decisao!$B$6:$J$6))</f>
        <v/>
      </c>
      <c r="G231" s="4" t="str">
        <f>IF(Variaveis!A231="","",SUMPRODUCT(N(Variaveis!B231:J231),Pesos_Decisao!$B$7:$J$7))</f>
        <v/>
      </c>
      <c r="H231" s="4" t="str">
        <f>IF(Variaveis!A231="","",SUMPRODUCT(N(Variaveis!B231:J231),Pesos_Decisao!$B$8:$J$8))</f>
        <v/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tr">
        <f>IF(Variaveis!A232="","",Variaveis!A232)</f>
        <v/>
      </c>
      <c r="B232" s="4" t="str">
        <f>IF(Variaveis!A232="","",SUMPRODUCT(N(Variaveis!B232:J232),Pesos_Decisao!$B$2:$J$2))</f>
        <v/>
      </c>
      <c r="C232" s="4" t="str">
        <f>IF(Variaveis!A232="","",SUMPRODUCT(N(Variaveis!B232:J232),Pesos_Decisao!$B$3:$J$3))</f>
        <v/>
      </c>
      <c r="D232" s="4" t="str">
        <f>IF(Variaveis!A232="","",SUMPRODUCT(N(Variaveis!B232:J232),Pesos_Decisao!$B$4:$J$4))</f>
        <v/>
      </c>
      <c r="E232" s="4" t="str">
        <f>IF(Variaveis!A232="","",SUMPRODUCT(N(Variaveis!B232:J232),Pesos_Decisao!$B$5:$J$5))</f>
        <v/>
      </c>
      <c r="F232" s="4" t="str">
        <f>IF(Variaveis!A232="","",SUMPRODUCT(N(Variaveis!B232:J232),Pesos_Decisao!$B$6:$J$6))</f>
        <v/>
      </c>
      <c r="G232" s="4" t="str">
        <f>IF(Variaveis!A232="","",SUMPRODUCT(N(Variaveis!B232:J232),Pesos_Decisao!$B$7:$J$7))</f>
        <v/>
      </c>
      <c r="H232" s="4" t="str">
        <f>IF(Variaveis!A232="","",SUMPRODUCT(N(Variaveis!B232:J232),Pesos_Decisao!$B$8:$J$8))</f>
        <v/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tr">
        <f>IF(Variaveis!A233="","",Variaveis!A233)</f>
        <v/>
      </c>
      <c r="B233" s="4" t="str">
        <f>IF(Variaveis!A233="","",SUMPRODUCT(N(Variaveis!B233:J233),Pesos_Decisao!$B$2:$J$2))</f>
        <v/>
      </c>
      <c r="C233" s="4" t="str">
        <f>IF(Variaveis!A233="","",SUMPRODUCT(N(Variaveis!B233:J233),Pesos_Decisao!$B$3:$J$3))</f>
        <v/>
      </c>
      <c r="D233" s="4" t="str">
        <f>IF(Variaveis!A233="","",SUMPRODUCT(N(Variaveis!B233:J233),Pesos_Decisao!$B$4:$J$4))</f>
        <v/>
      </c>
      <c r="E233" s="4" t="str">
        <f>IF(Variaveis!A233="","",SUMPRODUCT(N(Variaveis!B233:J233),Pesos_Decisao!$B$5:$J$5))</f>
        <v/>
      </c>
      <c r="F233" s="4" t="str">
        <f>IF(Variaveis!A233="","",SUMPRODUCT(N(Variaveis!B233:J233),Pesos_Decisao!$B$6:$J$6))</f>
        <v/>
      </c>
      <c r="G233" s="4" t="str">
        <f>IF(Variaveis!A233="","",SUMPRODUCT(N(Variaveis!B233:J233),Pesos_Decisao!$B$7:$J$7))</f>
        <v/>
      </c>
      <c r="H233" s="4" t="str">
        <f>IF(Variaveis!A233="","",SUMPRODUCT(N(Variaveis!B233:J233),Pesos_Decisao!$B$8:$J$8))</f>
        <v/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tr">
        <f>IF(Variaveis!A234="","",Variaveis!A234)</f>
        <v/>
      </c>
      <c r="B234" s="4" t="str">
        <f>IF(Variaveis!A234="","",SUMPRODUCT(N(Variaveis!B234:J234),Pesos_Decisao!$B$2:$J$2))</f>
        <v/>
      </c>
      <c r="C234" s="4" t="str">
        <f>IF(Variaveis!A234="","",SUMPRODUCT(N(Variaveis!B234:J234),Pesos_Decisao!$B$3:$J$3))</f>
        <v/>
      </c>
      <c r="D234" s="4" t="str">
        <f>IF(Variaveis!A234="","",SUMPRODUCT(N(Variaveis!B234:J234),Pesos_Decisao!$B$4:$J$4))</f>
        <v/>
      </c>
      <c r="E234" s="4" t="str">
        <f>IF(Variaveis!A234="","",SUMPRODUCT(N(Variaveis!B234:J234),Pesos_Decisao!$B$5:$J$5))</f>
        <v/>
      </c>
      <c r="F234" s="4" t="str">
        <f>IF(Variaveis!A234="","",SUMPRODUCT(N(Variaveis!B234:J234),Pesos_Decisao!$B$6:$J$6))</f>
        <v/>
      </c>
      <c r="G234" s="4" t="str">
        <f>IF(Variaveis!A234="","",SUMPRODUCT(N(Variaveis!B234:J234),Pesos_Decisao!$B$7:$J$7))</f>
        <v/>
      </c>
      <c r="H234" s="4" t="str">
        <f>IF(Variaveis!A234="","",SUMPRODUCT(N(Variaveis!B234:J234),Pesos_Decisao!$B$8:$J$8))</f>
        <v/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tr">
        <f>IF(Variaveis!A235="","",Variaveis!A235)</f>
        <v/>
      </c>
      <c r="B235" s="4" t="str">
        <f>IF(Variaveis!A235="","",SUMPRODUCT(N(Variaveis!B235:J235),Pesos_Decisao!$B$2:$J$2))</f>
        <v/>
      </c>
      <c r="C235" s="4" t="str">
        <f>IF(Variaveis!A235="","",SUMPRODUCT(N(Variaveis!B235:J235),Pesos_Decisao!$B$3:$J$3))</f>
        <v/>
      </c>
      <c r="D235" s="4" t="str">
        <f>IF(Variaveis!A235="","",SUMPRODUCT(N(Variaveis!B235:J235),Pesos_Decisao!$B$4:$J$4))</f>
        <v/>
      </c>
      <c r="E235" s="4" t="str">
        <f>IF(Variaveis!A235="","",SUMPRODUCT(N(Variaveis!B235:J235),Pesos_Decisao!$B$5:$J$5))</f>
        <v/>
      </c>
      <c r="F235" s="4" t="str">
        <f>IF(Variaveis!A235="","",SUMPRODUCT(N(Variaveis!B235:J235),Pesos_Decisao!$B$6:$J$6))</f>
        <v/>
      </c>
      <c r="G235" s="4" t="str">
        <f>IF(Variaveis!A235="","",SUMPRODUCT(N(Variaveis!B235:J235),Pesos_Decisao!$B$7:$J$7))</f>
        <v/>
      </c>
      <c r="H235" s="4" t="str">
        <f>IF(Variaveis!A235="","",SUMPRODUCT(N(Variaveis!B235:J235),Pesos_Decisao!$B$8:$J$8))</f>
        <v/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tr">
        <f>IF(Variaveis!A236="","",Variaveis!A236)</f>
        <v/>
      </c>
      <c r="B236" s="4" t="str">
        <f>IF(Variaveis!A236="","",SUMPRODUCT(N(Variaveis!B236:J236),Pesos_Decisao!$B$2:$J$2))</f>
        <v/>
      </c>
      <c r="C236" s="4" t="str">
        <f>IF(Variaveis!A236="","",SUMPRODUCT(N(Variaveis!B236:J236),Pesos_Decisao!$B$3:$J$3))</f>
        <v/>
      </c>
      <c r="D236" s="4" t="str">
        <f>IF(Variaveis!A236="","",SUMPRODUCT(N(Variaveis!B236:J236),Pesos_Decisao!$B$4:$J$4))</f>
        <v/>
      </c>
      <c r="E236" s="4" t="str">
        <f>IF(Variaveis!A236="","",SUMPRODUCT(N(Variaveis!B236:J236),Pesos_Decisao!$B$5:$J$5))</f>
        <v/>
      </c>
      <c r="F236" s="4" t="str">
        <f>IF(Variaveis!A236="","",SUMPRODUCT(N(Variaveis!B236:J236),Pesos_Decisao!$B$6:$J$6))</f>
        <v/>
      </c>
      <c r="G236" s="4" t="str">
        <f>IF(Variaveis!A236="","",SUMPRODUCT(N(Variaveis!B236:J236),Pesos_Decisao!$B$7:$J$7))</f>
        <v/>
      </c>
      <c r="H236" s="4" t="str">
        <f>IF(Variaveis!A236="","",SUMPRODUCT(N(Variaveis!B236:J236),Pesos_Decisao!$B$8:$J$8))</f>
        <v/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tr">
        <f>IF(Variaveis!A237="","",Variaveis!A237)</f>
        <v/>
      </c>
      <c r="B237" s="4" t="str">
        <f>IF(Variaveis!A237="","",SUMPRODUCT(N(Variaveis!B237:J237),Pesos_Decisao!$B$2:$J$2))</f>
        <v/>
      </c>
      <c r="C237" s="4" t="str">
        <f>IF(Variaveis!A237="","",SUMPRODUCT(N(Variaveis!B237:J237),Pesos_Decisao!$B$3:$J$3))</f>
        <v/>
      </c>
      <c r="D237" s="4" t="str">
        <f>IF(Variaveis!A237="","",SUMPRODUCT(N(Variaveis!B237:J237),Pesos_Decisao!$B$4:$J$4))</f>
        <v/>
      </c>
      <c r="E237" s="4" t="str">
        <f>IF(Variaveis!A237="","",SUMPRODUCT(N(Variaveis!B237:J237),Pesos_Decisao!$B$5:$J$5))</f>
        <v/>
      </c>
      <c r="F237" s="4" t="str">
        <f>IF(Variaveis!A237="","",SUMPRODUCT(N(Variaveis!B237:J237),Pesos_Decisao!$B$6:$J$6))</f>
        <v/>
      </c>
      <c r="G237" s="4" t="str">
        <f>IF(Variaveis!A237="","",SUMPRODUCT(N(Variaveis!B237:J237),Pesos_Decisao!$B$7:$J$7))</f>
        <v/>
      </c>
      <c r="H237" s="4" t="str">
        <f>IF(Variaveis!A237="","",SUMPRODUCT(N(Variaveis!B237:J237),Pesos_Decisao!$B$8:$J$8))</f>
        <v/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tr">
        <f>IF(Variaveis!A238="","",Variaveis!A238)</f>
        <v/>
      </c>
      <c r="B238" s="4" t="str">
        <f>IF(Variaveis!A238="","",SUMPRODUCT(N(Variaveis!B238:J238),Pesos_Decisao!$B$2:$J$2))</f>
        <v/>
      </c>
      <c r="C238" s="4" t="str">
        <f>IF(Variaveis!A238="","",SUMPRODUCT(N(Variaveis!B238:J238),Pesos_Decisao!$B$3:$J$3))</f>
        <v/>
      </c>
      <c r="D238" s="4" t="str">
        <f>IF(Variaveis!A238="","",SUMPRODUCT(N(Variaveis!B238:J238),Pesos_Decisao!$B$4:$J$4))</f>
        <v/>
      </c>
      <c r="E238" s="4" t="str">
        <f>IF(Variaveis!A238="","",SUMPRODUCT(N(Variaveis!B238:J238),Pesos_Decisao!$B$5:$J$5))</f>
        <v/>
      </c>
      <c r="F238" s="4" t="str">
        <f>IF(Variaveis!A238="","",SUMPRODUCT(N(Variaveis!B238:J238),Pesos_Decisao!$B$6:$J$6))</f>
        <v/>
      </c>
      <c r="G238" s="4" t="str">
        <f>IF(Variaveis!A238="","",SUMPRODUCT(N(Variaveis!B238:J238),Pesos_Decisao!$B$7:$J$7))</f>
        <v/>
      </c>
      <c r="H238" s="4" t="str">
        <f>IF(Variaveis!A238="","",SUMPRODUCT(N(Variaveis!B238:J238),Pesos_Decisao!$B$8:$J$8))</f>
        <v/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tr">
        <f>IF(Variaveis!A239="","",Variaveis!A239)</f>
        <v/>
      </c>
      <c r="B239" s="4" t="str">
        <f>IF(Variaveis!A239="","",SUMPRODUCT(N(Variaveis!B239:J239),Pesos_Decisao!$B$2:$J$2))</f>
        <v/>
      </c>
      <c r="C239" s="4" t="str">
        <f>IF(Variaveis!A239="","",SUMPRODUCT(N(Variaveis!B239:J239),Pesos_Decisao!$B$3:$J$3))</f>
        <v/>
      </c>
      <c r="D239" s="4" t="str">
        <f>IF(Variaveis!A239="","",SUMPRODUCT(N(Variaveis!B239:J239),Pesos_Decisao!$B$4:$J$4))</f>
        <v/>
      </c>
      <c r="E239" s="4" t="str">
        <f>IF(Variaveis!A239="","",SUMPRODUCT(N(Variaveis!B239:J239),Pesos_Decisao!$B$5:$J$5))</f>
        <v/>
      </c>
      <c r="F239" s="4" t="str">
        <f>IF(Variaveis!A239="","",SUMPRODUCT(N(Variaveis!B239:J239),Pesos_Decisao!$B$6:$J$6))</f>
        <v/>
      </c>
      <c r="G239" s="4" t="str">
        <f>IF(Variaveis!A239="","",SUMPRODUCT(N(Variaveis!B239:J239),Pesos_Decisao!$B$7:$J$7))</f>
        <v/>
      </c>
      <c r="H239" s="4" t="str">
        <f>IF(Variaveis!A239="","",SUMPRODUCT(N(Variaveis!B239:J239),Pesos_Decisao!$B$8:$J$8))</f>
        <v/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tr">
        <f>IF(Variaveis!A240="","",Variaveis!A240)</f>
        <v/>
      </c>
      <c r="B240" s="4" t="str">
        <f>IF(Variaveis!A240="","",SUMPRODUCT(N(Variaveis!B240:J240),Pesos_Decisao!$B$2:$J$2))</f>
        <v/>
      </c>
      <c r="C240" s="4" t="str">
        <f>IF(Variaveis!A240="","",SUMPRODUCT(N(Variaveis!B240:J240),Pesos_Decisao!$B$3:$J$3))</f>
        <v/>
      </c>
      <c r="D240" s="4" t="str">
        <f>IF(Variaveis!A240="","",SUMPRODUCT(N(Variaveis!B240:J240),Pesos_Decisao!$B$4:$J$4))</f>
        <v/>
      </c>
      <c r="E240" s="4" t="str">
        <f>IF(Variaveis!A240="","",SUMPRODUCT(N(Variaveis!B240:J240),Pesos_Decisao!$B$5:$J$5))</f>
        <v/>
      </c>
      <c r="F240" s="4" t="str">
        <f>IF(Variaveis!A240="","",SUMPRODUCT(N(Variaveis!B240:J240),Pesos_Decisao!$B$6:$J$6))</f>
        <v/>
      </c>
      <c r="G240" s="4" t="str">
        <f>IF(Variaveis!A240="","",SUMPRODUCT(N(Variaveis!B240:J240),Pesos_Decisao!$B$7:$J$7))</f>
        <v/>
      </c>
      <c r="H240" s="4" t="str">
        <f>IF(Variaveis!A240="","",SUMPRODUCT(N(Variaveis!B240:J240),Pesos_Decisao!$B$8:$J$8))</f>
        <v/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tr">
        <f>IF(Variaveis!A241="","",Variaveis!A241)</f>
        <v/>
      </c>
      <c r="B241" s="4" t="str">
        <f>IF(Variaveis!A241="","",SUMPRODUCT(N(Variaveis!B241:J241),Pesos_Decisao!$B$2:$J$2))</f>
        <v/>
      </c>
      <c r="C241" s="4" t="str">
        <f>IF(Variaveis!A241="","",SUMPRODUCT(N(Variaveis!B241:J241),Pesos_Decisao!$B$3:$J$3))</f>
        <v/>
      </c>
      <c r="D241" s="4" t="str">
        <f>IF(Variaveis!A241="","",SUMPRODUCT(N(Variaveis!B241:J241),Pesos_Decisao!$B$4:$J$4))</f>
        <v/>
      </c>
      <c r="E241" s="4" t="str">
        <f>IF(Variaveis!A241="","",SUMPRODUCT(N(Variaveis!B241:J241),Pesos_Decisao!$B$5:$J$5))</f>
        <v/>
      </c>
      <c r="F241" s="4" t="str">
        <f>IF(Variaveis!A241="","",SUMPRODUCT(N(Variaveis!B241:J241),Pesos_Decisao!$B$6:$J$6))</f>
        <v/>
      </c>
      <c r="G241" s="4" t="str">
        <f>IF(Variaveis!A241="","",SUMPRODUCT(N(Variaveis!B241:J241),Pesos_Decisao!$B$7:$J$7))</f>
        <v/>
      </c>
      <c r="H241" s="4" t="str">
        <f>IF(Variaveis!A241="","",SUMPRODUCT(N(Variaveis!B241:J241),Pesos_Decisao!$B$8:$J$8))</f>
        <v/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tr">
        <f>IF(Variaveis!A242="","",Variaveis!A242)</f>
        <v/>
      </c>
      <c r="B242" s="4" t="str">
        <f>IF(Variaveis!A242="","",SUMPRODUCT(N(Variaveis!B242:J242),Pesos_Decisao!$B$2:$J$2))</f>
        <v/>
      </c>
      <c r="C242" s="4" t="str">
        <f>IF(Variaveis!A242="","",SUMPRODUCT(N(Variaveis!B242:J242),Pesos_Decisao!$B$3:$J$3))</f>
        <v/>
      </c>
      <c r="D242" s="4" t="str">
        <f>IF(Variaveis!A242="","",SUMPRODUCT(N(Variaveis!B242:J242),Pesos_Decisao!$B$4:$J$4))</f>
        <v/>
      </c>
      <c r="E242" s="4" t="str">
        <f>IF(Variaveis!A242="","",SUMPRODUCT(N(Variaveis!B242:J242),Pesos_Decisao!$B$5:$J$5))</f>
        <v/>
      </c>
      <c r="F242" s="4" t="str">
        <f>IF(Variaveis!A242="","",SUMPRODUCT(N(Variaveis!B242:J242),Pesos_Decisao!$B$6:$J$6))</f>
        <v/>
      </c>
      <c r="G242" s="4" t="str">
        <f>IF(Variaveis!A242="","",SUMPRODUCT(N(Variaveis!B242:J242),Pesos_Decisao!$B$7:$J$7))</f>
        <v/>
      </c>
      <c r="H242" s="4" t="str">
        <f>IF(Variaveis!A242="","",SUMPRODUCT(N(Variaveis!B242:J242),Pesos_Decisao!$B$8:$J$8))</f>
        <v/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tr">
        <f>IF(Variaveis!A243="","",Variaveis!A243)</f>
        <v/>
      </c>
      <c r="B243" s="4" t="str">
        <f>IF(Variaveis!A243="","",SUMPRODUCT(N(Variaveis!B243:J243),Pesos_Decisao!$B$2:$J$2))</f>
        <v/>
      </c>
      <c r="C243" s="4" t="str">
        <f>IF(Variaveis!A243="","",SUMPRODUCT(N(Variaveis!B243:J243),Pesos_Decisao!$B$3:$J$3))</f>
        <v/>
      </c>
      <c r="D243" s="4" t="str">
        <f>IF(Variaveis!A243="","",SUMPRODUCT(N(Variaveis!B243:J243),Pesos_Decisao!$B$4:$J$4))</f>
        <v/>
      </c>
      <c r="E243" s="4" t="str">
        <f>IF(Variaveis!A243="","",SUMPRODUCT(N(Variaveis!B243:J243),Pesos_Decisao!$B$5:$J$5))</f>
        <v/>
      </c>
      <c r="F243" s="4" t="str">
        <f>IF(Variaveis!A243="","",SUMPRODUCT(N(Variaveis!B243:J243),Pesos_Decisao!$B$6:$J$6))</f>
        <v/>
      </c>
      <c r="G243" s="4" t="str">
        <f>IF(Variaveis!A243="","",SUMPRODUCT(N(Variaveis!B243:J243),Pesos_Decisao!$B$7:$J$7))</f>
        <v/>
      </c>
      <c r="H243" s="4" t="str">
        <f>IF(Variaveis!A243="","",SUMPRODUCT(N(Variaveis!B243:J243),Pesos_Decisao!$B$8:$J$8))</f>
        <v/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tr">
        <f>IF(Variaveis!A244="","",Variaveis!A244)</f>
        <v/>
      </c>
      <c r="B244" s="4" t="str">
        <f>IF(Variaveis!A244="","",SUMPRODUCT(N(Variaveis!B244:J244),Pesos_Decisao!$B$2:$J$2))</f>
        <v/>
      </c>
      <c r="C244" s="4" t="str">
        <f>IF(Variaveis!A244="","",SUMPRODUCT(N(Variaveis!B244:J244),Pesos_Decisao!$B$3:$J$3))</f>
        <v/>
      </c>
      <c r="D244" s="4" t="str">
        <f>IF(Variaveis!A244="","",SUMPRODUCT(N(Variaveis!B244:J244),Pesos_Decisao!$B$4:$J$4))</f>
        <v/>
      </c>
      <c r="E244" s="4" t="str">
        <f>IF(Variaveis!A244="","",SUMPRODUCT(N(Variaveis!B244:J244),Pesos_Decisao!$B$5:$J$5))</f>
        <v/>
      </c>
      <c r="F244" s="4" t="str">
        <f>IF(Variaveis!A244="","",SUMPRODUCT(N(Variaveis!B244:J244),Pesos_Decisao!$B$6:$J$6))</f>
        <v/>
      </c>
      <c r="G244" s="4" t="str">
        <f>IF(Variaveis!A244="","",SUMPRODUCT(N(Variaveis!B244:J244),Pesos_Decisao!$B$7:$J$7))</f>
        <v/>
      </c>
      <c r="H244" s="4" t="str">
        <f>IF(Variaveis!A244="","",SUMPRODUCT(N(Variaveis!B244:J244),Pesos_Decisao!$B$8:$J$8))</f>
        <v/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tr">
        <f>IF(Variaveis!A245="","",Variaveis!A245)</f>
        <v/>
      </c>
      <c r="B245" s="4" t="str">
        <f>IF(Variaveis!A245="","",SUMPRODUCT(N(Variaveis!B245:J245),Pesos_Decisao!$B$2:$J$2))</f>
        <v/>
      </c>
      <c r="C245" s="4" t="str">
        <f>IF(Variaveis!A245="","",SUMPRODUCT(N(Variaveis!B245:J245),Pesos_Decisao!$B$3:$J$3))</f>
        <v/>
      </c>
      <c r="D245" s="4" t="str">
        <f>IF(Variaveis!A245="","",SUMPRODUCT(N(Variaveis!B245:J245),Pesos_Decisao!$B$4:$J$4))</f>
        <v/>
      </c>
      <c r="E245" s="4" t="str">
        <f>IF(Variaveis!A245="","",SUMPRODUCT(N(Variaveis!B245:J245),Pesos_Decisao!$B$5:$J$5))</f>
        <v/>
      </c>
      <c r="F245" s="4" t="str">
        <f>IF(Variaveis!A245="","",SUMPRODUCT(N(Variaveis!B245:J245),Pesos_Decisao!$B$6:$J$6))</f>
        <v/>
      </c>
      <c r="G245" s="4" t="str">
        <f>IF(Variaveis!A245="","",SUMPRODUCT(N(Variaveis!B245:J245),Pesos_Decisao!$B$7:$J$7))</f>
        <v/>
      </c>
      <c r="H245" s="4" t="str">
        <f>IF(Variaveis!A245="","",SUMPRODUCT(N(Variaveis!B245:J245),Pesos_Decisao!$B$8:$J$8))</f>
        <v/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tr">
        <f>IF(Variaveis!A246="","",Variaveis!A246)</f>
        <v/>
      </c>
      <c r="B246" s="4" t="str">
        <f>IF(Variaveis!A246="","",SUMPRODUCT(N(Variaveis!B246:J246),Pesos_Decisao!$B$2:$J$2))</f>
        <v/>
      </c>
      <c r="C246" s="4" t="str">
        <f>IF(Variaveis!A246="","",SUMPRODUCT(N(Variaveis!B246:J246),Pesos_Decisao!$B$3:$J$3))</f>
        <v/>
      </c>
      <c r="D246" s="4" t="str">
        <f>IF(Variaveis!A246="","",SUMPRODUCT(N(Variaveis!B246:J246),Pesos_Decisao!$B$4:$J$4))</f>
        <v/>
      </c>
      <c r="E246" s="4" t="str">
        <f>IF(Variaveis!A246="","",SUMPRODUCT(N(Variaveis!B246:J246),Pesos_Decisao!$B$5:$J$5))</f>
        <v/>
      </c>
      <c r="F246" s="4" t="str">
        <f>IF(Variaveis!A246="","",SUMPRODUCT(N(Variaveis!B246:J246),Pesos_Decisao!$B$6:$J$6))</f>
        <v/>
      </c>
      <c r="G246" s="4" t="str">
        <f>IF(Variaveis!A246="","",SUMPRODUCT(N(Variaveis!B246:J246),Pesos_Decisao!$B$7:$J$7))</f>
        <v/>
      </c>
      <c r="H246" s="4" t="str">
        <f>IF(Variaveis!A246="","",SUMPRODUCT(N(Variaveis!B246:J246),Pesos_Decisao!$B$8:$J$8))</f>
        <v/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tr">
        <f>IF(Variaveis!A247="","",Variaveis!A247)</f>
        <v/>
      </c>
      <c r="B247" s="4" t="str">
        <f>IF(Variaveis!A247="","",SUMPRODUCT(N(Variaveis!B247:J247),Pesos_Decisao!$B$2:$J$2))</f>
        <v/>
      </c>
      <c r="C247" s="4" t="str">
        <f>IF(Variaveis!A247="","",SUMPRODUCT(N(Variaveis!B247:J247),Pesos_Decisao!$B$3:$J$3))</f>
        <v/>
      </c>
      <c r="D247" s="4" t="str">
        <f>IF(Variaveis!A247="","",SUMPRODUCT(N(Variaveis!B247:J247),Pesos_Decisao!$B$4:$J$4))</f>
        <v/>
      </c>
      <c r="E247" s="4" t="str">
        <f>IF(Variaveis!A247="","",SUMPRODUCT(N(Variaveis!B247:J247),Pesos_Decisao!$B$5:$J$5))</f>
        <v/>
      </c>
      <c r="F247" s="4" t="str">
        <f>IF(Variaveis!A247="","",SUMPRODUCT(N(Variaveis!B247:J247),Pesos_Decisao!$B$6:$J$6))</f>
        <v/>
      </c>
      <c r="G247" s="4" t="str">
        <f>IF(Variaveis!A247="","",SUMPRODUCT(N(Variaveis!B247:J247),Pesos_Decisao!$B$7:$J$7))</f>
        <v/>
      </c>
      <c r="H247" s="4" t="str">
        <f>IF(Variaveis!A247="","",SUMPRODUCT(N(Variaveis!B247:J247),Pesos_Decisao!$B$8:$J$8))</f>
        <v/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tr">
        <f>IF(Variaveis!A248="","",Variaveis!A248)</f>
        <v/>
      </c>
      <c r="B248" s="4" t="str">
        <f>IF(Variaveis!A248="","",SUMPRODUCT(N(Variaveis!B248:J248),Pesos_Decisao!$B$2:$J$2))</f>
        <v/>
      </c>
      <c r="C248" s="4" t="str">
        <f>IF(Variaveis!A248="","",SUMPRODUCT(N(Variaveis!B248:J248),Pesos_Decisao!$B$3:$J$3))</f>
        <v/>
      </c>
      <c r="D248" s="4" t="str">
        <f>IF(Variaveis!A248="","",SUMPRODUCT(N(Variaveis!B248:J248),Pesos_Decisao!$B$4:$J$4))</f>
        <v/>
      </c>
      <c r="E248" s="4" t="str">
        <f>IF(Variaveis!A248="","",SUMPRODUCT(N(Variaveis!B248:J248),Pesos_Decisao!$B$5:$J$5))</f>
        <v/>
      </c>
      <c r="F248" s="4" t="str">
        <f>IF(Variaveis!A248="","",SUMPRODUCT(N(Variaveis!B248:J248),Pesos_Decisao!$B$6:$J$6))</f>
        <v/>
      </c>
      <c r="G248" s="4" t="str">
        <f>IF(Variaveis!A248="","",SUMPRODUCT(N(Variaveis!B248:J248),Pesos_Decisao!$B$7:$J$7))</f>
        <v/>
      </c>
      <c r="H248" s="4" t="str">
        <f>IF(Variaveis!A248="","",SUMPRODUCT(N(Variaveis!B248:J248),Pesos_Decisao!$B$8:$J$8))</f>
        <v/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tr">
        <f>IF(Variaveis!A249="","",Variaveis!A249)</f>
        <v/>
      </c>
      <c r="B249" s="4" t="str">
        <f>IF(Variaveis!A249="","",SUMPRODUCT(N(Variaveis!B249:J249),Pesos_Decisao!$B$2:$J$2))</f>
        <v/>
      </c>
      <c r="C249" s="4" t="str">
        <f>IF(Variaveis!A249="","",SUMPRODUCT(N(Variaveis!B249:J249),Pesos_Decisao!$B$3:$J$3))</f>
        <v/>
      </c>
      <c r="D249" s="4" t="str">
        <f>IF(Variaveis!A249="","",SUMPRODUCT(N(Variaveis!B249:J249),Pesos_Decisao!$B$4:$J$4))</f>
        <v/>
      </c>
      <c r="E249" s="4" t="str">
        <f>IF(Variaveis!A249="","",SUMPRODUCT(N(Variaveis!B249:J249),Pesos_Decisao!$B$5:$J$5))</f>
        <v/>
      </c>
      <c r="F249" s="4" t="str">
        <f>IF(Variaveis!A249="","",SUMPRODUCT(N(Variaveis!B249:J249),Pesos_Decisao!$B$6:$J$6))</f>
        <v/>
      </c>
      <c r="G249" s="4" t="str">
        <f>IF(Variaveis!A249="","",SUMPRODUCT(N(Variaveis!B249:J249),Pesos_Decisao!$B$7:$J$7))</f>
        <v/>
      </c>
      <c r="H249" s="4" t="str">
        <f>IF(Variaveis!A249="","",SUMPRODUCT(N(Variaveis!B249:J249),Pesos_Decisao!$B$8:$J$8))</f>
        <v/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tr">
        <f>IF(Variaveis!A250="","",Variaveis!A250)</f>
        <v/>
      </c>
      <c r="B250" s="4" t="str">
        <f>IF(Variaveis!A250="","",SUMPRODUCT(N(Variaveis!B250:J250),Pesos_Decisao!$B$2:$J$2))</f>
        <v/>
      </c>
      <c r="C250" s="4" t="str">
        <f>IF(Variaveis!A250="","",SUMPRODUCT(N(Variaveis!B250:J250),Pesos_Decisao!$B$3:$J$3))</f>
        <v/>
      </c>
      <c r="D250" s="4" t="str">
        <f>IF(Variaveis!A250="","",SUMPRODUCT(N(Variaveis!B250:J250),Pesos_Decisao!$B$4:$J$4))</f>
        <v/>
      </c>
      <c r="E250" s="4" t="str">
        <f>IF(Variaveis!A250="","",SUMPRODUCT(N(Variaveis!B250:J250),Pesos_Decisao!$B$5:$J$5))</f>
        <v/>
      </c>
      <c r="F250" s="4" t="str">
        <f>IF(Variaveis!A250="","",SUMPRODUCT(N(Variaveis!B250:J250),Pesos_Decisao!$B$6:$J$6))</f>
        <v/>
      </c>
      <c r="G250" s="4" t="str">
        <f>IF(Variaveis!A250="","",SUMPRODUCT(N(Variaveis!B250:J250),Pesos_Decisao!$B$7:$J$7))</f>
        <v/>
      </c>
      <c r="H250" s="4" t="str">
        <f>IF(Variaveis!A250="","",SUMPRODUCT(N(Variaveis!B250:J250),Pesos_Decisao!$B$8:$J$8))</f>
        <v/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tr">
        <f>IF(Variaveis!A251="","",Variaveis!A251)</f>
        <v/>
      </c>
      <c r="B251" s="4" t="str">
        <f>IF(Variaveis!A251="","",SUMPRODUCT(N(Variaveis!B251:J251),Pesos_Decisao!$B$2:$J$2))</f>
        <v/>
      </c>
      <c r="C251" s="4" t="str">
        <f>IF(Variaveis!A251="","",SUMPRODUCT(N(Variaveis!B251:J251),Pesos_Decisao!$B$3:$J$3))</f>
        <v/>
      </c>
      <c r="D251" s="4" t="str">
        <f>IF(Variaveis!A251="","",SUMPRODUCT(N(Variaveis!B251:J251),Pesos_Decisao!$B$4:$J$4))</f>
        <v/>
      </c>
      <c r="E251" s="4" t="str">
        <f>IF(Variaveis!A251="","",SUMPRODUCT(N(Variaveis!B251:J251),Pesos_Decisao!$B$5:$J$5))</f>
        <v/>
      </c>
      <c r="F251" s="4" t="str">
        <f>IF(Variaveis!A251="","",SUMPRODUCT(N(Variaveis!B251:J251),Pesos_Decisao!$B$6:$J$6))</f>
        <v/>
      </c>
      <c r="G251" s="4" t="str">
        <f>IF(Variaveis!A251="","",SUMPRODUCT(N(Variaveis!B251:J251),Pesos_Decisao!$B$7:$J$7))</f>
        <v/>
      </c>
      <c r="H251" s="4" t="str">
        <f>IF(Variaveis!A251="","",SUMPRODUCT(N(Variaveis!B251:J251),Pesos_Decisao!$B$8:$J$8))</f>
        <v/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tr">
        <f>IF(Variaveis!A252="","",Variaveis!A252)</f>
        <v/>
      </c>
      <c r="B252" s="4" t="str">
        <f>IF(Variaveis!A252="","",SUMPRODUCT(N(Variaveis!B252:J252),Pesos_Decisao!$B$2:$J$2))</f>
        <v/>
      </c>
      <c r="C252" s="4" t="str">
        <f>IF(Variaveis!A252="","",SUMPRODUCT(N(Variaveis!B252:J252),Pesos_Decisao!$B$3:$J$3))</f>
        <v/>
      </c>
      <c r="D252" s="4" t="str">
        <f>IF(Variaveis!A252="","",SUMPRODUCT(N(Variaveis!B252:J252),Pesos_Decisao!$B$4:$J$4))</f>
        <v/>
      </c>
      <c r="E252" s="4" t="str">
        <f>IF(Variaveis!A252="","",SUMPRODUCT(N(Variaveis!B252:J252),Pesos_Decisao!$B$5:$J$5))</f>
        <v/>
      </c>
      <c r="F252" s="4" t="str">
        <f>IF(Variaveis!A252="","",SUMPRODUCT(N(Variaveis!B252:J252),Pesos_Decisao!$B$6:$J$6))</f>
        <v/>
      </c>
      <c r="G252" s="4" t="str">
        <f>IF(Variaveis!A252="","",SUMPRODUCT(N(Variaveis!B252:J252),Pesos_Decisao!$B$7:$J$7))</f>
        <v/>
      </c>
      <c r="H252" s="4" t="str">
        <f>IF(Variaveis!A252="","",SUMPRODUCT(N(Variaveis!B252:J252),Pesos_Decisao!$B$8:$J$8))</f>
        <v/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tr">
        <f>IF(Variaveis!A253="","",Variaveis!A253)</f>
        <v/>
      </c>
      <c r="B253" s="4" t="str">
        <f>IF(Variaveis!A253="","",SUMPRODUCT(N(Variaveis!B253:J253),Pesos_Decisao!$B$2:$J$2))</f>
        <v/>
      </c>
      <c r="C253" s="4" t="str">
        <f>IF(Variaveis!A253="","",SUMPRODUCT(N(Variaveis!B253:J253),Pesos_Decisao!$B$3:$J$3))</f>
        <v/>
      </c>
      <c r="D253" s="4" t="str">
        <f>IF(Variaveis!A253="","",SUMPRODUCT(N(Variaveis!B253:J253),Pesos_Decisao!$B$4:$J$4))</f>
        <v/>
      </c>
      <c r="E253" s="4" t="str">
        <f>IF(Variaveis!A253="","",SUMPRODUCT(N(Variaveis!B253:J253),Pesos_Decisao!$B$5:$J$5))</f>
        <v/>
      </c>
      <c r="F253" s="4" t="str">
        <f>IF(Variaveis!A253="","",SUMPRODUCT(N(Variaveis!B253:J253),Pesos_Decisao!$B$6:$J$6))</f>
        <v/>
      </c>
      <c r="G253" s="4" t="str">
        <f>IF(Variaveis!A253="","",SUMPRODUCT(N(Variaveis!B253:J253),Pesos_Decisao!$B$7:$J$7))</f>
        <v/>
      </c>
      <c r="H253" s="4" t="str">
        <f>IF(Variaveis!A253="","",SUMPRODUCT(N(Variaveis!B253:J253),Pesos_Decisao!$B$8:$J$8))</f>
        <v/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tr">
        <f>IF(Variaveis!A254="","",Variaveis!A254)</f>
        <v/>
      </c>
      <c r="B254" s="4" t="str">
        <f>IF(Variaveis!A254="","",SUMPRODUCT(N(Variaveis!B254:J254),Pesos_Decisao!$B$2:$J$2))</f>
        <v/>
      </c>
      <c r="C254" s="4" t="str">
        <f>IF(Variaveis!A254="","",SUMPRODUCT(N(Variaveis!B254:J254),Pesos_Decisao!$B$3:$J$3))</f>
        <v/>
      </c>
      <c r="D254" s="4" t="str">
        <f>IF(Variaveis!A254="","",SUMPRODUCT(N(Variaveis!B254:J254),Pesos_Decisao!$B$4:$J$4))</f>
        <v/>
      </c>
      <c r="E254" s="4" t="str">
        <f>IF(Variaveis!A254="","",SUMPRODUCT(N(Variaveis!B254:J254),Pesos_Decisao!$B$5:$J$5))</f>
        <v/>
      </c>
      <c r="F254" s="4" t="str">
        <f>IF(Variaveis!A254="","",SUMPRODUCT(N(Variaveis!B254:J254),Pesos_Decisao!$B$6:$J$6))</f>
        <v/>
      </c>
      <c r="G254" s="4" t="str">
        <f>IF(Variaveis!A254="","",SUMPRODUCT(N(Variaveis!B254:J254),Pesos_Decisao!$B$7:$J$7))</f>
        <v/>
      </c>
      <c r="H254" s="4" t="str">
        <f>IF(Variaveis!A254="","",SUMPRODUCT(N(Variaveis!B254:J254),Pesos_Decisao!$B$8:$J$8))</f>
        <v/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tr">
        <f>IF(Variaveis!A255="","",Variaveis!A255)</f>
        <v/>
      </c>
      <c r="B255" s="4" t="str">
        <f>IF(Variaveis!A255="","",SUMPRODUCT(N(Variaveis!B255:J255),Pesos_Decisao!$B$2:$J$2))</f>
        <v/>
      </c>
      <c r="C255" s="4" t="str">
        <f>IF(Variaveis!A255="","",SUMPRODUCT(N(Variaveis!B255:J255),Pesos_Decisao!$B$3:$J$3))</f>
        <v/>
      </c>
      <c r="D255" s="4" t="str">
        <f>IF(Variaveis!A255="","",SUMPRODUCT(N(Variaveis!B255:J255),Pesos_Decisao!$B$4:$J$4))</f>
        <v/>
      </c>
      <c r="E255" s="4" t="str">
        <f>IF(Variaveis!A255="","",SUMPRODUCT(N(Variaveis!B255:J255),Pesos_Decisao!$B$5:$J$5))</f>
        <v/>
      </c>
      <c r="F255" s="4" t="str">
        <f>IF(Variaveis!A255="","",SUMPRODUCT(N(Variaveis!B255:J255),Pesos_Decisao!$B$6:$J$6))</f>
        <v/>
      </c>
      <c r="G255" s="4" t="str">
        <f>IF(Variaveis!A255="","",SUMPRODUCT(N(Variaveis!B255:J255),Pesos_Decisao!$B$7:$J$7))</f>
        <v/>
      </c>
      <c r="H255" s="4" t="str">
        <f>IF(Variaveis!A255="","",SUMPRODUCT(N(Variaveis!B255:J255),Pesos_Decisao!$B$8:$J$8))</f>
        <v/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tr">
        <f>IF(Variaveis!A256="","",Variaveis!A256)</f>
        <v/>
      </c>
      <c r="B256" s="4" t="str">
        <f>IF(Variaveis!A256="","",SUMPRODUCT(N(Variaveis!B256:J256),Pesos_Decisao!$B$2:$J$2))</f>
        <v/>
      </c>
      <c r="C256" s="4" t="str">
        <f>IF(Variaveis!A256="","",SUMPRODUCT(N(Variaveis!B256:J256),Pesos_Decisao!$B$3:$J$3))</f>
        <v/>
      </c>
      <c r="D256" s="4" t="str">
        <f>IF(Variaveis!A256="","",SUMPRODUCT(N(Variaveis!B256:J256),Pesos_Decisao!$B$4:$J$4))</f>
        <v/>
      </c>
      <c r="E256" s="4" t="str">
        <f>IF(Variaveis!A256="","",SUMPRODUCT(N(Variaveis!B256:J256),Pesos_Decisao!$B$5:$J$5))</f>
        <v/>
      </c>
      <c r="F256" s="4" t="str">
        <f>IF(Variaveis!A256="","",SUMPRODUCT(N(Variaveis!B256:J256),Pesos_Decisao!$B$6:$J$6))</f>
        <v/>
      </c>
      <c r="G256" s="4" t="str">
        <f>IF(Variaveis!A256="","",SUMPRODUCT(N(Variaveis!B256:J256),Pesos_Decisao!$B$7:$J$7))</f>
        <v/>
      </c>
      <c r="H256" s="4" t="str">
        <f>IF(Variaveis!A256="","",SUMPRODUCT(N(Variaveis!B256:J256),Pesos_Decisao!$B$8:$J$8))</f>
        <v/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tr">
        <f>IF(Variaveis!A257="","",Variaveis!A257)</f>
        <v/>
      </c>
      <c r="B257" s="4" t="str">
        <f>IF(Variaveis!A257="","",SUMPRODUCT(N(Variaveis!B257:J257),Pesos_Decisao!$B$2:$J$2))</f>
        <v/>
      </c>
      <c r="C257" s="4" t="str">
        <f>IF(Variaveis!A257="","",SUMPRODUCT(N(Variaveis!B257:J257),Pesos_Decisao!$B$3:$J$3))</f>
        <v/>
      </c>
      <c r="D257" s="4" t="str">
        <f>IF(Variaveis!A257="","",SUMPRODUCT(N(Variaveis!B257:J257),Pesos_Decisao!$B$4:$J$4))</f>
        <v/>
      </c>
      <c r="E257" s="4" t="str">
        <f>IF(Variaveis!A257="","",SUMPRODUCT(N(Variaveis!B257:J257),Pesos_Decisao!$B$5:$J$5))</f>
        <v/>
      </c>
      <c r="F257" s="4" t="str">
        <f>IF(Variaveis!A257="","",SUMPRODUCT(N(Variaveis!B257:J257),Pesos_Decisao!$B$6:$J$6))</f>
        <v/>
      </c>
      <c r="G257" s="4" t="str">
        <f>IF(Variaveis!A257="","",SUMPRODUCT(N(Variaveis!B257:J257),Pesos_Decisao!$B$7:$J$7))</f>
        <v/>
      </c>
      <c r="H257" s="4" t="str">
        <f>IF(Variaveis!A257="","",SUMPRODUCT(N(Variaveis!B257:J257),Pesos_Decisao!$B$8:$J$8))</f>
        <v/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tr">
        <f>IF(Variaveis!A258="","",Variaveis!A258)</f>
        <v/>
      </c>
      <c r="B258" s="4" t="str">
        <f>IF(Variaveis!A258="","",SUMPRODUCT(N(Variaveis!B258:J258),Pesos_Decisao!$B$2:$J$2))</f>
        <v/>
      </c>
      <c r="C258" s="4" t="str">
        <f>IF(Variaveis!A258="","",SUMPRODUCT(N(Variaveis!B258:J258),Pesos_Decisao!$B$3:$J$3))</f>
        <v/>
      </c>
      <c r="D258" s="4" t="str">
        <f>IF(Variaveis!A258="","",SUMPRODUCT(N(Variaveis!B258:J258),Pesos_Decisao!$B$4:$J$4))</f>
        <v/>
      </c>
      <c r="E258" s="4" t="str">
        <f>IF(Variaveis!A258="","",SUMPRODUCT(N(Variaveis!B258:J258),Pesos_Decisao!$B$5:$J$5))</f>
        <v/>
      </c>
      <c r="F258" s="4" t="str">
        <f>IF(Variaveis!A258="","",SUMPRODUCT(N(Variaveis!B258:J258),Pesos_Decisao!$B$6:$J$6))</f>
        <v/>
      </c>
      <c r="G258" s="4" t="str">
        <f>IF(Variaveis!A258="","",SUMPRODUCT(N(Variaveis!B258:J258),Pesos_Decisao!$B$7:$J$7))</f>
        <v/>
      </c>
      <c r="H258" s="4" t="str">
        <f>IF(Variaveis!A258="","",SUMPRODUCT(N(Variaveis!B258:J258),Pesos_Decisao!$B$8:$J$8))</f>
        <v/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tr">
        <f>IF(Variaveis!A259="","",Variaveis!A259)</f>
        <v/>
      </c>
      <c r="B259" s="4" t="str">
        <f>IF(Variaveis!A259="","",SUMPRODUCT(N(Variaveis!B259:J259),Pesos_Decisao!$B$2:$J$2))</f>
        <v/>
      </c>
      <c r="C259" s="4" t="str">
        <f>IF(Variaveis!A259="","",SUMPRODUCT(N(Variaveis!B259:J259),Pesos_Decisao!$B$3:$J$3))</f>
        <v/>
      </c>
      <c r="D259" s="4" t="str">
        <f>IF(Variaveis!A259="","",SUMPRODUCT(N(Variaveis!B259:J259),Pesos_Decisao!$B$4:$J$4))</f>
        <v/>
      </c>
      <c r="E259" s="4" t="str">
        <f>IF(Variaveis!A259="","",SUMPRODUCT(N(Variaveis!B259:J259),Pesos_Decisao!$B$5:$J$5))</f>
        <v/>
      </c>
      <c r="F259" s="4" t="str">
        <f>IF(Variaveis!A259="","",SUMPRODUCT(N(Variaveis!B259:J259),Pesos_Decisao!$B$6:$J$6))</f>
        <v/>
      </c>
      <c r="G259" s="4" t="str">
        <f>IF(Variaveis!A259="","",SUMPRODUCT(N(Variaveis!B259:J259),Pesos_Decisao!$B$7:$J$7))</f>
        <v/>
      </c>
      <c r="H259" s="4" t="str">
        <f>IF(Variaveis!A259="","",SUMPRODUCT(N(Variaveis!B259:J259),Pesos_Decisao!$B$8:$J$8))</f>
        <v/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tr">
        <f>IF(Variaveis!A260="","",Variaveis!A260)</f>
        <v/>
      </c>
      <c r="B260" s="4" t="str">
        <f>IF(Variaveis!A260="","",SUMPRODUCT(N(Variaveis!B260:J260),Pesos_Decisao!$B$2:$J$2))</f>
        <v/>
      </c>
      <c r="C260" s="4" t="str">
        <f>IF(Variaveis!A260="","",SUMPRODUCT(N(Variaveis!B260:J260),Pesos_Decisao!$B$3:$J$3))</f>
        <v/>
      </c>
      <c r="D260" s="4" t="str">
        <f>IF(Variaveis!A260="","",SUMPRODUCT(N(Variaveis!B260:J260),Pesos_Decisao!$B$4:$J$4))</f>
        <v/>
      </c>
      <c r="E260" s="4" t="str">
        <f>IF(Variaveis!A260="","",SUMPRODUCT(N(Variaveis!B260:J260),Pesos_Decisao!$B$5:$J$5))</f>
        <v/>
      </c>
      <c r="F260" s="4" t="str">
        <f>IF(Variaveis!A260="","",SUMPRODUCT(N(Variaveis!B260:J260),Pesos_Decisao!$B$6:$J$6))</f>
        <v/>
      </c>
      <c r="G260" s="4" t="str">
        <f>IF(Variaveis!A260="","",SUMPRODUCT(N(Variaveis!B260:J260),Pesos_Decisao!$B$7:$J$7))</f>
        <v/>
      </c>
      <c r="H260" s="4" t="str">
        <f>IF(Variaveis!A260="","",SUMPRODUCT(N(Variaveis!B260:J260),Pesos_Decisao!$B$8:$J$8))</f>
        <v/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tr">
        <f>IF(Variaveis!A261="","",Variaveis!A261)</f>
        <v/>
      </c>
      <c r="B261" s="4" t="str">
        <f>IF(Variaveis!A261="","",SUMPRODUCT(N(Variaveis!B261:J261),Pesos_Decisao!$B$2:$J$2))</f>
        <v/>
      </c>
      <c r="C261" s="4" t="str">
        <f>IF(Variaveis!A261="","",SUMPRODUCT(N(Variaveis!B261:J261),Pesos_Decisao!$B$3:$J$3))</f>
        <v/>
      </c>
      <c r="D261" s="4" t="str">
        <f>IF(Variaveis!A261="","",SUMPRODUCT(N(Variaveis!B261:J261),Pesos_Decisao!$B$4:$J$4))</f>
        <v/>
      </c>
      <c r="E261" s="4" t="str">
        <f>IF(Variaveis!A261="","",SUMPRODUCT(N(Variaveis!B261:J261),Pesos_Decisao!$B$5:$J$5))</f>
        <v/>
      </c>
      <c r="F261" s="4" t="str">
        <f>IF(Variaveis!A261="","",SUMPRODUCT(N(Variaveis!B261:J261),Pesos_Decisao!$B$6:$J$6))</f>
        <v/>
      </c>
      <c r="G261" s="4" t="str">
        <f>IF(Variaveis!A261="","",SUMPRODUCT(N(Variaveis!B261:J261),Pesos_Decisao!$B$7:$J$7))</f>
        <v/>
      </c>
      <c r="H261" s="4" t="str">
        <f>IF(Variaveis!A261="","",SUMPRODUCT(N(Variaveis!B261:J261),Pesos_Decisao!$B$8:$J$8))</f>
        <v/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tr">
        <f>IF(Variaveis!A262="","",Variaveis!A262)</f>
        <v/>
      </c>
      <c r="B262" s="4" t="str">
        <f>IF(Variaveis!A262="","",SUMPRODUCT(N(Variaveis!B262:J262),Pesos_Decisao!$B$2:$J$2))</f>
        <v/>
      </c>
      <c r="C262" s="4" t="str">
        <f>IF(Variaveis!A262="","",SUMPRODUCT(N(Variaveis!B262:J262),Pesos_Decisao!$B$3:$J$3))</f>
        <v/>
      </c>
      <c r="D262" s="4" t="str">
        <f>IF(Variaveis!A262="","",SUMPRODUCT(N(Variaveis!B262:J262),Pesos_Decisao!$B$4:$J$4))</f>
        <v/>
      </c>
      <c r="E262" s="4" t="str">
        <f>IF(Variaveis!A262="","",SUMPRODUCT(N(Variaveis!B262:J262),Pesos_Decisao!$B$5:$J$5))</f>
        <v/>
      </c>
      <c r="F262" s="4" t="str">
        <f>IF(Variaveis!A262="","",SUMPRODUCT(N(Variaveis!B262:J262),Pesos_Decisao!$B$6:$J$6))</f>
        <v/>
      </c>
      <c r="G262" s="4" t="str">
        <f>IF(Variaveis!A262="","",SUMPRODUCT(N(Variaveis!B262:J262),Pesos_Decisao!$B$7:$J$7))</f>
        <v/>
      </c>
      <c r="H262" s="4" t="str">
        <f>IF(Variaveis!A262="","",SUMPRODUCT(N(Variaveis!B262:J262),Pesos_Decisao!$B$8:$J$8))</f>
        <v/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tr">
        <f>IF(Variaveis!A263="","",Variaveis!A263)</f>
        <v/>
      </c>
      <c r="B263" s="4" t="str">
        <f>IF(Variaveis!A263="","",SUMPRODUCT(N(Variaveis!B263:J263),Pesos_Decisao!$B$2:$J$2))</f>
        <v/>
      </c>
      <c r="C263" s="4" t="str">
        <f>IF(Variaveis!A263="","",SUMPRODUCT(N(Variaveis!B263:J263),Pesos_Decisao!$B$3:$J$3))</f>
        <v/>
      </c>
      <c r="D263" s="4" t="str">
        <f>IF(Variaveis!A263="","",SUMPRODUCT(N(Variaveis!B263:J263),Pesos_Decisao!$B$4:$J$4))</f>
        <v/>
      </c>
      <c r="E263" s="4" t="str">
        <f>IF(Variaveis!A263="","",SUMPRODUCT(N(Variaveis!B263:J263),Pesos_Decisao!$B$5:$J$5))</f>
        <v/>
      </c>
      <c r="F263" s="4" t="str">
        <f>IF(Variaveis!A263="","",SUMPRODUCT(N(Variaveis!B263:J263),Pesos_Decisao!$B$6:$J$6))</f>
        <v/>
      </c>
      <c r="G263" s="4" t="str">
        <f>IF(Variaveis!A263="","",SUMPRODUCT(N(Variaveis!B263:J263),Pesos_Decisao!$B$7:$J$7))</f>
        <v/>
      </c>
      <c r="H263" s="4" t="str">
        <f>IF(Variaveis!A263="","",SUMPRODUCT(N(Variaveis!B263:J263),Pesos_Decisao!$B$8:$J$8))</f>
        <v/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tr">
        <f>IF(Variaveis!A264="","",Variaveis!A264)</f>
        <v/>
      </c>
      <c r="B264" s="4" t="str">
        <f>IF(Variaveis!A264="","",SUMPRODUCT(N(Variaveis!B264:J264),Pesos_Decisao!$B$2:$J$2))</f>
        <v/>
      </c>
      <c r="C264" s="4" t="str">
        <f>IF(Variaveis!A264="","",SUMPRODUCT(N(Variaveis!B264:J264),Pesos_Decisao!$B$3:$J$3))</f>
        <v/>
      </c>
      <c r="D264" s="4" t="str">
        <f>IF(Variaveis!A264="","",SUMPRODUCT(N(Variaveis!B264:J264),Pesos_Decisao!$B$4:$J$4))</f>
        <v/>
      </c>
      <c r="E264" s="4" t="str">
        <f>IF(Variaveis!A264="","",SUMPRODUCT(N(Variaveis!B264:J264),Pesos_Decisao!$B$5:$J$5))</f>
        <v/>
      </c>
      <c r="F264" s="4" t="str">
        <f>IF(Variaveis!A264="","",SUMPRODUCT(N(Variaveis!B264:J264),Pesos_Decisao!$B$6:$J$6))</f>
        <v/>
      </c>
      <c r="G264" s="4" t="str">
        <f>IF(Variaveis!A264="","",SUMPRODUCT(N(Variaveis!B264:J264),Pesos_Decisao!$B$7:$J$7))</f>
        <v/>
      </c>
      <c r="H264" s="4" t="str">
        <f>IF(Variaveis!A264="","",SUMPRODUCT(N(Variaveis!B264:J264),Pesos_Decisao!$B$8:$J$8))</f>
        <v/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tr">
        <f>IF(Variaveis!A265="","",Variaveis!A265)</f>
        <v/>
      </c>
      <c r="B265" s="4" t="str">
        <f>IF(Variaveis!A265="","",SUMPRODUCT(N(Variaveis!B265:J265),Pesos_Decisao!$B$2:$J$2))</f>
        <v/>
      </c>
      <c r="C265" s="4" t="str">
        <f>IF(Variaveis!A265="","",SUMPRODUCT(N(Variaveis!B265:J265),Pesos_Decisao!$B$3:$J$3))</f>
        <v/>
      </c>
      <c r="D265" s="4" t="str">
        <f>IF(Variaveis!A265="","",SUMPRODUCT(N(Variaveis!B265:J265),Pesos_Decisao!$B$4:$J$4))</f>
        <v/>
      </c>
      <c r="E265" s="4" t="str">
        <f>IF(Variaveis!A265="","",SUMPRODUCT(N(Variaveis!B265:J265),Pesos_Decisao!$B$5:$J$5))</f>
        <v/>
      </c>
      <c r="F265" s="4" t="str">
        <f>IF(Variaveis!A265="","",SUMPRODUCT(N(Variaveis!B265:J265),Pesos_Decisao!$B$6:$J$6))</f>
        <v/>
      </c>
      <c r="G265" s="4" t="str">
        <f>IF(Variaveis!A265="","",SUMPRODUCT(N(Variaveis!B265:J265),Pesos_Decisao!$B$7:$J$7))</f>
        <v/>
      </c>
      <c r="H265" s="4" t="str">
        <f>IF(Variaveis!A265="","",SUMPRODUCT(N(Variaveis!B265:J265),Pesos_Decisao!$B$8:$J$8))</f>
        <v/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tr">
        <f>IF(Variaveis!A266="","",Variaveis!A266)</f>
        <v/>
      </c>
      <c r="B266" s="4" t="str">
        <f>IF(Variaveis!A266="","",SUMPRODUCT(N(Variaveis!B266:J266),Pesos_Decisao!$B$2:$J$2))</f>
        <v/>
      </c>
      <c r="C266" s="4" t="str">
        <f>IF(Variaveis!A266="","",SUMPRODUCT(N(Variaveis!B266:J266),Pesos_Decisao!$B$3:$J$3))</f>
        <v/>
      </c>
      <c r="D266" s="4" t="str">
        <f>IF(Variaveis!A266="","",SUMPRODUCT(N(Variaveis!B266:J266),Pesos_Decisao!$B$4:$J$4))</f>
        <v/>
      </c>
      <c r="E266" s="4" t="str">
        <f>IF(Variaveis!A266="","",SUMPRODUCT(N(Variaveis!B266:J266),Pesos_Decisao!$B$5:$J$5))</f>
        <v/>
      </c>
      <c r="F266" s="4" t="str">
        <f>IF(Variaveis!A266="","",SUMPRODUCT(N(Variaveis!B266:J266),Pesos_Decisao!$B$6:$J$6))</f>
        <v/>
      </c>
      <c r="G266" s="4" t="str">
        <f>IF(Variaveis!A266="","",SUMPRODUCT(N(Variaveis!B266:J266),Pesos_Decisao!$B$7:$J$7))</f>
        <v/>
      </c>
      <c r="H266" s="4" t="str">
        <f>IF(Variaveis!A266="","",SUMPRODUCT(N(Variaveis!B266:J266),Pesos_Decisao!$B$8:$J$8))</f>
        <v/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tr">
        <f>IF(Variaveis!A267="","",Variaveis!A267)</f>
        <v/>
      </c>
      <c r="B267" s="4" t="str">
        <f>IF(Variaveis!A267="","",SUMPRODUCT(N(Variaveis!B267:J267),Pesos_Decisao!$B$2:$J$2))</f>
        <v/>
      </c>
      <c r="C267" s="4" t="str">
        <f>IF(Variaveis!A267="","",SUMPRODUCT(N(Variaveis!B267:J267),Pesos_Decisao!$B$3:$J$3))</f>
        <v/>
      </c>
      <c r="D267" s="4" t="str">
        <f>IF(Variaveis!A267="","",SUMPRODUCT(N(Variaveis!B267:J267),Pesos_Decisao!$B$4:$J$4))</f>
        <v/>
      </c>
      <c r="E267" s="4" t="str">
        <f>IF(Variaveis!A267="","",SUMPRODUCT(N(Variaveis!B267:J267),Pesos_Decisao!$B$5:$J$5))</f>
        <v/>
      </c>
      <c r="F267" s="4" t="str">
        <f>IF(Variaveis!A267="","",SUMPRODUCT(N(Variaveis!B267:J267),Pesos_Decisao!$B$6:$J$6))</f>
        <v/>
      </c>
      <c r="G267" s="4" t="str">
        <f>IF(Variaveis!A267="","",SUMPRODUCT(N(Variaveis!B267:J267),Pesos_Decisao!$B$7:$J$7))</f>
        <v/>
      </c>
      <c r="H267" s="4" t="str">
        <f>IF(Variaveis!A267="","",SUMPRODUCT(N(Variaveis!B267:J267),Pesos_Decisao!$B$8:$J$8))</f>
        <v/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tr">
        <f>IF(Variaveis!A268="","",Variaveis!A268)</f>
        <v/>
      </c>
      <c r="B268" s="4" t="str">
        <f>IF(Variaveis!A268="","",SUMPRODUCT(N(Variaveis!B268:J268),Pesos_Decisao!$B$2:$J$2))</f>
        <v/>
      </c>
      <c r="C268" s="4" t="str">
        <f>IF(Variaveis!A268="","",SUMPRODUCT(N(Variaveis!B268:J268),Pesos_Decisao!$B$3:$J$3))</f>
        <v/>
      </c>
      <c r="D268" s="4" t="str">
        <f>IF(Variaveis!A268="","",SUMPRODUCT(N(Variaveis!B268:J268),Pesos_Decisao!$B$4:$J$4))</f>
        <v/>
      </c>
      <c r="E268" s="4" t="str">
        <f>IF(Variaveis!A268="","",SUMPRODUCT(N(Variaveis!B268:J268),Pesos_Decisao!$B$5:$J$5))</f>
        <v/>
      </c>
      <c r="F268" s="4" t="str">
        <f>IF(Variaveis!A268="","",SUMPRODUCT(N(Variaveis!B268:J268),Pesos_Decisao!$B$6:$J$6))</f>
        <v/>
      </c>
      <c r="G268" s="4" t="str">
        <f>IF(Variaveis!A268="","",SUMPRODUCT(N(Variaveis!B268:J268),Pesos_Decisao!$B$7:$J$7))</f>
        <v/>
      </c>
      <c r="H268" s="4" t="str">
        <f>IF(Variaveis!A268="","",SUMPRODUCT(N(Variaveis!B268:J268),Pesos_Decisao!$B$8:$J$8))</f>
        <v/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tr">
        <f>IF(Variaveis!A269="","",Variaveis!A269)</f>
        <v/>
      </c>
      <c r="B269" s="4" t="str">
        <f>IF(Variaveis!A269="","",SUMPRODUCT(N(Variaveis!B269:J269),Pesos_Decisao!$B$2:$J$2))</f>
        <v/>
      </c>
      <c r="C269" s="4" t="str">
        <f>IF(Variaveis!A269="","",SUMPRODUCT(N(Variaveis!B269:J269),Pesos_Decisao!$B$3:$J$3))</f>
        <v/>
      </c>
      <c r="D269" s="4" t="str">
        <f>IF(Variaveis!A269="","",SUMPRODUCT(N(Variaveis!B269:J269),Pesos_Decisao!$B$4:$J$4))</f>
        <v/>
      </c>
      <c r="E269" s="4" t="str">
        <f>IF(Variaveis!A269="","",SUMPRODUCT(N(Variaveis!B269:J269),Pesos_Decisao!$B$5:$J$5))</f>
        <v/>
      </c>
      <c r="F269" s="4" t="str">
        <f>IF(Variaveis!A269="","",SUMPRODUCT(N(Variaveis!B269:J269),Pesos_Decisao!$B$6:$J$6))</f>
        <v/>
      </c>
      <c r="G269" s="4" t="str">
        <f>IF(Variaveis!A269="","",SUMPRODUCT(N(Variaveis!B269:J269),Pesos_Decisao!$B$7:$J$7))</f>
        <v/>
      </c>
      <c r="H269" s="4" t="str">
        <f>IF(Variaveis!A269="","",SUMPRODUCT(N(Variaveis!B269:J269),Pesos_Decisao!$B$8:$J$8))</f>
        <v/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tr">
        <f>IF(Variaveis!A270="","",Variaveis!A270)</f>
        <v/>
      </c>
      <c r="B270" s="4" t="str">
        <f>IF(Variaveis!A270="","",SUMPRODUCT(N(Variaveis!B270:J270),Pesos_Decisao!$B$2:$J$2))</f>
        <v/>
      </c>
      <c r="C270" s="4" t="str">
        <f>IF(Variaveis!A270="","",SUMPRODUCT(N(Variaveis!B270:J270),Pesos_Decisao!$B$3:$J$3))</f>
        <v/>
      </c>
      <c r="D270" s="4" t="str">
        <f>IF(Variaveis!A270="","",SUMPRODUCT(N(Variaveis!B270:J270),Pesos_Decisao!$B$4:$J$4))</f>
        <v/>
      </c>
      <c r="E270" s="4" t="str">
        <f>IF(Variaveis!A270="","",SUMPRODUCT(N(Variaveis!B270:J270),Pesos_Decisao!$B$5:$J$5))</f>
        <v/>
      </c>
      <c r="F270" s="4" t="str">
        <f>IF(Variaveis!A270="","",SUMPRODUCT(N(Variaveis!B270:J270),Pesos_Decisao!$B$6:$J$6))</f>
        <v/>
      </c>
      <c r="G270" s="4" t="str">
        <f>IF(Variaveis!A270="","",SUMPRODUCT(N(Variaveis!B270:J270),Pesos_Decisao!$B$7:$J$7))</f>
        <v/>
      </c>
      <c r="H270" s="4" t="str">
        <f>IF(Variaveis!A270="","",SUMPRODUCT(N(Variaveis!B270:J270),Pesos_Decisao!$B$8:$J$8))</f>
        <v/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tr">
        <f>IF(Variaveis!A271="","",Variaveis!A271)</f>
        <v/>
      </c>
      <c r="B271" s="4" t="str">
        <f>IF(Variaveis!A271="","",SUMPRODUCT(N(Variaveis!B271:J271),Pesos_Decisao!$B$2:$J$2))</f>
        <v/>
      </c>
      <c r="C271" s="4" t="str">
        <f>IF(Variaveis!A271="","",SUMPRODUCT(N(Variaveis!B271:J271),Pesos_Decisao!$B$3:$J$3))</f>
        <v/>
      </c>
      <c r="D271" s="4" t="str">
        <f>IF(Variaveis!A271="","",SUMPRODUCT(N(Variaveis!B271:J271),Pesos_Decisao!$B$4:$J$4))</f>
        <v/>
      </c>
      <c r="E271" s="4" t="str">
        <f>IF(Variaveis!A271="","",SUMPRODUCT(N(Variaveis!B271:J271),Pesos_Decisao!$B$5:$J$5))</f>
        <v/>
      </c>
      <c r="F271" s="4" t="str">
        <f>IF(Variaveis!A271="","",SUMPRODUCT(N(Variaveis!B271:J271),Pesos_Decisao!$B$6:$J$6))</f>
        <v/>
      </c>
      <c r="G271" s="4" t="str">
        <f>IF(Variaveis!A271="","",SUMPRODUCT(N(Variaveis!B271:J271),Pesos_Decisao!$B$7:$J$7))</f>
        <v/>
      </c>
      <c r="H271" s="4" t="str">
        <f>IF(Variaveis!A271="","",SUMPRODUCT(N(Variaveis!B271:J271),Pesos_Decisao!$B$8:$J$8))</f>
        <v/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tr">
        <f>IF(Variaveis!A272="","",Variaveis!A272)</f>
        <v/>
      </c>
      <c r="B272" s="4" t="str">
        <f>IF(Variaveis!A272="","",SUMPRODUCT(N(Variaveis!B272:J272),Pesos_Decisao!$B$2:$J$2))</f>
        <v/>
      </c>
      <c r="C272" s="4" t="str">
        <f>IF(Variaveis!A272="","",SUMPRODUCT(N(Variaveis!B272:J272),Pesos_Decisao!$B$3:$J$3))</f>
        <v/>
      </c>
      <c r="D272" s="4" t="str">
        <f>IF(Variaveis!A272="","",SUMPRODUCT(N(Variaveis!B272:J272),Pesos_Decisao!$B$4:$J$4))</f>
        <v/>
      </c>
      <c r="E272" s="4" t="str">
        <f>IF(Variaveis!A272="","",SUMPRODUCT(N(Variaveis!B272:J272),Pesos_Decisao!$B$5:$J$5))</f>
        <v/>
      </c>
      <c r="F272" s="4" t="str">
        <f>IF(Variaveis!A272="","",SUMPRODUCT(N(Variaveis!B272:J272),Pesos_Decisao!$B$6:$J$6))</f>
        <v/>
      </c>
      <c r="G272" s="4" t="str">
        <f>IF(Variaveis!A272="","",SUMPRODUCT(N(Variaveis!B272:J272),Pesos_Decisao!$B$7:$J$7))</f>
        <v/>
      </c>
      <c r="H272" s="4" t="str">
        <f>IF(Variaveis!A272="","",SUMPRODUCT(N(Variaveis!B272:J272),Pesos_Decisao!$B$8:$J$8))</f>
        <v/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tr">
        <f>IF(Variaveis!A273="","",Variaveis!A273)</f>
        <v/>
      </c>
      <c r="B273" s="4" t="str">
        <f>IF(Variaveis!A273="","",SUMPRODUCT(N(Variaveis!B273:J273),Pesos_Decisao!$B$2:$J$2))</f>
        <v/>
      </c>
      <c r="C273" s="4" t="str">
        <f>IF(Variaveis!A273="","",SUMPRODUCT(N(Variaveis!B273:J273),Pesos_Decisao!$B$3:$J$3))</f>
        <v/>
      </c>
      <c r="D273" s="4" t="str">
        <f>IF(Variaveis!A273="","",SUMPRODUCT(N(Variaveis!B273:J273),Pesos_Decisao!$B$4:$J$4))</f>
        <v/>
      </c>
      <c r="E273" s="4" t="str">
        <f>IF(Variaveis!A273="","",SUMPRODUCT(N(Variaveis!B273:J273),Pesos_Decisao!$B$5:$J$5))</f>
        <v/>
      </c>
      <c r="F273" s="4" t="str">
        <f>IF(Variaveis!A273="","",SUMPRODUCT(N(Variaveis!B273:J273),Pesos_Decisao!$B$6:$J$6))</f>
        <v/>
      </c>
      <c r="G273" s="4" t="str">
        <f>IF(Variaveis!A273="","",SUMPRODUCT(N(Variaveis!B273:J273),Pesos_Decisao!$B$7:$J$7))</f>
        <v/>
      </c>
      <c r="H273" s="4" t="str">
        <f>IF(Variaveis!A273="","",SUMPRODUCT(N(Variaveis!B273:J273),Pesos_Decisao!$B$8:$J$8))</f>
        <v/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tr">
        <f>IF(Variaveis!A274="","",Variaveis!A274)</f>
        <v/>
      </c>
      <c r="B274" s="4" t="str">
        <f>IF(Variaveis!A274="","",SUMPRODUCT(N(Variaveis!B274:J274),Pesos_Decisao!$B$2:$J$2))</f>
        <v/>
      </c>
      <c r="C274" s="4" t="str">
        <f>IF(Variaveis!A274="","",SUMPRODUCT(N(Variaveis!B274:J274),Pesos_Decisao!$B$3:$J$3))</f>
        <v/>
      </c>
      <c r="D274" s="4" t="str">
        <f>IF(Variaveis!A274="","",SUMPRODUCT(N(Variaveis!B274:J274),Pesos_Decisao!$B$4:$J$4))</f>
        <v/>
      </c>
      <c r="E274" s="4" t="str">
        <f>IF(Variaveis!A274="","",SUMPRODUCT(N(Variaveis!B274:J274),Pesos_Decisao!$B$5:$J$5))</f>
        <v/>
      </c>
      <c r="F274" s="4" t="str">
        <f>IF(Variaveis!A274="","",SUMPRODUCT(N(Variaveis!B274:J274),Pesos_Decisao!$B$6:$J$6))</f>
        <v/>
      </c>
      <c r="G274" s="4" t="str">
        <f>IF(Variaveis!A274="","",SUMPRODUCT(N(Variaveis!B274:J274),Pesos_Decisao!$B$7:$J$7))</f>
        <v/>
      </c>
      <c r="H274" s="4" t="str">
        <f>IF(Variaveis!A274="","",SUMPRODUCT(N(Variaveis!B274:J274),Pesos_Decisao!$B$8:$J$8))</f>
        <v/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tr">
        <f>IF(Variaveis!A275="","",Variaveis!A275)</f>
        <v/>
      </c>
      <c r="B275" s="4" t="str">
        <f>IF(Variaveis!A275="","",SUMPRODUCT(N(Variaveis!B275:J275),Pesos_Decisao!$B$2:$J$2))</f>
        <v/>
      </c>
      <c r="C275" s="4" t="str">
        <f>IF(Variaveis!A275="","",SUMPRODUCT(N(Variaveis!B275:J275),Pesos_Decisao!$B$3:$J$3))</f>
        <v/>
      </c>
      <c r="D275" s="4" t="str">
        <f>IF(Variaveis!A275="","",SUMPRODUCT(N(Variaveis!B275:J275),Pesos_Decisao!$B$4:$J$4))</f>
        <v/>
      </c>
      <c r="E275" s="4" t="str">
        <f>IF(Variaveis!A275="","",SUMPRODUCT(N(Variaveis!B275:J275),Pesos_Decisao!$B$5:$J$5))</f>
        <v/>
      </c>
      <c r="F275" s="4" t="str">
        <f>IF(Variaveis!A275="","",SUMPRODUCT(N(Variaveis!B275:J275),Pesos_Decisao!$B$6:$J$6))</f>
        <v/>
      </c>
      <c r="G275" s="4" t="str">
        <f>IF(Variaveis!A275="","",SUMPRODUCT(N(Variaveis!B275:J275),Pesos_Decisao!$B$7:$J$7))</f>
        <v/>
      </c>
      <c r="H275" s="4" t="str">
        <f>IF(Variaveis!A275="","",SUMPRODUCT(N(Variaveis!B275:J275),Pesos_Decisao!$B$8:$J$8))</f>
        <v/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tr">
        <f>IF(Variaveis!A276="","",Variaveis!A276)</f>
        <v/>
      </c>
      <c r="B276" s="4" t="str">
        <f>IF(Variaveis!A276="","",SUMPRODUCT(N(Variaveis!B276:J276),Pesos_Decisao!$B$2:$J$2))</f>
        <v/>
      </c>
      <c r="C276" s="4" t="str">
        <f>IF(Variaveis!A276="","",SUMPRODUCT(N(Variaveis!B276:J276),Pesos_Decisao!$B$3:$J$3))</f>
        <v/>
      </c>
      <c r="D276" s="4" t="str">
        <f>IF(Variaveis!A276="","",SUMPRODUCT(N(Variaveis!B276:J276),Pesos_Decisao!$B$4:$J$4))</f>
        <v/>
      </c>
      <c r="E276" s="4" t="str">
        <f>IF(Variaveis!A276="","",SUMPRODUCT(N(Variaveis!B276:J276),Pesos_Decisao!$B$5:$J$5))</f>
        <v/>
      </c>
      <c r="F276" s="4" t="str">
        <f>IF(Variaveis!A276="","",SUMPRODUCT(N(Variaveis!B276:J276),Pesos_Decisao!$B$6:$J$6))</f>
        <v/>
      </c>
      <c r="G276" s="4" t="str">
        <f>IF(Variaveis!A276="","",SUMPRODUCT(N(Variaveis!B276:J276),Pesos_Decisao!$B$7:$J$7))</f>
        <v/>
      </c>
      <c r="H276" s="4" t="str">
        <f>IF(Variaveis!A276="","",SUMPRODUCT(N(Variaveis!B276:J276),Pesos_Decisao!$B$8:$J$8))</f>
        <v/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tr">
        <f>IF(Variaveis!A277="","",Variaveis!A277)</f>
        <v/>
      </c>
      <c r="B277" s="4" t="str">
        <f>IF(Variaveis!A277="","",SUMPRODUCT(N(Variaveis!B277:J277),Pesos_Decisao!$B$2:$J$2))</f>
        <v/>
      </c>
      <c r="C277" s="4" t="str">
        <f>IF(Variaveis!A277="","",SUMPRODUCT(N(Variaveis!B277:J277),Pesos_Decisao!$B$3:$J$3))</f>
        <v/>
      </c>
      <c r="D277" s="4" t="str">
        <f>IF(Variaveis!A277="","",SUMPRODUCT(N(Variaveis!B277:J277),Pesos_Decisao!$B$4:$J$4))</f>
        <v/>
      </c>
      <c r="E277" s="4" t="str">
        <f>IF(Variaveis!A277="","",SUMPRODUCT(N(Variaveis!B277:J277),Pesos_Decisao!$B$5:$J$5))</f>
        <v/>
      </c>
      <c r="F277" s="4" t="str">
        <f>IF(Variaveis!A277="","",SUMPRODUCT(N(Variaveis!B277:J277),Pesos_Decisao!$B$6:$J$6))</f>
        <v/>
      </c>
      <c r="G277" s="4" t="str">
        <f>IF(Variaveis!A277="","",SUMPRODUCT(N(Variaveis!B277:J277),Pesos_Decisao!$B$7:$J$7))</f>
        <v/>
      </c>
      <c r="H277" s="4" t="str">
        <f>IF(Variaveis!A277="","",SUMPRODUCT(N(Variaveis!B277:J277),Pesos_Decisao!$B$8:$J$8))</f>
        <v/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tr">
        <f>IF(Variaveis!A278="","",Variaveis!A278)</f>
        <v/>
      </c>
      <c r="B278" s="4" t="str">
        <f>IF(Variaveis!A278="","",SUMPRODUCT(N(Variaveis!B278:J278),Pesos_Decisao!$B$2:$J$2))</f>
        <v/>
      </c>
      <c r="C278" s="4" t="str">
        <f>IF(Variaveis!A278="","",SUMPRODUCT(N(Variaveis!B278:J278),Pesos_Decisao!$B$3:$J$3))</f>
        <v/>
      </c>
      <c r="D278" s="4" t="str">
        <f>IF(Variaveis!A278="","",SUMPRODUCT(N(Variaveis!B278:J278),Pesos_Decisao!$B$4:$J$4))</f>
        <v/>
      </c>
      <c r="E278" s="4" t="str">
        <f>IF(Variaveis!A278="","",SUMPRODUCT(N(Variaveis!B278:J278),Pesos_Decisao!$B$5:$J$5))</f>
        <v/>
      </c>
      <c r="F278" s="4" t="str">
        <f>IF(Variaveis!A278="","",SUMPRODUCT(N(Variaveis!B278:J278),Pesos_Decisao!$B$6:$J$6))</f>
        <v/>
      </c>
      <c r="G278" s="4" t="str">
        <f>IF(Variaveis!A278="","",SUMPRODUCT(N(Variaveis!B278:J278),Pesos_Decisao!$B$7:$J$7))</f>
        <v/>
      </c>
      <c r="H278" s="4" t="str">
        <f>IF(Variaveis!A278="","",SUMPRODUCT(N(Variaveis!B278:J278),Pesos_Decisao!$B$8:$J$8))</f>
        <v/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tr">
        <f>IF(Variaveis!A279="","",Variaveis!A279)</f>
        <v/>
      </c>
      <c r="B279" s="4" t="str">
        <f>IF(Variaveis!A279="","",SUMPRODUCT(N(Variaveis!B279:J279),Pesos_Decisao!$B$2:$J$2))</f>
        <v/>
      </c>
      <c r="C279" s="4" t="str">
        <f>IF(Variaveis!A279="","",SUMPRODUCT(N(Variaveis!B279:J279),Pesos_Decisao!$B$3:$J$3))</f>
        <v/>
      </c>
      <c r="D279" s="4" t="str">
        <f>IF(Variaveis!A279="","",SUMPRODUCT(N(Variaveis!B279:J279),Pesos_Decisao!$B$4:$J$4))</f>
        <v/>
      </c>
      <c r="E279" s="4" t="str">
        <f>IF(Variaveis!A279="","",SUMPRODUCT(N(Variaveis!B279:J279),Pesos_Decisao!$B$5:$J$5))</f>
        <v/>
      </c>
      <c r="F279" s="4" t="str">
        <f>IF(Variaveis!A279="","",SUMPRODUCT(N(Variaveis!B279:J279),Pesos_Decisao!$B$6:$J$6))</f>
        <v/>
      </c>
      <c r="G279" s="4" t="str">
        <f>IF(Variaveis!A279="","",SUMPRODUCT(N(Variaveis!B279:J279),Pesos_Decisao!$B$7:$J$7))</f>
        <v/>
      </c>
      <c r="H279" s="4" t="str">
        <f>IF(Variaveis!A279="","",SUMPRODUCT(N(Variaveis!B279:J279),Pesos_Decisao!$B$8:$J$8))</f>
        <v/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tr">
        <f>IF(Variaveis!A280="","",Variaveis!A280)</f>
        <v/>
      </c>
      <c r="B280" s="4" t="str">
        <f>IF(Variaveis!A280="","",SUMPRODUCT(N(Variaveis!B280:J280),Pesos_Decisao!$B$2:$J$2))</f>
        <v/>
      </c>
      <c r="C280" s="4" t="str">
        <f>IF(Variaveis!A280="","",SUMPRODUCT(N(Variaveis!B280:J280),Pesos_Decisao!$B$3:$J$3))</f>
        <v/>
      </c>
      <c r="D280" s="4" t="str">
        <f>IF(Variaveis!A280="","",SUMPRODUCT(N(Variaveis!B280:J280),Pesos_Decisao!$B$4:$J$4))</f>
        <v/>
      </c>
      <c r="E280" s="4" t="str">
        <f>IF(Variaveis!A280="","",SUMPRODUCT(N(Variaveis!B280:J280),Pesos_Decisao!$B$5:$J$5))</f>
        <v/>
      </c>
      <c r="F280" s="4" t="str">
        <f>IF(Variaveis!A280="","",SUMPRODUCT(N(Variaveis!B280:J280),Pesos_Decisao!$B$6:$J$6))</f>
        <v/>
      </c>
      <c r="G280" s="4" t="str">
        <f>IF(Variaveis!A280="","",SUMPRODUCT(N(Variaveis!B280:J280),Pesos_Decisao!$B$7:$J$7))</f>
        <v/>
      </c>
      <c r="H280" s="4" t="str">
        <f>IF(Variaveis!A280="","",SUMPRODUCT(N(Variaveis!B280:J280),Pesos_Decisao!$B$8:$J$8))</f>
        <v/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tr">
        <f>IF(Variaveis!A281="","",Variaveis!A281)</f>
        <v/>
      </c>
      <c r="B281" s="4" t="str">
        <f>IF(Variaveis!A281="","",SUMPRODUCT(N(Variaveis!B281:J281),Pesos_Decisao!$B$2:$J$2))</f>
        <v/>
      </c>
      <c r="C281" s="4" t="str">
        <f>IF(Variaveis!A281="","",SUMPRODUCT(N(Variaveis!B281:J281),Pesos_Decisao!$B$3:$J$3))</f>
        <v/>
      </c>
      <c r="D281" s="4" t="str">
        <f>IF(Variaveis!A281="","",SUMPRODUCT(N(Variaveis!B281:J281),Pesos_Decisao!$B$4:$J$4))</f>
        <v/>
      </c>
      <c r="E281" s="4" t="str">
        <f>IF(Variaveis!A281="","",SUMPRODUCT(N(Variaveis!B281:J281),Pesos_Decisao!$B$5:$J$5))</f>
        <v/>
      </c>
      <c r="F281" s="4" t="str">
        <f>IF(Variaveis!A281="","",SUMPRODUCT(N(Variaveis!B281:J281),Pesos_Decisao!$B$6:$J$6))</f>
        <v/>
      </c>
      <c r="G281" s="4" t="str">
        <f>IF(Variaveis!A281="","",SUMPRODUCT(N(Variaveis!B281:J281),Pesos_Decisao!$B$7:$J$7))</f>
        <v/>
      </c>
      <c r="H281" s="4" t="str">
        <f>IF(Variaveis!A281="","",SUMPRODUCT(N(Variaveis!B281:J281),Pesos_Decisao!$B$8:$J$8))</f>
        <v/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tr">
        <f>IF(Variaveis!A282="","",Variaveis!A282)</f>
        <v/>
      </c>
      <c r="B282" s="4" t="str">
        <f>IF(Variaveis!A282="","",SUMPRODUCT(N(Variaveis!B282:J282),Pesos_Decisao!$B$2:$J$2))</f>
        <v/>
      </c>
      <c r="C282" s="4" t="str">
        <f>IF(Variaveis!A282="","",SUMPRODUCT(N(Variaveis!B282:J282),Pesos_Decisao!$B$3:$J$3))</f>
        <v/>
      </c>
      <c r="D282" s="4" t="str">
        <f>IF(Variaveis!A282="","",SUMPRODUCT(N(Variaveis!B282:J282),Pesos_Decisao!$B$4:$J$4))</f>
        <v/>
      </c>
      <c r="E282" s="4" t="str">
        <f>IF(Variaveis!A282="","",SUMPRODUCT(N(Variaveis!B282:J282),Pesos_Decisao!$B$5:$J$5))</f>
        <v/>
      </c>
      <c r="F282" s="4" t="str">
        <f>IF(Variaveis!A282="","",SUMPRODUCT(N(Variaveis!B282:J282),Pesos_Decisao!$B$6:$J$6))</f>
        <v/>
      </c>
      <c r="G282" s="4" t="str">
        <f>IF(Variaveis!A282="","",SUMPRODUCT(N(Variaveis!B282:J282),Pesos_Decisao!$B$7:$J$7))</f>
        <v/>
      </c>
      <c r="H282" s="4" t="str">
        <f>IF(Variaveis!A282="","",SUMPRODUCT(N(Variaveis!B282:J282),Pesos_Decisao!$B$8:$J$8))</f>
        <v/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tr">
        <f>IF(Variaveis!A283="","",Variaveis!A283)</f>
        <v/>
      </c>
      <c r="B283" s="4" t="str">
        <f>IF(Variaveis!A283="","",SUMPRODUCT(N(Variaveis!B283:J283),Pesos_Decisao!$B$2:$J$2))</f>
        <v/>
      </c>
      <c r="C283" s="4" t="str">
        <f>IF(Variaveis!A283="","",SUMPRODUCT(N(Variaveis!B283:J283),Pesos_Decisao!$B$3:$J$3))</f>
        <v/>
      </c>
      <c r="D283" s="4" t="str">
        <f>IF(Variaveis!A283="","",SUMPRODUCT(N(Variaveis!B283:J283),Pesos_Decisao!$B$4:$J$4))</f>
        <v/>
      </c>
      <c r="E283" s="4" t="str">
        <f>IF(Variaveis!A283="","",SUMPRODUCT(N(Variaveis!B283:J283),Pesos_Decisao!$B$5:$J$5))</f>
        <v/>
      </c>
      <c r="F283" s="4" t="str">
        <f>IF(Variaveis!A283="","",SUMPRODUCT(N(Variaveis!B283:J283),Pesos_Decisao!$B$6:$J$6))</f>
        <v/>
      </c>
      <c r="G283" s="4" t="str">
        <f>IF(Variaveis!A283="","",SUMPRODUCT(N(Variaveis!B283:J283),Pesos_Decisao!$B$7:$J$7))</f>
        <v/>
      </c>
      <c r="H283" s="4" t="str">
        <f>IF(Variaveis!A283="","",SUMPRODUCT(N(Variaveis!B283:J283),Pesos_Decisao!$B$8:$J$8))</f>
        <v/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tr">
        <f>IF(Variaveis!A284="","",Variaveis!A284)</f>
        <v/>
      </c>
      <c r="B284" s="4" t="str">
        <f>IF(Variaveis!A284="","",SUMPRODUCT(N(Variaveis!B284:J284),Pesos_Decisao!$B$2:$J$2))</f>
        <v/>
      </c>
      <c r="C284" s="4" t="str">
        <f>IF(Variaveis!A284="","",SUMPRODUCT(N(Variaveis!B284:J284),Pesos_Decisao!$B$3:$J$3))</f>
        <v/>
      </c>
      <c r="D284" s="4" t="str">
        <f>IF(Variaveis!A284="","",SUMPRODUCT(N(Variaveis!B284:J284),Pesos_Decisao!$B$4:$J$4))</f>
        <v/>
      </c>
      <c r="E284" s="4" t="str">
        <f>IF(Variaveis!A284="","",SUMPRODUCT(N(Variaveis!B284:J284),Pesos_Decisao!$B$5:$J$5))</f>
        <v/>
      </c>
      <c r="F284" s="4" t="str">
        <f>IF(Variaveis!A284="","",SUMPRODUCT(N(Variaveis!B284:J284),Pesos_Decisao!$B$6:$J$6))</f>
        <v/>
      </c>
      <c r="G284" s="4" t="str">
        <f>IF(Variaveis!A284="","",SUMPRODUCT(N(Variaveis!B284:J284),Pesos_Decisao!$B$7:$J$7))</f>
        <v/>
      </c>
      <c r="H284" s="4" t="str">
        <f>IF(Variaveis!A284="","",SUMPRODUCT(N(Variaveis!B284:J284),Pesos_Decisao!$B$8:$J$8))</f>
        <v/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tr">
        <f>IF(Variaveis!A285="","",Variaveis!A285)</f>
        <v/>
      </c>
      <c r="B285" s="4" t="str">
        <f>IF(Variaveis!A285="","",SUMPRODUCT(N(Variaveis!B285:J285),Pesos_Decisao!$B$2:$J$2))</f>
        <v/>
      </c>
      <c r="C285" s="4" t="str">
        <f>IF(Variaveis!A285="","",SUMPRODUCT(N(Variaveis!B285:J285),Pesos_Decisao!$B$3:$J$3))</f>
        <v/>
      </c>
      <c r="D285" s="4" t="str">
        <f>IF(Variaveis!A285="","",SUMPRODUCT(N(Variaveis!B285:J285),Pesos_Decisao!$B$4:$J$4))</f>
        <v/>
      </c>
      <c r="E285" s="4" t="str">
        <f>IF(Variaveis!A285="","",SUMPRODUCT(N(Variaveis!B285:J285),Pesos_Decisao!$B$5:$J$5))</f>
        <v/>
      </c>
      <c r="F285" s="4" t="str">
        <f>IF(Variaveis!A285="","",SUMPRODUCT(N(Variaveis!B285:J285),Pesos_Decisao!$B$6:$J$6))</f>
        <v/>
      </c>
      <c r="G285" s="4" t="str">
        <f>IF(Variaveis!A285="","",SUMPRODUCT(N(Variaveis!B285:J285),Pesos_Decisao!$B$7:$J$7))</f>
        <v/>
      </c>
      <c r="H285" s="4" t="str">
        <f>IF(Variaveis!A285="","",SUMPRODUCT(N(Variaveis!B285:J285),Pesos_Decisao!$B$8:$J$8))</f>
        <v/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tr">
        <f>IF(Variaveis!A286="","",Variaveis!A286)</f>
        <v/>
      </c>
      <c r="B286" s="4" t="str">
        <f>IF(Variaveis!A286="","",SUMPRODUCT(N(Variaveis!B286:J286),Pesos_Decisao!$B$2:$J$2))</f>
        <v/>
      </c>
      <c r="C286" s="4" t="str">
        <f>IF(Variaveis!A286="","",SUMPRODUCT(N(Variaveis!B286:J286),Pesos_Decisao!$B$3:$J$3))</f>
        <v/>
      </c>
      <c r="D286" s="4" t="str">
        <f>IF(Variaveis!A286="","",SUMPRODUCT(N(Variaveis!B286:J286),Pesos_Decisao!$B$4:$J$4))</f>
        <v/>
      </c>
      <c r="E286" s="4" t="str">
        <f>IF(Variaveis!A286="","",SUMPRODUCT(N(Variaveis!B286:J286),Pesos_Decisao!$B$5:$J$5))</f>
        <v/>
      </c>
      <c r="F286" s="4" t="str">
        <f>IF(Variaveis!A286="","",SUMPRODUCT(N(Variaveis!B286:J286),Pesos_Decisao!$B$6:$J$6))</f>
        <v/>
      </c>
      <c r="G286" s="4" t="str">
        <f>IF(Variaveis!A286="","",SUMPRODUCT(N(Variaveis!B286:J286),Pesos_Decisao!$B$7:$J$7))</f>
        <v/>
      </c>
      <c r="H286" s="4" t="str">
        <f>IF(Variaveis!A286="","",SUMPRODUCT(N(Variaveis!B286:J286),Pesos_Decisao!$B$8:$J$8))</f>
        <v/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tr">
        <f>IF(Variaveis!A287="","",Variaveis!A287)</f>
        <v/>
      </c>
      <c r="B287" s="4" t="str">
        <f>IF(Variaveis!A287="","",SUMPRODUCT(N(Variaveis!B287:J287),Pesos_Decisao!$B$2:$J$2))</f>
        <v/>
      </c>
      <c r="C287" s="4" t="str">
        <f>IF(Variaveis!A287="","",SUMPRODUCT(N(Variaveis!B287:J287),Pesos_Decisao!$B$3:$J$3))</f>
        <v/>
      </c>
      <c r="D287" s="4" t="str">
        <f>IF(Variaveis!A287="","",SUMPRODUCT(N(Variaveis!B287:J287),Pesos_Decisao!$B$4:$J$4))</f>
        <v/>
      </c>
      <c r="E287" s="4" t="str">
        <f>IF(Variaveis!A287="","",SUMPRODUCT(N(Variaveis!B287:J287),Pesos_Decisao!$B$5:$J$5))</f>
        <v/>
      </c>
      <c r="F287" s="4" t="str">
        <f>IF(Variaveis!A287="","",SUMPRODUCT(N(Variaveis!B287:J287),Pesos_Decisao!$B$6:$J$6))</f>
        <v/>
      </c>
      <c r="G287" s="4" t="str">
        <f>IF(Variaveis!A287="","",SUMPRODUCT(N(Variaveis!B287:J287),Pesos_Decisao!$B$7:$J$7))</f>
        <v/>
      </c>
      <c r="H287" s="4" t="str">
        <f>IF(Variaveis!A287="","",SUMPRODUCT(N(Variaveis!B287:J287),Pesos_Decisao!$B$8:$J$8))</f>
        <v/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tr">
        <f>IF(Variaveis!A288="","",Variaveis!A288)</f>
        <v/>
      </c>
      <c r="B288" s="4" t="str">
        <f>IF(Variaveis!A288="","",SUMPRODUCT(N(Variaveis!B288:J288),Pesos_Decisao!$B$2:$J$2))</f>
        <v/>
      </c>
      <c r="C288" s="4" t="str">
        <f>IF(Variaveis!A288="","",SUMPRODUCT(N(Variaveis!B288:J288),Pesos_Decisao!$B$3:$J$3))</f>
        <v/>
      </c>
      <c r="D288" s="4" t="str">
        <f>IF(Variaveis!A288="","",SUMPRODUCT(N(Variaveis!B288:J288),Pesos_Decisao!$B$4:$J$4))</f>
        <v/>
      </c>
      <c r="E288" s="4" t="str">
        <f>IF(Variaveis!A288="","",SUMPRODUCT(N(Variaveis!B288:J288),Pesos_Decisao!$B$5:$J$5))</f>
        <v/>
      </c>
      <c r="F288" s="4" t="str">
        <f>IF(Variaveis!A288="","",SUMPRODUCT(N(Variaveis!B288:J288),Pesos_Decisao!$B$6:$J$6))</f>
        <v/>
      </c>
      <c r="G288" s="4" t="str">
        <f>IF(Variaveis!A288="","",SUMPRODUCT(N(Variaveis!B288:J288),Pesos_Decisao!$B$7:$J$7))</f>
        <v/>
      </c>
      <c r="H288" s="4" t="str">
        <f>IF(Variaveis!A288="","",SUMPRODUCT(N(Variaveis!B288:J288),Pesos_Decisao!$B$8:$J$8))</f>
        <v/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tr">
        <f>IF(Variaveis!A289="","",Variaveis!A289)</f>
        <v/>
      </c>
      <c r="B289" s="4" t="str">
        <f>IF(Variaveis!A289="","",SUMPRODUCT(N(Variaveis!B289:J289),Pesos_Decisao!$B$2:$J$2))</f>
        <v/>
      </c>
      <c r="C289" s="4" t="str">
        <f>IF(Variaveis!A289="","",SUMPRODUCT(N(Variaveis!B289:J289),Pesos_Decisao!$B$3:$J$3))</f>
        <v/>
      </c>
      <c r="D289" s="4" t="str">
        <f>IF(Variaveis!A289="","",SUMPRODUCT(N(Variaveis!B289:J289),Pesos_Decisao!$B$4:$J$4))</f>
        <v/>
      </c>
      <c r="E289" s="4" t="str">
        <f>IF(Variaveis!A289="","",SUMPRODUCT(N(Variaveis!B289:J289),Pesos_Decisao!$B$5:$J$5))</f>
        <v/>
      </c>
      <c r="F289" s="4" t="str">
        <f>IF(Variaveis!A289="","",SUMPRODUCT(N(Variaveis!B289:J289),Pesos_Decisao!$B$6:$J$6))</f>
        <v/>
      </c>
      <c r="G289" s="4" t="str">
        <f>IF(Variaveis!A289="","",SUMPRODUCT(N(Variaveis!B289:J289),Pesos_Decisao!$B$7:$J$7))</f>
        <v/>
      </c>
      <c r="H289" s="4" t="str">
        <f>IF(Variaveis!A289="","",SUMPRODUCT(N(Variaveis!B289:J289),Pesos_Decisao!$B$8:$J$8))</f>
        <v/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tr">
        <f>IF(Variaveis!A290="","",Variaveis!A290)</f>
        <v/>
      </c>
      <c r="B290" s="4" t="str">
        <f>IF(Variaveis!A290="","",SUMPRODUCT(N(Variaveis!B290:J290),Pesos_Decisao!$B$2:$J$2))</f>
        <v/>
      </c>
      <c r="C290" s="4" t="str">
        <f>IF(Variaveis!A290="","",SUMPRODUCT(N(Variaveis!B290:J290),Pesos_Decisao!$B$3:$J$3))</f>
        <v/>
      </c>
      <c r="D290" s="4" t="str">
        <f>IF(Variaveis!A290="","",SUMPRODUCT(N(Variaveis!B290:J290),Pesos_Decisao!$B$4:$J$4))</f>
        <v/>
      </c>
      <c r="E290" s="4" t="str">
        <f>IF(Variaveis!A290="","",SUMPRODUCT(N(Variaveis!B290:J290),Pesos_Decisao!$B$5:$J$5))</f>
        <v/>
      </c>
      <c r="F290" s="4" t="str">
        <f>IF(Variaveis!A290="","",SUMPRODUCT(N(Variaveis!B290:J290),Pesos_Decisao!$B$6:$J$6))</f>
        <v/>
      </c>
      <c r="G290" s="4" t="str">
        <f>IF(Variaveis!A290="","",SUMPRODUCT(N(Variaveis!B290:J290),Pesos_Decisao!$B$7:$J$7))</f>
        <v/>
      </c>
      <c r="H290" s="4" t="str">
        <f>IF(Variaveis!A290="","",SUMPRODUCT(N(Variaveis!B290:J290),Pesos_Decisao!$B$8:$J$8))</f>
        <v/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tr">
        <f>IF(Variaveis!A291="","",Variaveis!A291)</f>
        <v/>
      </c>
      <c r="B291" s="4" t="str">
        <f>IF(Variaveis!A291="","",SUMPRODUCT(N(Variaveis!B291:J291),Pesos_Decisao!$B$2:$J$2))</f>
        <v/>
      </c>
      <c r="C291" s="4" t="str">
        <f>IF(Variaveis!A291="","",SUMPRODUCT(N(Variaveis!B291:J291),Pesos_Decisao!$B$3:$J$3))</f>
        <v/>
      </c>
      <c r="D291" s="4" t="str">
        <f>IF(Variaveis!A291="","",SUMPRODUCT(N(Variaveis!B291:J291),Pesos_Decisao!$B$4:$J$4))</f>
        <v/>
      </c>
      <c r="E291" s="4" t="str">
        <f>IF(Variaveis!A291="","",SUMPRODUCT(N(Variaveis!B291:J291),Pesos_Decisao!$B$5:$J$5))</f>
        <v/>
      </c>
      <c r="F291" s="4" t="str">
        <f>IF(Variaveis!A291="","",SUMPRODUCT(N(Variaveis!B291:J291),Pesos_Decisao!$B$6:$J$6))</f>
        <v/>
      </c>
      <c r="G291" s="4" t="str">
        <f>IF(Variaveis!A291="","",SUMPRODUCT(N(Variaveis!B291:J291),Pesos_Decisao!$B$7:$J$7))</f>
        <v/>
      </c>
      <c r="H291" s="4" t="str">
        <f>IF(Variaveis!A291="","",SUMPRODUCT(N(Variaveis!B291:J291),Pesos_Decisao!$B$8:$J$8))</f>
        <v/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tr">
        <f>IF(Variaveis!A292="","",Variaveis!A292)</f>
        <v/>
      </c>
      <c r="B292" s="4" t="str">
        <f>IF(Variaveis!A292="","",SUMPRODUCT(N(Variaveis!B292:J292),Pesos_Decisao!$B$2:$J$2))</f>
        <v/>
      </c>
      <c r="C292" s="4" t="str">
        <f>IF(Variaveis!A292="","",SUMPRODUCT(N(Variaveis!B292:J292),Pesos_Decisao!$B$3:$J$3))</f>
        <v/>
      </c>
      <c r="D292" s="4" t="str">
        <f>IF(Variaveis!A292="","",SUMPRODUCT(N(Variaveis!B292:J292),Pesos_Decisao!$B$4:$J$4))</f>
        <v/>
      </c>
      <c r="E292" s="4" t="str">
        <f>IF(Variaveis!A292="","",SUMPRODUCT(N(Variaveis!B292:J292),Pesos_Decisao!$B$5:$J$5))</f>
        <v/>
      </c>
      <c r="F292" s="4" t="str">
        <f>IF(Variaveis!A292="","",SUMPRODUCT(N(Variaveis!B292:J292),Pesos_Decisao!$B$6:$J$6))</f>
        <v/>
      </c>
      <c r="G292" s="4" t="str">
        <f>IF(Variaveis!A292="","",SUMPRODUCT(N(Variaveis!B292:J292),Pesos_Decisao!$B$7:$J$7))</f>
        <v/>
      </c>
      <c r="H292" s="4" t="str">
        <f>IF(Variaveis!A292="","",SUMPRODUCT(N(Variaveis!B292:J292),Pesos_Decisao!$B$8:$J$8))</f>
        <v/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tr">
        <f>IF(Variaveis!A293="","",Variaveis!A293)</f>
        <v/>
      </c>
      <c r="B293" s="4" t="str">
        <f>IF(Variaveis!A293="","",SUMPRODUCT(N(Variaveis!B293:J293),Pesos_Decisao!$B$2:$J$2))</f>
        <v/>
      </c>
      <c r="C293" s="4" t="str">
        <f>IF(Variaveis!A293="","",SUMPRODUCT(N(Variaveis!B293:J293),Pesos_Decisao!$B$3:$J$3))</f>
        <v/>
      </c>
      <c r="D293" s="4" t="str">
        <f>IF(Variaveis!A293="","",SUMPRODUCT(N(Variaveis!B293:J293),Pesos_Decisao!$B$4:$J$4))</f>
        <v/>
      </c>
      <c r="E293" s="4" t="str">
        <f>IF(Variaveis!A293="","",SUMPRODUCT(N(Variaveis!B293:J293),Pesos_Decisao!$B$5:$J$5))</f>
        <v/>
      </c>
      <c r="F293" s="4" t="str">
        <f>IF(Variaveis!A293="","",SUMPRODUCT(N(Variaveis!B293:J293),Pesos_Decisao!$B$6:$J$6))</f>
        <v/>
      </c>
      <c r="G293" s="4" t="str">
        <f>IF(Variaveis!A293="","",SUMPRODUCT(N(Variaveis!B293:J293),Pesos_Decisao!$B$7:$J$7))</f>
        <v/>
      </c>
      <c r="H293" s="4" t="str">
        <f>IF(Variaveis!A293="","",SUMPRODUCT(N(Variaveis!B293:J293),Pesos_Decisao!$B$8:$J$8))</f>
        <v/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tr">
        <f>IF(Variaveis!A294="","",Variaveis!A294)</f>
        <v/>
      </c>
      <c r="B294" s="4" t="str">
        <f>IF(Variaveis!A294="","",SUMPRODUCT(N(Variaveis!B294:J294),Pesos_Decisao!$B$2:$J$2))</f>
        <v/>
      </c>
      <c r="C294" s="4" t="str">
        <f>IF(Variaveis!A294="","",SUMPRODUCT(N(Variaveis!B294:J294),Pesos_Decisao!$B$3:$J$3))</f>
        <v/>
      </c>
      <c r="D294" s="4" t="str">
        <f>IF(Variaveis!A294="","",SUMPRODUCT(N(Variaveis!B294:J294),Pesos_Decisao!$B$4:$J$4))</f>
        <v/>
      </c>
      <c r="E294" s="4" t="str">
        <f>IF(Variaveis!A294="","",SUMPRODUCT(N(Variaveis!B294:J294),Pesos_Decisao!$B$5:$J$5))</f>
        <v/>
      </c>
      <c r="F294" s="4" t="str">
        <f>IF(Variaveis!A294="","",SUMPRODUCT(N(Variaveis!B294:J294),Pesos_Decisao!$B$6:$J$6))</f>
        <v/>
      </c>
      <c r="G294" s="4" t="str">
        <f>IF(Variaveis!A294="","",SUMPRODUCT(N(Variaveis!B294:J294),Pesos_Decisao!$B$7:$J$7))</f>
        <v/>
      </c>
      <c r="H294" s="4" t="str">
        <f>IF(Variaveis!A294="","",SUMPRODUCT(N(Variaveis!B294:J294),Pesos_Decisao!$B$8:$J$8))</f>
        <v/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tr">
        <f>IF(Variaveis!A295="","",Variaveis!A295)</f>
        <v/>
      </c>
      <c r="B295" s="4" t="str">
        <f>IF(Variaveis!A295="","",SUMPRODUCT(N(Variaveis!B295:J295),Pesos_Decisao!$B$2:$J$2))</f>
        <v/>
      </c>
      <c r="C295" s="4" t="str">
        <f>IF(Variaveis!A295="","",SUMPRODUCT(N(Variaveis!B295:J295),Pesos_Decisao!$B$3:$J$3))</f>
        <v/>
      </c>
      <c r="D295" s="4" t="str">
        <f>IF(Variaveis!A295="","",SUMPRODUCT(N(Variaveis!B295:J295),Pesos_Decisao!$B$4:$J$4))</f>
        <v/>
      </c>
      <c r="E295" s="4" t="str">
        <f>IF(Variaveis!A295="","",SUMPRODUCT(N(Variaveis!B295:J295),Pesos_Decisao!$B$5:$J$5))</f>
        <v/>
      </c>
      <c r="F295" s="4" t="str">
        <f>IF(Variaveis!A295="","",SUMPRODUCT(N(Variaveis!B295:J295),Pesos_Decisao!$B$6:$J$6))</f>
        <v/>
      </c>
      <c r="G295" s="4" t="str">
        <f>IF(Variaveis!A295="","",SUMPRODUCT(N(Variaveis!B295:J295),Pesos_Decisao!$B$7:$J$7))</f>
        <v/>
      </c>
      <c r="H295" s="4" t="str">
        <f>IF(Variaveis!A295="","",SUMPRODUCT(N(Variaveis!B295:J295),Pesos_Decisao!$B$8:$J$8))</f>
        <v/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tr">
        <f>IF(Variaveis!A296="","",Variaveis!A296)</f>
        <v/>
      </c>
      <c r="B296" s="4" t="str">
        <f>IF(Variaveis!A296="","",SUMPRODUCT(N(Variaveis!B296:J296),Pesos_Decisao!$B$2:$J$2))</f>
        <v/>
      </c>
      <c r="C296" s="4" t="str">
        <f>IF(Variaveis!A296="","",SUMPRODUCT(N(Variaveis!B296:J296),Pesos_Decisao!$B$3:$J$3))</f>
        <v/>
      </c>
      <c r="D296" s="4" t="str">
        <f>IF(Variaveis!A296="","",SUMPRODUCT(N(Variaveis!B296:J296),Pesos_Decisao!$B$4:$J$4))</f>
        <v/>
      </c>
      <c r="E296" s="4" t="str">
        <f>IF(Variaveis!A296="","",SUMPRODUCT(N(Variaveis!B296:J296),Pesos_Decisao!$B$5:$J$5))</f>
        <v/>
      </c>
      <c r="F296" s="4" t="str">
        <f>IF(Variaveis!A296="","",SUMPRODUCT(N(Variaveis!B296:J296),Pesos_Decisao!$B$6:$J$6))</f>
        <v/>
      </c>
      <c r="G296" s="4" t="str">
        <f>IF(Variaveis!A296="","",SUMPRODUCT(N(Variaveis!B296:J296),Pesos_Decisao!$B$7:$J$7))</f>
        <v/>
      </c>
      <c r="H296" s="4" t="str">
        <f>IF(Variaveis!A296="","",SUMPRODUCT(N(Variaveis!B296:J296),Pesos_Decisao!$B$8:$J$8))</f>
        <v/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tr">
        <f>IF(Variaveis!A297="","",Variaveis!A297)</f>
        <v/>
      </c>
      <c r="B297" s="4" t="str">
        <f>IF(Variaveis!A297="","",SUMPRODUCT(N(Variaveis!B297:J297),Pesos_Decisao!$B$2:$J$2))</f>
        <v/>
      </c>
      <c r="C297" s="4" t="str">
        <f>IF(Variaveis!A297="","",SUMPRODUCT(N(Variaveis!B297:J297),Pesos_Decisao!$B$3:$J$3))</f>
        <v/>
      </c>
      <c r="D297" s="4" t="str">
        <f>IF(Variaveis!A297="","",SUMPRODUCT(N(Variaveis!B297:J297),Pesos_Decisao!$B$4:$J$4))</f>
        <v/>
      </c>
      <c r="E297" s="4" t="str">
        <f>IF(Variaveis!A297="","",SUMPRODUCT(N(Variaveis!B297:J297),Pesos_Decisao!$B$5:$J$5))</f>
        <v/>
      </c>
      <c r="F297" s="4" t="str">
        <f>IF(Variaveis!A297="","",SUMPRODUCT(N(Variaveis!B297:J297),Pesos_Decisao!$B$6:$J$6))</f>
        <v/>
      </c>
      <c r="G297" s="4" t="str">
        <f>IF(Variaveis!A297="","",SUMPRODUCT(N(Variaveis!B297:J297),Pesos_Decisao!$B$7:$J$7))</f>
        <v/>
      </c>
      <c r="H297" s="4" t="str">
        <f>IF(Variaveis!A297="","",SUMPRODUCT(N(Variaveis!B297:J297),Pesos_Decisao!$B$8:$J$8))</f>
        <v/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tr">
        <f>IF(Variaveis!A298="","",Variaveis!A298)</f>
        <v/>
      </c>
      <c r="B298" s="4" t="str">
        <f>IF(Variaveis!A298="","",SUMPRODUCT(N(Variaveis!B298:J298),Pesos_Decisao!$B$2:$J$2))</f>
        <v/>
      </c>
      <c r="C298" s="4" t="str">
        <f>IF(Variaveis!A298="","",SUMPRODUCT(N(Variaveis!B298:J298),Pesos_Decisao!$B$3:$J$3))</f>
        <v/>
      </c>
      <c r="D298" s="4" t="str">
        <f>IF(Variaveis!A298="","",SUMPRODUCT(N(Variaveis!B298:J298),Pesos_Decisao!$B$4:$J$4))</f>
        <v/>
      </c>
      <c r="E298" s="4" t="str">
        <f>IF(Variaveis!A298="","",SUMPRODUCT(N(Variaveis!B298:J298),Pesos_Decisao!$B$5:$J$5))</f>
        <v/>
      </c>
      <c r="F298" s="4" t="str">
        <f>IF(Variaveis!A298="","",SUMPRODUCT(N(Variaveis!B298:J298),Pesos_Decisao!$B$6:$J$6))</f>
        <v/>
      </c>
      <c r="G298" s="4" t="str">
        <f>IF(Variaveis!A298="","",SUMPRODUCT(N(Variaveis!B298:J298),Pesos_Decisao!$B$7:$J$7))</f>
        <v/>
      </c>
      <c r="H298" s="4" t="str">
        <f>IF(Variaveis!A298="","",SUMPRODUCT(N(Variaveis!B298:J298),Pesos_Decisao!$B$8:$J$8))</f>
        <v/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tr">
        <f>IF(Variaveis!A299="","",Variaveis!A299)</f>
        <v/>
      </c>
      <c r="B299" s="4" t="str">
        <f>IF(Variaveis!A299="","",SUMPRODUCT(N(Variaveis!B299:J299),Pesos_Decisao!$B$2:$J$2))</f>
        <v/>
      </c>
      <c r="C299" s="4" t="str">
        <f>IF(Variaveis!A299="","",SUMPRODUCT(N(Variaveis!B299:J299),Pesos_Decisao!$B$3:$J$3))</f>
        <v/>
      </c>
      <c r="D299" s="4" t="str">
        <f>IF(Variaveis!A299="","",SUMPRODUCT(N(Variaveis!B299:J299),Pesos_Decisao!$B$4:$J$4))</f>
        <v/>
      </c>
      <c r="E299" s="4" t="str">
        <f>IF(Variaveis!A299="","",SUMPRODUCT(N(Variaveis!B299:J299),Pesos_Decisao!$B$5:$J$5))</f>
        <v/>
      </c>
      <c r="F299" s="4" t="str">
        <f>IF(Variaveis!A299="","",SUMPRODUCT(N(Variaveis!B299:J299),Pesos_Decisao!$B$6:$J$6))</f>
        <v/>
      </c>
      <c r="G299" s="4" t="str">
        <f>IF(Variaveis!A299="","",SUMPRODUCT(N(Variaveis!B299:J299),Pesos_Decisao!$B$7:$J$7))</f>
        <v/>
      </c>
      <c r="H299" s="4" t="str">
        <f>IF(Variaveis!A299="","",SUMPRODUCT(N(Variaveis!B299:J299),Pesos_Decisao!$B$8:$J$8))</f>
        <v/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tr">
        <f>IF(Variaveis!A300="","",Variaveis!A300)</f>
        <v/>
      </c>
      <c r="B300" s="4" t="str">
        <f>IF(Variaveis!A300="","",SUMPRODUCT(N(Variaveis!B300:J300),Pesos_Decisao!$B$2:$J$2))</f>
        <v/>
      </c>
      <c r="C300" s="4" t="str">
        <f>IF(Variaveis!A300="","",SUMPRODUCT(N(Variaveis!B300:J300),Pesos_Decisao!$B$3:$J$3))</f>
        <v/>
      </c>
      <c r="D300" s="4" t="str">
        <f>IF(Variaveis!A300="","",SUMPRODUCT(N(Variaveis!B300:J300),Pesos_Decisao!$B$4:$J$4))</f>
        <v/>
      </c>
      <c r="E300" s="4" t="str">
        <f>IF(Variaveis!A300="","",SUMPRODUCT(N(Variaveis!B300:J300),Pesos_Decisao!$B$5:$J$5))</f>
        <v/>
      </c>
      <c r="F300" s="4" t="str">
        <f>IF(Variaveis!A300="","",SUMPRODUCT(N(Variaveis!B300:J300),Pesos_Decisao!$B$6:$J$6))</f>
        <v/>
      </c>
      <c r="G300" s="4" t="str">
        <f>IF(Variaveis!A300="","",SUMPRODUCT(N(Variaveis!B300:J300),Pesos_Decisao!$B$7:$J$7))</f>
        <v/>
      </c>
      <c r="H300" s="4" t="str">
        <f>IF(Variaveis!A300="","",SUMPRODUCT(N(Variaveis!B300:J300),Pesos_Decisao!$B$8:$J$8))</f>
        <v/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tr">
        <f>IF(Variaveis!A301="","",Variaveis!A301)</f>
        <v/>
      </c>
      <c r="B301" s="4" t="str">
        <f>IF(Variaveis!A301="","",SUMPRODUCT(N(Variaveis!B301:J301),Pesos_Decisao!$B$2:$J$2))</f>
        <v/>
      </c>
      <c r="C301" s="4" t="str">
        <f>IF(Variaveis!A301="","",SUMPRODUCT(N(Variaveis!B301:J301),Pesos_Decisao!$B$3:$J$3))</f>
        <v/>
      </c>
      <c r="D301" s="4" t="str">
        <f>IF(Variaveis!A301="","",SUMPRODUCT(N(Variaveis!B301:J301),Pesos_Decisao!$B$4:$J$4))</f>
        <v/>
      </c>
      <c r="E301" s="4" t="str">
        <f>IF(Variaveis!A301="","",SUMPRODUCT(N(Variaveis!B301:J301),Pesos_Decisao!$B$5:$J$5))</f>
        <v/>
      </c>
      <c r="F301" s="4" t="str">
        <f>IF(Variaveis!A301="","",SUMPRODUCT(N(Variaveis!B301:J301),Pesos_Decisao!$B$6:$J$6))</f>
        <v/>
      </c>
      <c r="G301" s="4" t="str">
        <f>IF(Variaveis!A301="","",SUMPRODUCT(N(Variaveis!B301:J301),Pesos_Decisao!$B$7:$J$7))</f>
        <v/>
      </c>
      <c r="H301" s="4" t="str">
        <f>IF(Variaveis!A301="","",SUMPRODUCT(N(Variaveis!B301:J301),Pesos_Decisao!$B$8:$J$8))</f>
        <v/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tr">
        <f>IF(Variaveis!A302="","",Variaveis!A302)</f>
        <v/>
      </c>
      <c r="B302" s="4" t="str">
        <f>IF(Variaveis!A302="","",SUMPRODUCT(N(Variaveis!B302:J302),Pesos_Decisao!$B$2:$J$2))</f>
        <v/>
      </c>
      <c r="C302" s="4" t="str">
        <f>IF(Variaveis!A302="","",SUMPRODUCT(N(Variaveis!B302:J302),Pesos_Decisao!$B$3:$J$3))</f>
        <v/>
      </c>
      <c r="D302" s="4" t="str">
        <f>IF(Variaveis!A302="","",SUMPRODUCT(N(Variaveis!B302:J302),Pesos_Decisao!$B$4:$J$4))</f>
        <v/>
      </c>
      <c r="E302" s="4" t="str">
        <f>IF(Variaveis!A302="","",SUMPRODUCT(N(Variaveis!B302:J302),Pesos_Decisao!$B$5:$J$5))</f>
        <v/>
      </c>
      <c r="F302" s="4" t="str">
        <f>IF(Variaveis!A302="","",SUMPRODUCT(N(Variaveis!B302:J302),Pesos_Decisao!$B$6:$J$6))</f>
        <v/>
      </c>
      <c r="G302" s="4" t="str">
        <f>IF(Variaveis!A302="","",SUMPRODUCT(N(Variaveis!B302:J302),Pesos_Decisao!$B$7:$J$7))</f>
        <v/>
      </c>
      <c r="H302" s="4" t="str">
        <f>IF(Variaveis!A302="","",SUMPRODUCT(N(Variaveis!B302:J302),Pesos_Decisao!$B$8:$J$8))</f>
        <v/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tr">
        <f>IF(Variaveis!A303="","",Variaveis!A303)</f>
        <v/>
      </c>
      <c r="B303" s="4" t="str">
        <f>IF(Variaveis!A303="","",SUMPRODUCT(N(Variaveis!B303:J303),Pesos_Decisao!$B$2:$J$2))</f>
        <v/>
      </c>
      <c r="C303" s="4" t="str">
        <f>IF(Variaveis!A303="","",SUMPRODUCT(N(Variaveis!B303:J303),Pesos_Decisao!$B$3:$J$3))</f>
        <v/>
      </c>
      <c r="D303" s="4" t="str">
        <f>IF(Variaveis!A303="","",SUMPRODUCT(N(Variaveis!B303:J303),Pesos_Decisao!$B$4:$J$4))</f>
        <v/>
      </c>
      <c r="E303" s="4" t="str">
        <f>IF(Variaveis!A303="","",SUMPRODUCT(N(Variaveis!B303:J303),Pesos_Decisao!$B$5:$J$5))</f>
        <v/>
      </c>
      <c r="F303" s="4" t="str">
        <f>IF(Variaveis!A303="","",SUMPRODUCT(N(Variaveis!B303:J303),Pesos_Decisao!$B$6:$J$6))</f>
        <v/>
      </c>
      <c r="G303" s="4" t="str">
        <f>IF(Variaveis!A303="","",SUMPRODUCT(N(Variaveis!B303:J303),Pesos_Decisao!$B$7:$J$7))</f>
        <v/>
      </c>
      <c r="H303" s="4" t="str">
        <f>IF(Variaveis!A303="","",SUMPRODUCT(N(Variaveis!B303:J303),Pesos_Decisao!$B$8:$J$8))</f>
        <v/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tr">
        <f>IF(Variaveis!A304="","",Variaveis!A304)</f>
        <v/>
      </c>
      <c r="B304" s="4" t="str">
        <f>IF(Variaveis!A304="","",SUMPRODUCT(N(Variaveis!B304:J304),Pesos_Decisao!$B$2:$J$2))</f>
        <v/>
      </c>
      <c r="C304" s="4" t="str">
        <f>IF(Variaveis!A304="","",SUMPRODUCT(N(Variaveis!B304:J304),Pesos_Decisao!$B$3:$J$3))</f>
        <v/>
      </c>
      <c r="D304" s="4" t="str">
        <f>IF(Variaveis!A304="","",SUMPRODUCT(N(Variaveis!B304:J304),Pesos_Decisao!$B$4:$J$4))</f>
        <v/>
      </c>
      <c r="E304" s="4" t="str">
        <f>IF(Variaveis!A304="","",SUMPRODUCT(N(Variaveis!B304:J304),Pesos_Decisao!$B$5:$J$5))</f>
        <v/>
      </c>
      <c r="F304" s="4" t="str">
        <f>IF(Variaveis!A304="","",SUMPRODUCT(N(Variaveis!B304:J304),Pesos_Decisao!$B$6:$J$6))</f>
        <v/>
      </c>
      <c r="G304" s="4" t="str">
        <f>IF(Variaveis!A304="","",SUMPRODUCT(N(Variaveis!B304:J304),Pesos_Decisao!$B$7:$J$7))</f>
        <v/>
      </c>
      <c r="H304" s="4" t="str">
        <f>IF(Variaveis!A304="","",SUMPRODUCT(N(Variaveis!B304:J304),Pesos_Decisao!$B$8:$J$8))</f>
        <v/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tr">
        <f>IF(Variaveis!A305="","",Variaveis!A305)</f>
        <v/>
      </c>
      <c r="B305" s="4" t="str">
        <f>IF(Variaveis!A305="","",SUMPRODUCT(N(Variaveis!B305:J305),Pesos_Decisao!$B$2:$J$2))</f>
        <v/>
      </c>
      <c r="C305" s="4" t="str">
        <f>IF(Variaveis!A305="","",SUMPRODUCT(N(Variaveis!B305:J305),Pesos_Decisao!$B$3:$J$3))</f>
        <v/>
      </c>
      <c r="D305" s="4" t="str">
        <f>IF(Variaveis!A305="","",SUMPRODUCT(N(Variaveis!B305:J305),Pesos_Decisao!$B$4:$J$4))</f>
        <v/>
      </c>
      <c r="E305" s="4" t="str">
        <f>IF(Variaveis!A305="","",SUMPRODUCT(N(Variaveis!B305:J305),Pesos_Decisao!$B$5:$J$5))</f>
        <v/>
      </c>
      <c r="F305" s="4" t="str">
        <f>IF(Variaveis!A305="","",SUMPRODUCT(N(Variaveis!B305:J305),Pesos_Decisao!$B$6:$J$6))</f>
        <v/>
      </c>
      <c r="G305" s="4" t="str">
        <f>IF(Variaveis!A305="","",SUMPRODUCT(N(Variaveis!B305:J305),Pesos_Decisao!$B$7:$J$7))</f>
        <v/>
      </c>
      <c r="H305" s="4" t="str">
        <f>IF(Variaveis!A305="","",SUMPRODUCT(N(Variaveis!B305:J305),Pesos_Decisao!$B$8:$J$8))</f>
        <v/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tr">
        <f>IF(Variaveis!A306="","",Variaveis!A306)</f>
        <v/>
      </c>
      <c r="B306" s="4" t="str">
        <f>IF(Variaveis!A306="","",SUMPRODUCT(N(Variaveis!B306:J306),Pesos_Decisao!$B$2:$J$2))</f>
        <v/>
      </c>
      <c r="C306" s="4" t="str">
        <f>IF(Variaveis!A306="","",SUMPRODUCT(N(Variaveis!B306:J306),Pesos_Decisao!$B$3:$J$3))</f>
        <v/>
      </c>
      <c r="D306" s="4" t="str">
        <f>IF(Variaveis!A306="","",SUMPRODUCT(N(Variaveis!B306:J306),Pesos_Decisao!$B$4:$J$4))</f>
        <v/>
      </c>
      <c r="E306" s="4" t="str">
        <f>IF(Variaveis!A306="","",SUMPRODUCT(N(Variaveis!B306:J306),Pesos_Decisao!$B$5:$J$5))</f>
        <v/>
      </c>
      <c r="F306" s="4" t="str">
        <f>IF(Variaveis!A306="","",SUMPRODUCT(N(Variaveis!B306:J306),Pesos_Decisao!$B$6:$J$6))</f>
        <v/>
      </c>
      <c r="G306" s="4" t="str">
        <f>IF(Variaveis!A306="","",SUMPRODUCT(N(Variaveis!B306:J306),Pesos_Decisao!$B$7:$J$7))</f>
        <v/>
      </c>
      <c r="H306" s="4" t="str">
        <f>IF(Variaveis!A306="","",SUMPRODUCT(N(Variaveis!B306:J306),Pesos_Decisao!$B$8:$J$8))</f>
        <v/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tr">
        <f>IF(Variaveis!A307="","",Variaveis!A307)</f>
        <v/>
      </c>
      <c r="B307" s="4" t="str">
        <f>IF(Variaveis!A307="","",SUMPRODUCT(N(Variaveis!B307:J307),Pesos_Decisao!$B$2:$J$2))</f>
        <v/>
      </c>
      <c r="C307" s="4" t="str">
        <f>IF(Variaveis!A307="","",SUMPRODUCT(N(Variaveis!B307:J307),Pesos_Decisao!$B$3:$J$3))</f>
        <v/>
      </c>
      <c r="D307" s="4" t="str">
        <f>IF(Variaveis!A307="","",SUMPRODUCT(N(Variaveis!B307:J307),Pesos_Decisao!$B$4:$J$4))</f>
        <v/>
      </c>
      <c r="E307" s="4" t="str">
        <f>IF(Variaveis!A307="","",SUMPRODUCT(N(Variaveis!B307:J307),Pesos_Decisao!$B$5:$J$5))</f>
        <v/>
      </c>
      <c r="F307" s="4" t="str">
        <f>IF(Variaveis!A307="","",SUMPRODUCT(N(Variaveis!B307:J307),Pesos_Decisao!$B$6:$J$6))</f>
        <v/>
      </c>
      <c r="G307" s="4" t="str">
        <f>IF(Variaveis!A307="","",SUMPRODUCT(N(Variaveis!B307:J307),Pesos_Decisao!$B$7:$J$7))</f>
        <v/>
      </c>
      <c r="H307" s="4" t="str">
        <f>IF(Variaveis!A307="","",SUMPRODUCT(N(Variaveis!B307:J307),Pesos_Decisao!$B$8:$J$8))</f>
        <v/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tr">
        <f>IF(Variaveis!A308="","",Variaveis!A308)</f>
        <v/>
      </c>
      <c r="B308" s="4" t="str">
        <f>IF(Variaveis!A308="","",SUMPRODUCT(N(Variaveis!B308:J308),Pesos_Decisao!$B$2:$J$2))</f>
        <v/>
      </c>
      <c r="C308" s="4" t="str">
        <f>IF(Variaveis!A308="","",SUMPRODUCT(N(Variaveis!B308:J308),Pesos_Decisao!$B$3:$J$3))</f>
        <v/>
      </c>
      <c r="D308" s="4" t="str">
        <f>IF(Variaveis!A308="","",SUMPRODUCT(N(Variaveis!B308:J308),Pesos_Decisao!$B$4:$J$4))</f>
        <v/>
      </c>
      <c r="E308" s="4" t="str">
        <f>IF(Variaveis!A308="","",SUMPRODUCT(N(Variaveis!B308:J308),Pesos_Decisao!$B$5:$J$5))</f>
        <v/>
      </c>
      <c r="F308" s="4" t="str">
        <f>IF(Variaveis!A308="","",SUMPRODUCT(N(Variaveis!B308:J308),Pesos_Decisao!$B$6:$J$6))</f>
        <v/>
      </c>
      <c r="G308" s="4" t="str">
        <f>IF(Variaveis!A308="","",SUMPRODUCT(N(Variaveis!B308:J308),Pesos_Decisao!$B$7:$J$7))</f>
        <v/>
      </c>
      <c r="H308" s="4" t="str">
        <f>IF(Variaveis!A308="","",SUMPRODUCT(N(Variaveis!B308:J308),Pesos_Decisao!$B$8:$J$8))</f>
        <v/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tr">
        <f>IF(Variaveis!A309="","",Variaveis!A309)</f>
        <v/>
      </c>
      <c r="B309" s="4" t="str">
        <f>IF(Variaveis!A309="","",SUMPRODUCT(N(Variaveis!B309:J309),Pesos_Decisao!$B$2:$J$2))</f>
        <v/>
      </c>
      <c r="C309" s="4" t="str">
        <f>IF(Variaveis!A309="","",SUMPRODUCT(N(Variaveis!B309:J309),Pesos_Decisao!$B$3:$J$3))</f>
        <v/>
      </c>
      <c r="D309" s="4" t="str">
        <f>IF(Variaveis!A309="","",SUMPRODUCT(N(Variaveis!B309:J309),Pesos_Decisao!$B$4:$J$4))</f>
        <v/>
      </c>
      <c r="E309" s="4" t="str">
        <f>IF(Variaveis!A309="","",SUMPRODUCT(N(Variaveis!B309:J309),Pesos_Decisao!$B$5:$J$5))</f>
        <v/>
      </c>
      <c r="F309" s="4" t="str">
        <f>IF(Variaveis!A309="","",SUMPRODUCT(N(Variaveis!B309:J309),Pesos_Decisao!$B$6:$J$6))</f>
        <v/>
      </c>
      <c r="G309" s="4" t="str">
        <f>IF(Variaveis!A309="","",SUMPRODUCT(N(Variaveis!B309:J309),Pesos_Decisao!$B$7:$J$7))</f>
        <v/>
      </c>
      <c r="H309" s="4" t="str">
        <f>IF(Variaveis!A309="","",SUMPRODUCT(N(Variaveis!B309:J309),Pesos_Decisao!$B$8:$J$8))</f>
        <v/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tr">
        <f>IF(Variaveis!A310="","",Variaveis!A310)</f>
        <v/>
      </c>
      <c r="B310" s="4" t="str">
        <f>IF(Variaveis!A310="","",SUMPRODUCT(N(Variaveis!B310:J310),Pesos_Decisao!$B$2:$J$2))</f>
        <v/>
      </c>
      <c r="C310" s="4" t="str">
        <f>IF(Variaveis!A310="","",SUMPRODUCT(N(Variaveis!B310:J310),Pesos_Decisao!$B$3:$J$3))</f>
        <v/>
      </c>
      <c r="D310" s="4" t="str">
        <f>IF(Variaveis!A310="","",SUMPRODUCT(N(Variaveis!B310:J310),Pesos_Decisao!$B$4:$J$4))</f>
        <v/>
      </c>
      <c r="E310" s="4" t="str">
        <f>IF(Variaveis!A310="","",SUMPRODUCT(N(Variaveis!B310:J310),Pesos_Decisao!$B$5:$J$5))</f>
        <v/>
      </c>
      <c r="F310" s="4" t="str">
        <f>IF(Variaveis!A310="","",SUMPRODUCT(N(Variaveis!B310:J310),Pesos_Decisao!$B$6:$J$6))</f>
        <v/>
      </c>
      <c r="G310" s="4" t="str">
        <f>IF(Variaveis!A310="","",SUMPRODUCT(N(Variaveis!B310:J310),Pesos_Decisao!$B$7:$J$7))</f>
        <v/>
      </c>
      <c r="H310" s="4" t="str">
        <f>IF(Variaveis!A310="","",SUMPRODUCT(N(Variaveis!B310:J310),Pesos_Decisao!$B$8:$J$8))</f>
        <v/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tr">
        <f>IF(Variaveis!A311="","",Variaveis!A311)</f>
        <v/>
      </c>
      <c r="B311" s="4" t="str">
        <f>IF(Variaveis!A311="","",SUMPRODUCT(N(Variaveis!B311:J311),Pesos_Decisao!$B$2:$J$2))</f>
        <v/>
      </c>
      <c r="C311" s="4" t="str">
        <f>IF(Variaveis!A311="","",SUMPRODUCT(N(Variaveis!B311:J311),Pesos_Decisao!$B$3:$J$3))</f>
        <v/>
      </c>
      <c r="D311" s="4" t="str">
        <f>IF(Variaveis!A311="","",SUMPRODUCT(N(Variaveis!B311:J311),Pesos_Decisao!$B$4:$J$4))</f>
        <v/>
      </c>
      <c r="E311" s="4" t="str">
        <f>IF(Variaveis!A311="","",SUMPRODUCT(N(Variaveis!B311:J311),Pesos_Decisao!$B$5:$J$5))</f>
        <v/>
      </c>
      <c r="F311" s="4" t="str">
        <f>IF(Variaveis!A311="","",SUMPRODUCT(N(Variaveis!B311:J311),Pesos_Decisao!$B$6:$J$6))</f>
        <v/>
      </c>
      <c r="G311" s="4" t="str">
        <f>IF(Variaveis!A311="","",SUMPRODUCT(N(Variaveis!B311:J311),Pesos_Decisao!$B$7:$J$7))</f>
        <v/>
      </c>
      <c r="H311" s="4" t="str">
        <f>IF(Variaveis!A311="","",SUMPRODUCT(N(Variaveis!B311:J311),Pesos_Decisao!$B$8:$J$8))</f>
        <v/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tr">
        <f>IF(Variaveis!A312="","",Variaveis!A312)</f>
        <v/>
      </c>
      <c r="B312" s="4" t="str">
        <f>IF(Variaveis!A312="","",SUMPRODUCT(N(Variaveis!B312:J312),Pesos_Decisao!$B$2:$J$2))</f>
        <v/>
      </c>
      <c r="C312" s="4" t="str">
        <f>IF(Variaveis!A312="","",SUMPRODUCT(N(Variaveis!B312:J312),Pesos_Decisao!$B$3:$J$3))</f>
        <v/>
      </c>
      <c r="D312" s="4" t="str">
        <f>IF(Variaveis!A312="","",SUMPRODUCT(N(Variaveis!B312:J312),Pesos_Decisao!$B$4:$J$4))</f>
        <v/>
      </c>
      <c r="E312" s="4" t="str">
        <f>IF(Variaveis!A312="","",SUMPRODUCT(N(Variaveis!B312:J312),Pesos_Decisao!$B$5:$J$5))</f>
        <v/>
      </c>
      <c r="F312" s="4" t="str">
        <f>IF(Variaveis!A312="","",SUMPRODUCT(N(Variaveis!B312:J312),Pesos_Decisao!$B$6:$J$6))</f>
        <v/>
      </c>
      <c r="G312" s="4" t="str">
        <f>IF(Variaveis!A312="","",SUMPRODUCT(N(Variaveis!B312:J312),Pesos_Decisao!$B$7:$J$7))</f>
        <v/>
      </c>
      <c r="H312" s="4" t="str">
        <f>IF(Variaveis!A312="","",SUMPRODUCT(N(Variaveis!B312:J312),Pesos_Decisao!$B$8:$J$8))</f>
        <v/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tr">
        <f>IF(Variaveis!A313="","",Variaveis!A313)</f>
        <v/>
      </c>
      <c r="B313" s="4" t="str">
        <f>IF(Variaveis!A313="","",SUMPRODUCT(N(Variaveis!B313:J313),Pesos_Decisao!$B$2:$J$2))</f>
        <v/>
      </c>
      <c r="C313" s="4" t="str">
        <f>IF(Variaveis!A313="","",SUMPRODUCT(N(Variaveis!B313:J313),Pesos_Decisao!$B$3:$J$3))</f>
        <v/>
      </c>
      <c r="D313" s="4" t="str">
        <f>IF(Variaveis!A313="","",SUMPRODUCT(N(Variaveis!B313:J313),Pesos_Decisao!$B$4:$J$4))</f>
        <v/>
      </c>
      <c r="E313" s="4" t="str">
        <f>IF(Variaveis!A313="","",SUMPRODUCT(N(Variaveis!B313:J313),Pesos_Decisao!$B$5:$J$5))</f>
        <v/>
      </c>
      <c r="F313" s="4" t="str">
        <f>IF(Variaveis!A313="","",SUMPRODUCT(N(Variaveis!B313:J313),Pesos_Decisao!$B$6:$J$6))</f>
        <v/>
      </c>
      <c r="G313" s="4" t="str">
        <f>IF(Variaveis!A313="","",SUMPRODUCT(N(Variaveis!B313:J313),Pesos_Decisao!$B$7:$J$7))</f>
        <v/>
      </c>
      <c r="H313" s="4" t="str">
        <f>IF(Variaveis!A313="","",SUMPRODUCT(N(Variaveis!B313:J313),Pesos_Decisao!$B$8:$J$8))</f>
        <v/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tr">
        <f>IF(Variaveis!A314="","",Variaveis!A314)</f>
        <v/>
      </c>
      <c r="B314" s="4" t="str">
        <f>IF(Variaveis!A314="","",SUMPRODUCT(N(Variaveis!B314:J314),Pesos_Decisao!$B$2:$J$2))</f>
        <v/>
      </c>
      <c r="C314" s="4" t="str">
        <f>IF(Variaveis!A314="","",SUMPRODUCT(N(Variaveis!B314:J314),Pesos_Decisao!$B$3:$J$3))</f>
        <v/>
      </c>
      <c r="D314" s="4" t="str">
        <f>IF(Variaveis!A314="","",SUMPRODUCT(N(Variaveis!B314:J314),Pesos_Decisao!$B$4:$J$4))</f>
        <v/>
      </c>
      <c r="E314" s="4" t="str">
        <f>IF(Variaveis!A314="","",SUMPRODUCT(N(Variaveis!B314:J314),Pesos_Decisao!$B$5:$J$5))</f>
        <v/>
      </c>
      <c r="F314" s="4" t="str">
        <f>IF(Variaveis!A314="","",SUMPRODUCT(N(Variaveis!B314:J314),Pesos_Decisao!$B$6:$J$6))</f>
        <v/>
      </c>
      <c r="G314" s="4" t="str">
        <f>IF(Variaveis!A314="","",SUMPRODUCT(N(Variaveis!B314:J314),Pesos_Decisao!$B$7:$J$7))</f>
        <v/>
      </c>
      <c r="H314" s="4" t="str">
        <f>IF(Variaveis!A314="","",SUMPRODUCT(N(Variaveis!B314:J314),Pesos_Decisao!$B$8:$J$8))</f>
        <v/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tr">
        <f>IF(Variaveis!A315="","",Variaveis!A315)</f>
        <v/>
      </c>
      <c r="B315" s="4" t="str">
        <f>IF(Variaveis!A315="","",SUMPRODUCT(N(Variaveis!B315:J315),Pesos_Decisao!$B$2:$J$2))</f>
        <v/>
      </c>
      <c r="C315" s="4" t="str">
        <f>IF(Variaveis!A315="","",SUMPRODUCT(N(Variaveis!B315:J315),Pesos_Decisao!$B$3:$J$3))</f>
        <v/>
      </c>
      <c r="D315" s="4" t="str">
        <f>IF(Variaveis!A315="","",SUMPRODUCT(N(Variaveis!B315:J315),Pesos_Decisao!$B$4:$J$4))</f>
        <v/>
      </c>
      <c r="E315" s="4" t="str">
        <f>IF(Variaveis!A315="","",SUMPRODUCT(N(Variaveis!B315:J315),Pesos_Decisao!$B$5:$J$5))</f>
        <v/>
      </c>
      <c r="F315" s="4" t="str">
        <f>IF(Variaveis!A315="","",SUMPRODUCT(N(Variaveis!B315:J315),Pesos_Decisao!$B$6:$J$6))</f>
        <v/>
      </c>
      <c r="G315" s="4" t="str">
        <f>IF(Variaveis!A315="","",SUMPRODUCT(N(Variaveis!B315:J315),Pesos_Decisao!$B$7:$J$7))</f>
        <v/>
      </c>
      <c r="H315" s="4" t="str">
        <f>IF(Variaveis!A315="","",SUMPRODUCT(N(Variaveis!B315:J315),Pesos_Decisao!$B$8:$J$8))</f>
        <v/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tr">
        <f>IF(Variaveis!A316="","",Variaveis!A316)</f>
        <v/>
      </c>
      <c r="B316" s="4" t="str">
        <f>IF(Variaveis!A316="","",SUMPRODUCT(N(Variaveis!B316:J316),Pesos_Decisao!$B$2:$J$2))</f>
        <v/>
      </c>
      <c r="C316" s="4" t="str">
        <f>IF(Variaveis!A316="","",SUMPRODUCT(N(Variaveis!B316:J316),Pesos_Decisao!$B$3:$J$3))</f>
        <v/>
      </c>
      <c r="D316" s="4" t="str">
        <f>IF(Variaveis!A316="","",SUMPRODUCT(N(Variaveis!B316:J316),Pesos_Decisao!$B$4:$J$4))</f>
        <v/>
      </c>
      <c r="E316" s="4" t="str">
        <f>IF(Variaveis!A316="","",SUMPRODUCT(N(Variaveis!B316:J316),Pesos_Decisao!$B$5:$J$5))</f>
        <v/>
      </c>
      <c r="F316" s="4" t="str">
        <f>IF(Variaveis!A316="","",SUMPRODUCT(N(Variaveis!B316:J316),Pesos_Decisao!$B$6:$J$6))</f>
        <v/>
      </c>
      <c r="G316" s="4" t="str">
        <f>IF(Variaveis!A316="","",SUMPRODUCT(N(Variaveis!B316:J316),Pesos_Decisao!$B$7:$J$7))</f>
        <v/>
      </c>
      <c r="H316" s="4" t="str">
        <f>IF(Variaveis!A316="","",SUMPRODUCT(N(Variaveis!B316:J316),Pesos_Decisao!$B$8:$J$8))</f>
        <v/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tr">
        <f>IF(Variaveis!A317="","",Variaveis!A317)</f>
        <v/>
      </c>
      <c r="B317" s="4" t="str">
        <f>IF(Variaveis!A317="","",SUMPRODUCT(N(Variaveis!B317:J317),Pesos_Decisao!$B$2:$J$2))</f>
        <v/>
      </c>
      <c r="C317" s="4" t="str">
        <f>IF(Variaveis!A317="","",SUMPRODUCT(N(Variaveis!B317:J317),Pesos_Decisao!$B$3:$J$3))</f>
        <v/>
      </c>
      <c r="D317" s="4" t="str">
        <f>IF(Variaveis!A317="","",SUMPRODUCT(N(Variaveis!B317:J317),Pesos_Decisao!$B$4:$J$4))</f>
        <v/>
      </c>
      <c r="E317" s="4" t="str">
        <f>IF(Variaveis!A317="","",SUMPRODUCT(N(Variaveis!B317:J317),Pesos_Decisao!$B$5:$J$5))</f>
        <v/>
      </c>
      <c r="F317" s="4" t="str">
        <f>IF(Variaveis!A317="","",SUMPRODUCT(N(Variaveis!B317:J317),Pesos_Decisao!$B$6:$J$6))</f>
        <v/>
      </c>
      <c r="G317" s="4" t="str">
        <f>IF(Variaveis!A317="","",SUMPRODUCT(N(Variaveis!B317:J317),Pesos_Decisao!$B$7:$J$7))</f>
        <v/>
      </c>
      <c r="H317" s="4" t="str">
        <f>IF(Variaveis!A317="","",SUMPRODUCT(N(Variaveis!B317:J317),Pesos_Decisao!$B$8:$J$8))</f>
        <v/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tr">
        <f>IF(Variaveis!A318="","",Variaveis!A318)</f>
        <v/>
      </c>
      <c r="B318" s="4" t="str">
        <f>IF(Variaveis!A318="","",SUMPRODUCT(N(Variaveis!B318:J318),Pesos_Decisao!$B$2:$J$2))</f>
        <v/>
      </c>
      <c r="C318" s="4" t="str">
        <f>IF(Variaveis!A318="","",SUMPRODUCT(N(Variaveis!B318:J318),Pesos_Decisao!$B$3:$J$3))</f>
        <v/>
      </c>
      <c r="D318" s="4" t="str">
        <f>IF(Variaveis!A318="","",SUMPRODUCT(N(Variaveis!B318:J318),Pesos_Decisao!$B$4:$J$4))</f>
        <v/>
      </c>
      <c r="E318" s="4" t="str">
        <f>IF(Variaveis!A318="","",SUMPRODUCT(N(Variaveis!B318:J318),Pesos_Decisao!$B$5:$J$5))</f>
        <v/>
      </c>
      <c r="F318" s="4" t="str">
        <f>IF(Variaveis!A318="","",SUMPRODUCT(N(Variaveis!B318:J318),Pesos_Decisao!$B$6:$J$6))</f>
        <v/>
      </c>
      <c r="G318" s="4" t="str">
        <f>IF(Variaveis!A318="","",SUMPRODUCT(N(Variaveis!B318:J318),Pesos_Decisao!$B$7:$J$7))</f>
        <v/>
      </c>
      <c r="H318" s="4" t="str">
        <f>IF(Variaveis!A318="","",SUMPRODUCT(N(Variaveis!B318:J318),Pesos_Decisao!$B$8:$J$8))</f>
        <v/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tr">
        <f>IF(Variaveis!A319="","",Variaveis!A319)</f>
        <v/>
      </c>
      <c r="B319" s="4" t="str">
        <f>IF(Variaveis!A319="","",SUMPRODUCT(N(Variaveis!B319:J319),Pesos_Decisao!$B$2:$J$2))</f>
        <v/>
      </c>
      <c r="C319" s="4" t="str">
        <f>IF(Variaveis!A319="","",SUMPRODUCT(N(Variaveis!B319:J319),Pesos_Decisao!$B$3:$J$3))</f>
        <v/>
      </c>
      <c r="D319" s="4" t="str">
        <f>IF(Variaveis!A319="","",SUMPRODUCT(N(Variaveis!B319:J319),Pesos_Decisao!$B$4:$J$4))</f>
        <v/>
      </c>
      <c r="E319" s="4" t="str">
        <f>IF(Variaveis!A319="","",SUMPRODUCT(N(Variaveis!B319:J319),Pesos_Decisao!$B$5:$J$5))</f>
        <v/>
      </c>
      <c r="F319" s="4" t="str">
        <f>IF(Variaveis!A319="","",SUMPRODUCT(N(Variaveis!B319:J319),Pesos_Decisao!$B$6:$J$6))</f>
        <v/>
      </c>
      <c r="G319" s="4" t="str">
        <f>IF(Variaveis!A319="","",SUMPRODUCT(N(Variaveis!B319:J319),Pesos_Decisao!$B$7:$J$7))</f>
        <v/>
      </c>
      <c r="H319" s="4" t="str">
        <f>IF(Variaveis!A319="","",SUMPRODUCT(N(Variaveis!B319:J319),Pesos_Decisao!$B$8:$J$8))</f>
        <v/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tr">
        <f>IF(Variaveis!A320="","",Variaveis!A320)</f>
        <v/>
      </c>
      <c r="B320" s="4" t="str">
        <f>IF(Variaveis!A320="","",SUMPRODUCT(N(Variaveis!B320:J320),Pesos_Decisao!$B$2:$J$2))</f>
        <v/>
      </c>
      <c r="C320" s="4" t="str">
        <f>IF(Variaveis!A320="","",SUMPRODUCT(N(Variaveis!B320:J320),Pesos_Decisao!$B$3:$J$3))</f>
        <v/>
      </c>
      <c r="D320" s="4" t="str">
        <f>IF(Variaveis!A320="","",SUMPRODUCT(N(Variaveis!B320:J320),Pesos_Decisao!$B$4:$J$4))</f>
        <v/>
      </c>
      <c r="E320" s="4" t="str">
        <f>IF(Variaveis!A320="","",SUMPRODUCT(N(Variaveis!B320:J320),Pesos_Decisao!$B$5:$J$5))</f>
        <v/>
      </c>
      <c r="F320" s="4" t="str">
        <f>IF(Variaveis!A320="","",SUMPRODUCT(N(Variaveis!B320:J320),Pesos_Decisao!$B$6:$J$6))</f>
        <v/>
      </c>
      <c r="G320" s="4" t="str">
        <f>IF(Variaveis!A320="","",SUMPRODUCT(N(Variaveis!B320:J320),Pesos_Decisao!$B$7:$J$7))</f>
        <v/>
      </c>
      <c r="H320" s="4" t="str">
        <f>IF(Variaveis!A320="","",SUMPRODUCT(N(Variaveis!B320:J320),Pesos_Decisao!$B$8:$J$8))</f>
        <v/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tr">
        <f>IF(Variaveis!A321="","",Variaveis!A321)</f>
        <v/>
      </c>
      <c r="B321" s="4" t="str">
        <f>IF(Variaveis!A321="","",SUMPRODUCT(N(Variaveis!B321:J321),Pesos_Decisao!$B$2:$J$2))</f>
        <v/>
      </c>
      <c r="C321" s="4" t="str">
        <f>IF(Variaveis!A321="","",SUMPRODUCT(N(Variaveis!B321:J321),Pesos_Decisao!$B$3:$J$3))</f>
        <v/>
      </c>
      <c r="D321" s="4" t="str">
        <f>IF(Variaveis!A321="","",SUMPRODUCT(N(Variaveis!B321:J321),Pesos_Decisao!$B$4:$J$4))</f>
        <v/>
      </c>
      <c r="E321" s="4" t="str">
        <f>IF(Variaveis!A321="","",SUMPRODUCT(N(Variaveis!B321:J321),Pesos_Decisao!$B$5:$J$5))</f>
        <v/>
      </c>
      <c r="F321" s="4" t="str">
        <f>IF(Variaveis!A321="","",SUMPRODUCT(N(Variaveis!B321:J321),Pesos_Decisao!$B$6:$J$6))</f>
        <v/>
      </c>
      <c r="G321" s="4" t="str">
        <f>IF(Variaveis!A321="","",SUMPRODUCT(N(Variaveis!B321:J321),Pesos_Decisao!$B$7:$J$7))</f>
        <v/>
      </c>
      <c r="H321" s="4" t="str">
        <f>IF(Variaveis!A321="","",SUMPRODUCT(N(Variaveis!B321:J321),Pesos_Decisao!$B$8:$J$8))</f>
        <v/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tr">
        <f>IF(Variaveis!A322="","",Variaveis!A322)</f>
        <v/>
      </c>
      <c r="B322" s="4" t="str">
        <f>IF(Variaveis!A322="","",SUMPRODUCT(N(Variaveis!B322:J322),Pesos_Decisao!$B$2:$J$2))</f>
        <v/>
      </c>
      <c r="C322" s="4" t="str">
        <f>IF(Variaveis!A322="","",SUMPRODUCT(N(Variaveis!B322:J322),Pesos_Decisao!$B$3:$J$3))</f>
        <v/>
      </c>
      <c r="D322" s="4" t="str">
        <f>IF(Variaveis!A322="","",SUMPRODUCT(N(Variaveis!B322:J322),Pesos_Decisao!$B$4:$J$4))</f>
        <v/>
      </c>
      <c r="E322" s="4" t="str">
        <f>IF(Variaveis!A322="","",SUMPRODUCT(N(Variaveis!B322:J322),Pesos_Decisao!$B$5:$J$5))</f>
        <v/>
      </c>
      <c r="F322" s="4" t="str">
        <f>IF(Variaveis!A322="","",SUMPRODUCT(N(Variaveis!B322:J322),Pesos_Decisao!$B$6:$J$6))</f>
        <v/>
      </c>
      <c r="G322" s="4" t="str">
        <f>IF(Variaveis!A322="","",SUMPRODUCT(N(Variaveis!B322:J322),Pesos_Decisao!$B$7:$J$7))</f>
        <v/>
      </c>
      <c r="H322" s="4" t="str">
        <f>IF(Variaveis!A322="","",SUMPRODUCT(N(Variaveis!B322:J322),Pesos_Decisao!$B$8:$J$8))</f>
        <v/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tr">
        <f>IF(Variaveis!A323="","",Variaveis!A323)</f>
        <v/>
      </c>
      <c r="B323" s="4" t="str">
        <f>IF(Variaveis!A323="","",SUMPRODUCT(N(Variaveis!B323:J323),Pesos_Decisao!$B$2:$J$2))</f>
        <v/>
      </c>
      <c r="C323" s="4" t="str">
        <f>IF(Variaveis!A323="","",SUMPRODUCT(N(Variaveis!B323:J323),Pesos_Decisao!$B$3:$J$3))</f>
        <v/>
      </c>
      <c r="D323" s="4" t="str">
        <f>IF(Variaveis!A323="","",SUMPRODUCT(N(Variaveis!B323:J323),Pesos_Decisao!$B$4:$J$4))</f>
        <v/>
      </c>
      <c r="E323" s="4" t="str">
        <f>IF(Variaveis!A323="","",SUMPRODUCT(N(Variaveis!B323:J323),Pesos_Decisao!$B$5:$J$5))</f>
        <v/>
      </c>
      <c r="F323" s="4" t="str">
        <f>IF(Variaveis!A323="","",SUMPRODUCT(N(Variaveis!B323:J323),Pesos_Decisao!$B$6:$J$6))</f>
        <v/>
      </c>
      <c r="G323" s="4" t="str">
        <f>IF(Variaveis!A323="","",SUMPRODUCT(N(Variaveis!B323:J323),Pesos_Decisao!$B$7:$J$7))</f>
        <v/>
      </c>
      <c r="H323" s="4" t="str">
        <f>IF(Variaveis!A323="","",SUMPRODUCT(N(Variaveis!B323:J323),Pesos_Decisao!$B$8:$J$8))</f>
        <v/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tr">
        <f>IF(Variaveis!A324="","",Variaveis!A324)</f>
        <v/>
      </c>
      <c r="B324" s="4" t="str">
        <f>IF(Variaveis!A324="","",SUMPRODUCT(N(Variaveis!B324:J324),Pesos_Decisao!$B$2:$J$2))</f>
        <v/>
      </c>
      <c r="C324" s="4" t="str">
        <f>IF(Variaveis!A324="","",SUMPRODUCT(N(Variaveis!B324:J324),Pesos_Decisao!$B$3:$J$3))</f>
        <v/>
      </c>
      <c r="D324" s="4" t="str">
        <f>IF(Variaveis!A324="","",SUMPRODUCT(N(Variaveis!B324:J324),Pesos_Decisao!$B$4:$J$4))</f>
        <v/>
      </c>
      <c r="E324" s="4" t="str">
        <f>IF(Variaveis!A324="","",SUMPRODUCT(N(Variaveis!B324:J324),Pesos_Decisao!$B$5:$J$5))</f>
        <v/>
      </c>
      <c r="F324" s="4" t="str">
        <f>IF(Variaveis!A324="","",SUMPRODUCT(N(Variaveis!B324:J324),Pesos_Decisao!$B$6:$J$6))</f>
        <v/>
      </c>
      <c r="G324" s="4" t="str">
        <f>IF(Variaveis!A324="","",SUMPRODUCT(N(Variaveis!B324:J324),Pesos_Decisao!$B$7:$J$7))</f>
        <v/>
      </c>
      <c r="H324" s="4" t="str">
        <f>IF(Variaveis!A324="","",SUMPRODUCT(N(Variaveis!B324:J324),Pesos_Decisao!$B$8:$J$8))</f>
        <v/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tr">
        <f>IF(Variaveis!A325="","",Variaveis!A325)</f>
        <v/>
      </c>
      <c r="B325" s="4" t="str">
        <f>IF(Variaveis!A325="","",SUMPRODUCT(N(Variaveis!B325:J325),Pesos_Decisao!$B$2:$J$2))</f>
        <v/>
      </c>
      <c r="C325" s="4" t="str">
        <f>IF(Variaveis!A325="","",SUMPRODUCT(N(Variaveis!B325:J325),Pesos_Decisao!$B$3:$J$3))</f>
        <v/>
      </c>
      <c r="D325" s="4" t="str">
        <f>IF(Variaveis!A325="","",SUMPRODUCT(N(Variaveis!B325:J325),Pesos_Decisao!$B$4:$J$4))</f>
        <v/>
      </c>
      <c r="E325" s="4" t="str">
        <f>IF(Variaveis!A325="","",SUMPRODUCT(N(Variaveis!B325:J325),Pesos_Decisao!$B$5:$J$5))</f>
        <v/>
      </c>
      <c r="F325" s="4" t="str">
        <f>IF(Variaveis!A325="","",SUMPRODUCT(N(Variaveis!B325:J325),Pesos_Decisao!$B$6:$J$6))</f>
        <v/>
      </c>
      <c r="G325" s="4" t="str">
        <f>IF(Variaveis!A325="","",SUMPRODUCT(N(Variaveis!B325:J325),Pesos_Decisao!$B$7:$J$7))</f>
        <v/>
      </c>
      <c r="H325" s="4" t="str">
        <f>IF(Variaveis!A325="","",SUMPRODUCT(N(Variaveis!B325:J325),Pesos_Decisao!$B$8:$J$8))</f>
        <v/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tr">
        <f>IF(Variaveis!A326="","",Variaveis!A326)</f>
        <v/>
      </c>
      <c r="B326" s="4" t="str">
        <f>IF(Variaveis!A326="","",SUMPRODUCT(N(Variaveis!B326:J326),Pesos_Decisao!$B$2:$J$2))</f>
        <v/>
      </c>
      <c r="C326" s="4" t="str">
        <f>IF(Variaveis!A326="","",SUMPRODUCT(N(Variaveis!B326:J326),Pesos_Decisao!$B$3:$J$3))</f>
        <v/>
      </c>
      <c r="D326" s="4" t="str">
        <f>IF(Variaveis!A326="","",SUMPRODUCT(N(Variaveis!B326:J326),Pesos_Decisao!$B$4:$J$4))</f>
        <v/>
      </c>
      <c r="E326" s="4" t="str">
        <f>IF(Variaveis!A326="","",SUMPRODUCT(N(Variaveis!B326:J326),Pesos_Decisao!$B$5:$J$5))</f>
        <v/>
      </c>
      <c r="F326" s="4" t="str">
        <f>IF(Variaveis!A326="","",SUMPRODUCT(N(Variaveis!B326:J326),Pesos_Decisao!$B$6:$J$6))</f>
        <v/>
      </c>
      <c r="G326" s="4" t="str">
        <f>IF(Variaveis!A326="","",SUMPRODUCT(N(Variaveis!B326:J326),Pesos_Decisao!$B$7:$J$7))</f>
        <v/>
      </c>
      <c r="H326" s="4" t="str">
        <f>IF(Variaveis!A326="","",SUMPRODUCT(N(Variaveis!B326:J326),Pesos_Decisao!$B$8:$J$8))</f>
        <v/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tr">
        <f>IF(Variaveis!A327="","",Variaveis!A327)</f>
        <v/>
      </c>
      <c r="B327" s="4" t="str">
        <f>IF(Variaveis!A327="","",SUMPRODUCT(N(Variaveis!B327:J327),Pesos_Decisao!$B$2:$J$2))</f>
        <v/>
      </c>
      <c r="C327" s="4" t="str">
        <f>IF(Variaveis!A327="","",SUMPRODUCT(N(Variaveis!B327:J327),Pesos_Decisao!$B$3:$J$3))</f>
        <v/>
      </c>
      <c r="D327" s="4" t="str">
        <f>IF(Variaveis!A327="","",SUMPRODUCT(N(Variaveis!B327:J327),Pesos_Decisao!$B$4:$J$4))</f>
        <v/>
      </c>
      <c r="E327" s="4" t="str">
        <f>IF(Variaveis!A327="","",SUMPRODUCT(N(Variaveis!B327:J327),Pesos_Decisao!$B$5:$J$5))</f>
        <v/>
      </c>
      <c r="F327" s="4" t="str">
        <f>IF(Variaveis!A327="","",SUMPRODUCT(N(Variaveis!B327:J327),Pesos_Decisao!$B$6:$J$6))</f>
        <v/>
      </c>
      <c r="G327" s="4" t="str">
        <f>IF(Variaveis!A327="","",SUMPRODUCT(N(Variaveis!B327:J327),Pesos_Decisao!$B$7:$J$7))</f>
        <v/>
      </c>
      <c r="H327" s="4" t="str">
        <f>IF(Variaveis!A327="","",SUMPRODUCT(N(Variaveis!B327:J327),Pesos_Decisao!$B$8:$J$8))</f>
        <v/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tr">
        <f>IF(Variaveis!A328="","",Variaveis!A328)</f>
        <v/>
      </c>
      <c r="B328" s="4" t="str">
        <f>IF(Variaveis!A328="","",SUMPRODUCT(N(Variaveis!B328:J328),Pesos_Decisao!$B$2:$J$2))</f>
        <v/>
      </c>
      <c r="C328" s="4" t="str">
        <f>IF(Variaveis!A328="","",SUMPRODUCT(N(Variaveis!B328:J328),Pesos_Decisao!$B$3:$J$3))</f>
        <v/>
      </c>
      <c r="D328" s="4" t="str">
        <f>IF(Variaveis!A328="","",SUMPRODUCT(N(Variaveis!B328:J328),Pesos_Decisao!$B$4:$J$4))</f>
        <v/>
      </c>
      <c r="E328" s="4" t="str">
        <f>IF(Variaveis!A328="","",SUMPRODUCT(N(Variaveis!B328:J328),Pesos_Decisao!$B$5:$J$5))</f>
        <v/>
      </c>
      <c r="F328" s="4" t="str">
        <f>IF(Variaveis!A328="","",SUMPRODUCT(N(Variaveis!B328:J328),Pesos_Decisao!$B$6:$J$6))</f>
        <v/>
      </c>
      <c r="G328" s="4" t="str">
        <f>IF(Variaveis!A328="","",SUMPRODUCT(N(Variaveis!B328:J328),Pesos_Decisao!$B$7:$J$7))</f>
        <v/>
      </c>
      <c r="H328" s="4" t="str">
        <f>IF(Variaveis!A328="","",SUMPRODUCT(N(Variaveis!B328:J328),Pesos_Decisao!$B$8:$J$8))</f>
        <v/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tr">
        <f>IF(Variaveis!A329="","",Variaveis!A329)</f>
        <v/>
      </c>
      <c r="B329" s="4" t="str">
        <f>IF(Variaveis!A329="","",SUMPRODUCT(N(Variaveis!B329:J329),Pesos_Decisao!$B$2:$J$2))</f>
        <v/>
      </c>
      <c r="C329" s="4" t="str">
        <f>IF(Variaveis!A329="","",SUMPRODUCT(N(Variaveis!B329:J329),Pesos_Decisao!$B$3:$J$3))</f>
        <v/>
      </c>
      <c r="D329" s="4" t="str">
        <f>IF(Variaveis!A329="","",SUMPRODUCT(N(Variaveis!B329:J329),Pesos_Decisao!$B$4:$J$4))</f>
        <v/>
      </c>
      <c r="E329" s="4" t="str">
        <f>IF(Variaveis!A329="","",SUMPRODUCT(N(Variaveis!B329:J329),Pesos_Decisao!$B$5:$J$5))</f>
        <v/>
      </c>
      <c r="F329" s="4" t="str">
        <f>IF(Variaveis!A329="","",SUMPRODUCT(N(Variaveis!B329:J329),Pesos_Decisao!$B$6:$J$6))</f>
        <v/>
      </c>
      <c r="G329" s="4" t="str">
        <f>IF(Variaveis!A329="","",SUMPRODUCT(N(Variaveis!B329:J329),Pesos_Decisao!$B$7:$J$7))</f>
        <v/>
      </c>
      <c r="H329" s="4" t="str">
        <f>IF(Variaveis!A329="","",SUMPRODUCT(N(Variaveis!B329:J329),Pesos_Decisao!$B$8:$J$8))</f>
        <v/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tr">
        <f>IF(Variaveis!A330="","",Variaveis!A330)</f>
        <v/>
      </c>
      <c r="B330" s="4" t="str">
        <f>IF(Variaveis!A330="","",SUMPRODUCT(N(Variaveis!B330:J330),Pesos_Decisao!$B$2:$J$2))</f>
        <v/>
      </c>
      <c r="C330" s="4" t="str">
        <f>IF(Variaveis!A330="","",SUMPRODUCT(N(Variaveis!B330:J330),Pesos_Decisao!$B$3:$J$3))</f>
        <v/>
      </c>
      <c r="D330" s="4" t="str">
        <f>IF(Variaveis!A330="","",SUMPRODUCT(N(Variaveis!B330:J330),Pesos_Decisao!$B$4:$J$4))</f>
        <v/>
      </c>
      <c r="E330" s="4" t="str">
        <f>IF(Variaveis!A330="","",SUMPRODUCT(N(Variaveis!B330:J330),Pesos_Decisao!$B$5:$J$5))</f>
        <v/>
      </c>
      <c r="F330" s="4" t="str">
        <f>IF(Variaveis!A330="","",SUMPRODUCT(N(Variaveis!B330:J330),Pesos_Decisao!$B$6:$J$6))</f>
        <v/>
      </c>
      <c r="G330" s="4" t="str">
        <f>IF(Variaveis!A330="","",SUMPRODUCT(N(Variaveis!B330:J330),Pesos_Decisao!$B$7:$J$7))</f>
        <v/>
      </c>
      <c r="H330" s="4" t="str">
        <f>IF(Variaveis!A330="","",SUMPRODUCT(N(Variaveis!B330:J330),Pesos_Decisao!$B$8:$J$8))</f>
        <v/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tr">
        <f>IF(Variaveis!A331="","",Variaveis!A331)</f>
        <v/>
      </c>
      <c r="B331" s="4" t="str">
        <f>IF(Variaveis!A331="","",SUMPRODUCT(N(Variaveis!B331:J331),Pesos_Decisao!$B$2:$J$2))</f>
        <v/>
      </c>
      <c r="C331" s="4" t="str">
        <f>IF(Variaveis!A331="","",SUMPRODUCT(N(Variaveis!B331:J331),Pesos_Decisao!$B$3:$J$3))</f>
        <v/>
      </c>
      <c r="D331" s="4" t="str">
        <f>IF(Variaveis!A331="","",SUMPRODUCT(N(Variaveis!B331:J331),Pesos_Decisao!$B$4:$J$4))</f>
        <v/>
      </c>
      <c r="E331" s="4" t="str">
        <f>IF(Variaveis!A331="","",SUMPRODUCT(N(Variaveis!B331:J331),Pesos_Decisao!$B$5:$J$5))</f>
        <v/>
      </c>
      <c r="F331" s="4" t="str">
        <f>IF(Variaveis!A331="","",SUMPRODUCT(N(Variaveis!B331:J331),Pesos_Decisao!$B$6:$J$6))</f>
        <v/>
      </c>
      <c r="G331" s="4" t="str">
        <f>IF(Variaveis!A331="","",SUMPRODUCT(N(Variaveis!B331:J331),Pesos_Decisao!$B$7:$J$7))</f>
        <v/>
      </c>
      <c r="H331" s="4" t="str">
        <f>IF(Variaveis!A331="","",SUMPRODUCT(N(Variaveis!B331:J331),Pesos_Decisao!$B$8:$J$8))</f>
        <v/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tr">
        <f>IF(Variaveis!A332="","",Variaveis!A332)</f>
        <v/>
      </c>
      <c r="B332" s="4" t="str">
        <f>IF(Variaveis!A332="","",SUMPRODUCT(N(Variaveis!B332:J332),Pesos_Decisao!$B$2:$J$2))</f>
        <v/>
      </c>
      <c r="C332" s="4" t="str">
        <f>IF(Variaveis!A332="","",SUMPRODUCT(N(Variaveis!B332:J332),Pesos_Decisao!$B$3:$J$3))</f>
        <v/>
      </c>
      <c r="D332" s="4" t="str">
        <f>IF(Variaveis!A332="","",SUMPRODUCT(N(Variaveis!B332:J332),Pesos_Decisao!$B$4:$J$4))</f>
        <v/>
      </c>
      <c r="E332" s="4" t="str">
        <f>IF(Variaveis!A332="","",SUMPRODUCT(N(Variaveis!B332:J332),Pesos_Decisao!$B$5:$J$5))</f>
        <v/>
      </c>
      <c r="F332" s="4" t="str">
        <f>IF(Variaveis!A332="","",SUMPRODUCT(N(Variaveis!B332:J332),Pesos_Decisao!$B$6:$J$6))</f>
        <v/>
      </c>
      <c r="G332" s="4" t="str">
        <f>IF(Variaveis!A332="","",SUMPRODUCT(N(Variaveis!B332:J332),Pesos_Decisao!$B$7:$J$7))</f>
        <v/>
      </c>
      <c r="H332" s="4" t="str">
        <f>IF(Variaveis!A332="","",SUMPRODUCT(N(Variaveis!B332:J332),Pesos_Decisao!$B$8:$J$8))</f>
        <v/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tr">
        <f>IF(Variaveis!A333="","",Variaveis!A333)</f>
        <v/>
      </c>
      <c r="B333" s="4" t="str">
        <f>IF(Variaveis!A333="","",SUMPRODUCT(N(Variaveis!B333:J333),Pesos_Decisao!$B$2:$J$2))</f>
        <v/>
      </c>
      <c r="C333" s="4" t="str">
        <f>IF(Variaveis!A333="","",SUMPRODUCT(N(Variaveis!B333:J333),Pesos_Decisao!$B$3:$J$3))</f>
        <v/>
      </c>
      <c r="D333" s="4" t="str">
        <f>IF(Variaveis!A333="","",SUMPRODUCT(N(Variaveis!B333:J333),Pesos_Decisao!$B$4:$J$4))</f>
        <v/>
      </c>
      <c r="E333" s="4" t="str">
        <f>IF(Variaveis!A333="","",SUMPRODUCT(N(Variaveis!B333:J333),Pesos_Decisao!$B$5:$J$5))</f>
        <v/>
      </c>
      <c r="F333" s="4" t="str">
        <f>IF(Variaveis!A333="","",SUMPRODUCT(N(Variaveis!B333:J333),Pesos_Decisao!$B$6:$J$6))</f>
        <v/>
      </c>
      <c r="G333" s="4" t="str">
        <f>IF(Variaveis!A333="","",SUMPRODUCT(N(Variaveis!B333:J333),Pesos_Decisao!$B$7:$J$7))</f>
        <v/>
      </c>
      <c r="H333" s="4" t="str">
        <f>IF(Variaveis!A333="","",SUMPRODUCT(N(Variaveis!B333:J333),Pesos_Decisao!$B$8:$J$8))</f>
        <v/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tr">
        <f>IF(Variaveis!A334="","",Variaveis!A334)</f>
        <v/>
      </c>
      <c r="B334" s="4" t="str">
        <f>IF(Variaveis!A334="","",SUMPRODUCT(N(Variaveis!B334:J334),Pesos_Decisao!$B$2:$J$2))</f>
        <v/>
      </c>
      <c r="C334" s="4" t="str">
        <f>IF(Variaveis!A334="","",SUMPRODUCT(N(Variaveis!B334:J334),Pesos_Decisao!$B$3:$J$3))</f>
        <v/>
      </c>
      <c r="D334" s="4" t="str">
        <f>IF(Variaveis!A334="","",SUMPRODUCT(N(Variaveis!B334:J334),Pesos_Decisao!$B$4:$J$4))</f>
        <v/>
      </c>
      <c r="E334" s="4" t="str">
        <f>IF(Variaveis!A334="","",SUMPRODUCT(N(Variaveis!B334:J334),Pesos_Decisao!$B$5:$J$5))</f>
        <v/>
      </c>
      <c r="F334" s="4" t="str">
        <f>IF(Variaveis!A334="","",SUMPRODUCT(N(Variaveis!B334:J334),Pesos_Decisao!$B$6:$J$6))</f>
        <v/>
      </c>
      <c r="G334" s="4" t="str">
        <f>IF(Variaveis!A334="","",SUMPRODUCT(N(Variaveis!B334:J334),Pesos_Decisao!$B$7:$J$7))</f>
        <v/>
      </c>
      <c r="H334" s="4" t="str">
        <f>IF(Variaveis!A334="","",SUMPRODUCT(N(Variaveis!B334:J334),Pesos_Decisao!$B$8:$J$8))</f>
        <v/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tr">
        <f>IF(Variaveis!A335="","",Variaveis!A335)</f>
        <v/>
      </c>
      <c r="B335" s="4" t="str">
        <f>IF(Variaveis!A335="","",SUMPRODUCT(N(Variaveis!B335:J335),Pesos_Decisao!$B$2:$J$2))</f>
        <v/>
      </c>
      <c r="C335" s="4" t="str">
        <f>IF(Variaveis!A335="","",SUMPRODUCT(N(Variaveis!B335:J335),Pesos_Decisao!$B$3:$J$3))</f>
        <v/>
      </c>
      <c r="D335" s="4" t="str">
        <f>IF(Variaveis!A335="","",SUMPRODUCT(N(Variaveis!B335:J335),Pesos_Decisao!$B$4:$J$4))</f>
        <v/>
      </c>
      <c r="E335" s="4" t="str">
        <f>IF(Variaveis!A335="","",SUMPRODUCT(N(Variaveis!B335:J335),Pesos_Decisao!$B$5:$J$5))</f>
        <v/>
      </c>
      <c r="F335" s="4" t="str">
        <f>IF(Variaveis!A335="","",SUMPRODUCT(N(Variaveis!B335:J335),Pesos_Decisao!$B$6:$J$6))</f>
        <v/>
      </c>
      <c r="G335" s="4" t="str">
        <f>IF(Variaveis!A335="","",SUMPRODUCT(N(Variaveis!B335:J335),Pesos_Decisao!$B$7:$J$7))</f>
        <v/>
      </c>
      <c r="H335" s="4" t="str">
        <f>IF(Variaveis!A335="","",SUMPRODUCT(N(Variaveis!B335:J335),Pesos_Decisao!$B$8:$J$8))</f>
        <v/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tr">
        <f>IF(Variaveis!A336="","",Variaveis!A336)</f>
        <v/>
      </c>
      <c r="B336" s="4" t="str">
        <f>IF(Variaveis!A336="","",SUMPRODUCT(N(Variaveis!B336:J336),Pesos_Decisao!$B$2:$J$2))</f>
        <v/>
      </c>
      <c r="C336" s="4" t="str">
        <f>IF(Variaveis!A336="","",SUMPRODUCT(N(Variaveis!B336:J336),Pesos_Decisao!$B$3:$J$3))</f>
        <v/>
      </c>
      <c r="D336" s="4" t="str">
        <f>IF(Variaveis!A336="","",SUMPRODUCT(N(Variaveis!B336:J336),Pesos_Decisao!$B$4:$J$4))</f>
        <v/>
      </c>
      <c r="E336" s="4" t="str">
        <f>IF(Variaveis!A336="","",SUMPRODUCT(N(Variaveis!B336:J336),Pesos_Decisao!$B$5:$J$5))</f>
        <v/>
      </c>
      <c r="F336" s="4" t="str">
        <f>IF(Variaveis!A336="","",SUMPRODUCT(N(Variaveis!B336:J336),Pesos_Decisao!$B$6:$J$6))</f>
        <v/>
      </c>
      <c r="G336" s="4" t="str">
        <f>IF(Variaveis!A336="","",SUMPRODUCT(N(Variaveis!B336:J336),Pesos_Decisao!$B$7:$J$7))</f>
        <v/>
      </c>
      <c r="H336" s="4" t="str">
        <f>IF(Variaveis!A336="","",SUMPRODUCT(N(Variaveis!B336:J336),Pesos_Decisao!$B$8:$J$8))</f>
        <v/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tr">
        <f>IF(Variaveis!A337="","",Variaveis!A337)</f>
        <v/>
      </c>
      <c r="B337" s="4" t="str">
        <f>IF(Variaveis!A337="","",SUMPRODUCT(N(Variaveis!B337:J337),Pesos_Decisao!$B$2:$J$2))</f>
        <v/>
      </c>
      <c r="C337" s="4" t="str">
        <f>IF(Variaveis!A337="","",SUMPRODUCT(N(Variaveis!B337:J337),Pesos_Decisao!$B$3:$J$3))</f>
        <v/>
      </c>
      <c r="D337" s="4" t="str">
        <f>IF(Variaveis!A337="","",SUMPRODUCT(N(Variaveis!B337:J337),Pesos_Decisao!$B$4:$J$4))</f>
        <v/>
      </c>
      <c r="E337" s="4" t="str">
        <f>IF(Variaveis!A337="","",SUMPRODUCT(N(Variaveis!B337:J337),Pesos_Decisao!$B$5:$J$5))</f>
        <v/>
      </c>
      <c r="F337" s="4" t="str">
        <f>IF(Variaveis!A337="","",SUMPRODUCT(N(Variaveis!B337:J337),Pesos_Decisao!$B$6:$J$6))</f>
        <v/>
      </c>
      <c r="G337" s="4" t="str">
        <f>IF(Variaveis!A337="","",SUMPRODUCT(N(Variaveis!B337:J337),Pesos_Decisao!$B$7:$J$7))</f>
        <v/>
      </c>
      <c r="H337" s="4" t="str">
        <f>IF(Variaveis!A337="","",SUMPRODUCT(N(Variaveis!B337:J337),Pesos_Decisao!$B$8:$J$8))</f>
        <v/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tr">
        <f>IF(Variaveis!A338="","",Variaveis!A338)</f>
        <v/>
      </c>
      <c r="B338" s="4" t="str">
        <f>IF(Variaveis!A338="","",SUMPRODUCT(N(Variaveis!B338:J338),Pesos_Decisao!$B$2:$J$2))</f>
        <v/>
      </c>
      <c r="C338" s="4" t="str">
        <f>IF(Variaveis!A338="","",SUMPRODUCT(N(Variaveis!B338:J338),Pesos_Decisao!$B$3:$J$3))</f>
        <v/>
      </c>
      <c r="D338" s="4" t="str">
        <f>IF(Variaveis!A338="","",SUMPRODUCT(N(Variaveis!B338:J338),Pesos_Decisao!$B$4:$J$4))</f>
        <v/>
      </c>
      <c r="E338" s="4" t="str">
        <f>IF(Variaveis!A338="","",SUMPRODUCT(N(Variaveis!B338:J338),Pesos_Decisao!$B$5:$J$5))</f>
        <v/>
      </c>
      <c r="F338" s="4" t="str">
        <f>IF(Variaveis!A338="","",SUMPRODUCT(N(Variaveis!B338:J338),Pesos_Decisao!$B$6:$J$6))</f>
        <v/>
      </c>
      <c r="G338" s="4" t="str">
        <f>IF(Variaveis!A338="","",SUMPRODUCT(N(Variaveis!B338:J338),Pesos_Decisao!$B$7:$J$7))</f>
        <v/>
      </c>
      <c r="H338" s="4" t="str">
        <f>IF(Variaveis!A338="","",SUMPRODUCT(N(Variaveis!B338:J338),Pesos_Decisao!$B$8:$J$8))</f>
        <v/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tr">
        <f>IF(Variaveis!A339="","",Variaveis!A339)</f>
        <v/>
      </c>
      <c r="B339" s="4" t="str">
        <f>IF(Variaveis!A339="","",SUMPRODUCT(N(Variaveis!B339:J339),Pesos_Decisao!$B$2:$J$2))</f>
        <v/>
      </c>
      <c r="C339" s="4" t="str">
        <f>IF(Variaveis!A339="","",SUMPRODUCT(N(Variaveis!B339:J339),Pesos_Decisao!$B$3:$J$3))</f>
        <v/>
      </c>
      <c r="D339" s="4" t="str">
        <f>IF(Variaveis!A339="","",SUMPRODUCT(N(Variaveis!B339:J339),Pesos_Decisao!$B$4:$J$4))</f>
        <v/>
      </c>
      <c r="E339" s="4" t="str">
        <f>IF(Variaveis!A339="","",SUMPRODUCT(N(Variaveis!B339:J339),Pesos_Decisao!$B$5:$J$5))</f>
        <v/>
      </c>
      <c r="F339" s="4" t="str">
        <f>IF(Variaveis!A339="","",SUMPRODUCT(N(Variaveis!B339:J339),Pesos_Decisao!$B$6:$J$6))</f>
        <v/>
      </c>
      <c r="G339" s="4" t="str">
        <f>IF(Variaveis!A339="","",SUMPRODUCT(N(Variaveis!B339:J339),Pesos_Decisao!$B$7:$J$7))</f>
        <v/>
      </c>
      <c r="H339" s="4" t="str">
        <f>IF(Variaveis!A339="","",SUMPRODUCT(N(Variaveis!B339:J339),Pesos_Decisao!$B$8:$J$8))</f>
        <v/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tr">
        <f>IF(Variaveis!A340="","",Variaveis!A340)</f>
        <v/>
      </c>
      <c r="B340" s="4" t="str">
        <f>IF(Variaveis!A340="","",SUMPRODUCT(N(Variaveis!B340:J340),Pesos_Decisao!$B$2:$J$2))</f>
        <v/>
      </c>
      <c r="C340" s="4" t="str">
        <f>IF(Variaveis!A340="","",SUMPRODUCT(N(Variaveis!B340:J340),Pesos_Decisao!$B$3:$J$3))</f>
        <v/>
      </c>
      <c r="D340" s="4" t="str">
        <f>IF(Variaveis!A340="","",SUMPRODUCT(N(Variaveis!B340:J340),Pesos_Decisao!$B$4:$J$4))</f>
        <v/>
      </c>
      <c r="E340" s="4" t="str">
        <f>IF(Variaveis!A340="","",SUMPRODUCT(N(Variaveis!B340:J340),Pesos_Decisao!$B$5:$J$5))</f>
        <v/>
      </c>
      <c r="F340" s="4" t="str">
        <f>IF(Variaveis!A340="","",SUMPRODUCT(N(Variaveis!B340:J340),Pesos_Decisao!$B$6:$J$6))</f>
        <v/>
      </c>
      <c r="G340" s="4" t="str">
        <f>IF(Variaveis!A340="","",SUMPRODUCT(N(Variaveis!B340:J340),Pesos_Decisao!$B$7:$J$7))</f>
        <v/>
      </c>
      <c r="H340" s="4" t="str">
        <f>IF(Variaveis!A340="","",SUMPRODUCT(N(Variaveis!B340:J340),Pesos_Decisao!$B$8:$J$8))</f>
        <v/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tr">
        <f>IF(Variaveis!A341="","",Variaveis!A341)</f>
        <v/>
      </c>
      <c r="B341" s="4" t="str">
        <f>IF(Variaveis!A341="","",SUMPRODUCT(N(Variaveis!B341:J341),Pesos_Decisao!$B$2:$J$2))</f>
        <v/>
      </c>
      <c r="C341" s="4" t="str">
        <f>IF(Variaveis!A341="","",SUMPRODUCT(N(Variaveis!B341:J341),Pesos_Decisao!$B$3:$J$3))</f>
        <v/>
      </c>
      <c r="D341" s="4" t="str">
        <f>IF(Variaveis!A341="","",SUMPRODUCT(N(Variaveis!B341:J341),Pesos_Decisao!$B$4:$J$4))</f>
        <v/>
      </c>
      <c r="E341" s="4" t="str">
        <f>IF(Variaveis!A341="","",SUMPRODUCT(N(Variaveis!B341:J341),Pesos_Decisao!$B$5:$J$5))</f>
        <v/>
      </c>
      <c r="F341" s="4" t="str">
        <f>IF(Variaveis!A341="","",SUMPRODUCT(N(Variaveis!B341:J341),Pesos_Decisao!$B$6:$J$6))</f>
        <v/>
      </c>
      <c r="G341" s="4" t="str">
        <f>IF(Variaveis!A341="","",SUMPRODUCT(N(Variaveis!B341:J341),Pesos_Decisao!$B$7:$J$7))</f>
        <v/>
      </c>
      <c r="H341" s="4" t="str">
        <f>IF(Variaveis!A341="","",SUMPRODUCT(N(Variaveis!B341:J341),Pesos_Decisao!$B$8:$J$8))</f>
        <v/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tr">
        <f>IF(Variaveis!A342="","",Variaveis!A342)</f>
        <v/>
      </c>
      <c r="B342" s="4" t="str">
        <f>IF(Variaveis!A342="","",SUMPRODUCT(N(Variaveis!B342:J342),Pesos_Decisao!$B$2:$J$2))</f>
        <v/>
      </c>
      <c r="C342" s="4" t="str">
        <f>IF(Variaveis!A342="","",SUMPRODUCT(N(Variaveis!B342:J342),Pesos_Decisao!$B$3:$J$3))</f>
        <v/>
      </c>
      <c r="D342" s="4" t="str">
        <f>IF(Variaveis!A342="","",SUMPRODUCT(N(Variaveis!B342:J342),Pesos_Decisao!$B$4:$J$4))</f>
        <v/>
      </c>
      <c r="E342" s="4" t="str">
        <f>IF(Variaveis!A342="","",SUMPRODUCT(N(Variaveis!B342:J342),Pesos_Decisao!$B$5:$J$5))</f>
        <v/>
      </c>
      <c r="F342" s="4" t="str">
        <f>IF(Variaveis!A342="","",SUMPRODUCT(N(Variaveis!B342:J342),Pesos_Decisao!$B$6:$J$6))</f>
        <v/>
      </c>
      <c r="G342" s="4" t="str">
        <f>IF(Variaveis!A342="","",SUMPRODUCT(N(Variaveis!B342:J342),Pesos_Decisao!$B$7:$J$7))</f>
        <v/>
      </c>
      <c r="H342" s="4" t="str">
        <f>IF(Variaveis!A342="","",SUMPRODUCT(N(Variaveis!B342:J342),Pesos_Decisao!$B$8:$J$8))</f>
        <v/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tr">
        <f>IF(Variaveis!A343="","",Variaveis!A343)</f>
        <v/>
      </c>
      <c r="B343" s="4" t="str">
        <f>IF(Variaveis!A343="","",SUMPRODUCT(N(Variaveis!B343:J343),Pesos_Decisao!$B$2:$J$2))</f>
        <v/>
      </c>
      <c r="C343" s="4" t="str">
        <f>IF(Variaveis!A343="","",SUMPRODUCT(N(Variaveis!B343:J343),Pesos_Decisao!$B$3:$J$3))</f>
        <v/>
      </c>
      <c r="D343" s="4" t="str">
        <f>IF(Variaveis!A343="","",SUMPRODUCT(N(Variaveis!B343:J343),Pesos_Decisao!$B$4:$J$4))</f>
        <v/>
      </c>
      <c r="E343" s="4" t="str">
        <f>IF(Variaveis!A343="","",SUMPRODUCT(N(Variaveis!B343:J343),Pesos_Decisao!$B$5:$J$5))</f>
        <v/>
      </c>
      <c r="F343" s="4" t="str">
        <f>IF(Variaveis!A343="","",SUMPRODUCT(N(Variaveis!B343:J343),Pesos_Decisao!$B$6:$J$6))</f>
        <v/>
      </c>
      <c r="G343" s="4" t="str">
        <f>IF(Variaveis!A343="","",SUMPRODUCT(N(Variaveis!B343:J343),Pesos_Decisao!$B$7:$J$7))</f>
        <v/>
      </c>
      <c r="H343" s="4" t="str">
        <f>IF(Variaveis!A343="","",SUMPRODUCT(N(Variaveis!B343:J343),Pesos_Decisao!$B$8:$J$8))</f>
        <v/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tr">
        <f>IF(Variaveis!A344="","",Variaveis!A344)</f>
        <v/>
      </c>
      <c r="B344" s="4" t="str">
        <f>IF(Variaveis!A344="","",SUMPRODUCT(N(Variaveis!B344:J344),Pesos_Decisao!$B$2:$J$2))</f>
        <v/>
      </c>
      <c r="C344" s="4" t="str">
        <f>IF(Variaveis!A344="","",SUMPRODUCT(N(Variaveis!B344:J344),Pesos_Decisao!$B$3:$J$3))</f>
        <v/>
      </c>
      <c r="D344" s="4" t="str">
        <f>IF(Variaveis!A344="","",SUMPRODUCT(N(Variaveis!B344:J344),Pesos_Decisao!$B$4:$J$4))</f>
        <v/>
      </c>
      <c r="E344" s="4" t="str">
        <f>IF(Variaveis!A344="","",SUMPRODUCT(N(Variaveis!B344:J344),Pesos_Decisao!$B$5:$J$5))</f>
        <v/>
      </c>
      <c r="F344" s="4" t="str">
        <f>IF(Variaveis!A344="","",SUMPRODUCT(N(Variaveis!B344:J344),Pesos_Decisao!$B$6:$J$6))</f>
        <v/>
      </c>
      <c r="G344" s="4" t="str">
        <f>IF(Variaveis!A344="","",SUMPRODUCT(N(Variaveis!B344:J344),Pesos_Decisao!$B$7:$J$7))</f>
        <v/>
      </c>
      <c r="H344" s="4" t="str">
        <f>IF(Variaveis!A344="","",SUMPRODUCT(N(Variaveis!B344:J344),Pesos_Decisao!$B$8:$J$8))</f>
        <v/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tr">
        <f>IF(Variaveis!A345="","",Variaveis!A345)</f>
        <v/>
      </c>
      <c r="B345" s="4" t="str">
        <f>IF(Variaveis!A345="","",SUMPRODUCT(N(Variaveis!B345:J345),Pesos_Decisao!$B$2:$J$2))</f>
        <v/>
      </c>
      <c r="C345" s="4" t="str">
        <f>IF(Variaveis!A345="","",SUMPRODUCT(N(Variaveis!B345:J345),Pesos_Decisao!$B$3:$J$3))</f>
        <v/>
      </c>
      <c r="D345" s="4" t="str">
        <f>IF(Variaveis!A345="","",SUMPRODUCT(N(Variaveis!B345:J345),Pesos_Decisao!$B$4:$J$4))</f>
        <v/>
      </c>
      <c r="E345" s="4" t="str">
        <f>IF(Variaveis!A345="","",SUMPRODUCT(N(Variaveis!B345:J345),Pesos_Decisao!$B$5:$J$5))</f>
        <v/>
      </c>
      <c r="F345" s="4" t="str">
        <f>IF(Variaveis!A345="","",SUMPRODUCT(N(Variaveis!B345:J345),Pesos_Decisao!$B$6:$J$6))</f>
        <v/>
      </c>
      <c r="G345" s="4" t="str">
        <f>IF(Variaveis!A345="","",SUMPRODUCT(N(Variaveis!B345:J345),Pesos_Decisao!$B$7:$J$7))</f>
        <v/>
      </c>
      <c r="H345" s="4" t="str">
        <f>IF(Variaveis!A345="","",SUMPRODUCT(N(Variaveis!B345:J345),Pesos_Decisao!$B$8:$J$8))</f>
        <v/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tr">
        <f>IF(Variaveis!A346="","",Variaveis!A346)</f>
        <v/>
      </c>
      <c r="B346" s="4" t="str">
        <f>IF(Variaveis!A346="","",SUMPRODUCT(N(Variaveis!B346:J346),Pesos_Decisao!$B$2:$J$2))</f>
        <v/>
      </c>
      <c r="C346" s="4" t="str">
        <f>IF(Variaveis!A346="","",SUMPRODUCT(N(Variaveis!B346:J346),Pesos_Decisao!$B$3:$J$3))</f>
        <v/>
      </c>
      <c r="D346" s="4" t="str">
        <f>IF(Variaveis!A346="","",SUMPRODUCT(N(Variaveis!B346:J346),Pesos_Decisao!$B$4:$J$4))</f>
        <v/>
      </c>
      <c r="E346" s="4" t="str">
        <f>IF(Variaveis!A346="","",SUMPRODUCT(N(Variaveis!B346:J346),Pesos_Decisao!$B$5:$J$5))</f>
        <v/>
      </c>
      <c r="F346" s="4" t="str">
        <f>IF(Variaveis!A346="","",SUMPRODUCT(N(Variaveis!B346:J346),Pesos_Decisao!$B$6:$J$6))</f>
        <v/>
      </c>
      <c r="G346" s="4" t="str">
        <f>IF(Variaveis!A346="","",SUMPRODUCT(N(Variaveis!B346:J346),Pesos_Decisao!$B$7:$J$7))</f>
        <v/>
      </c>
      <c r="H346" s="4" t="str">
        <f>IF(Variaveis!A346="","",SUMPRODUCT(N(Variaveis!B346:J346),Pesos_Decisao!$B$8:$J$8))</f>
        <v/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tr">
        <f>IF(Variaveis!A347="","",Variaveis!A347)</f>
        <v/>
      </c>
      <c r="B347" s="4" t="str">
        <f>IF(Variaveis!A347="","",SUMPRODUCT(N(Variaveis!B347:J347),Pesos_Decisao!$B$2:$J$2))</f>
        <v/>
      </c>
      <c r="C347" s="4" t="str">
        <f>IF(Variaveis!A347="","",SUMPRODUCT(N(Variaveis!B347:J347),Pesos_Decisao!$B$3:$J$3))</f>
        <v/>
      </c>
      <c r="D347" s="4" t="str">
        <f>IF(Variaveis!A347="","",SUMPRODUCT(N(Variaveis!B347:J347),Pesos_Decisao!$B$4:$J$4))</f>
        <v/>
      </c>
      <c r="E347" s="4" t="str">
        <f>IF(Variaveis!A347="","",SUMPRODUCT(N(Variaveis!B347:J347),Pesos_Decisao!$B$5:$J$5))</f>
        <v/>
      </c>
      <c r="F347" s="4" t="str">
        <f>IF(Variaveis!A347="","",SUMPRODUCT(N(Variaveis!B347:J347),Pesos_Decisao!$B$6:$J$6))</f>
        <v/>
      </c>
      <c r="G347" s="4" t="str">
        <f>IF(Variaveis!A347="","",SUMPRODUCT(N(Variaveis!B347:J347),Pesos_Decisao!$B$7:$J$7))</f>
        <v/>
      </c>
      <c r="H347" s="4" t="str">
        <f>IF(Variaveis!A347="","",SUMPRODUCT(N(Variaveis!B347:J347),Pesos_Decisao!$B$8:$J$8))</f>
        <v/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tr">
        <f>IF(Variaveis!A348="","",Variaveis!A348)</f>
        <v/>
      </c>
      <c r="B348" s="4" t="str">
        <f>IF(Variaveis!A348="","",SUMPRODUCT(N(Variaveis!B348:J348),Pesos_Decisao!$B$2:$J$2))</f>
        <v/>
      </c>
      <c r="C348" s="4" t="str">
        <f>IF(Variaveis!A348="","",SUMPRODUCT(N(Variaveis!B348:J348),Pesos_Decisao!$B$3:$J$3))</f>
        <v/>
      </c>
      <c r="D348" s="4" t="str">
        <f>IF(Variaveis!A348="","",SUMPRODUCT(N(Variaveis!B348:J348),Pesos_Decisao!$B$4:$J$4))</f>
        <v/>
      </c>
      <c r="E348" s="4" t="str">
        <f>IF(Variaveis!A348="","",SUMPRODUCT(N(Variaveis!B348:J348),Pesos_Decisao!$B$5:$J$5))</f>
        <v/>
      </c>
      <c r="F348" s="4" t="str">
        <f>IF(Variaveis!A348="","",SUMPRODUCT(N(Variaveis!B348:J348),Pesos_Decisao!$B$6:$J$6))</f>
        <v/>
      </c>
      <c r="G348" s="4" t="str">
        <f>IF(Variaveis!A348="","",SUMPRODUCT(N(Variaveis!B348:J348),Pesos_Decisao!$B$7:$J$7))</f>
        <v/>
      </c>
      <c r="H348" s="4" t="str">
        <f>IF(Variaveis!A348="","",SUMPRODUCT(N(Variaveis!B348:J348),Pesos_Decisao!$B$8:$J$8))</f>
        <v/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tr">
        <f>IF(Variaveis!A349="","",Variaveis!A349)</f>
        <v/>
      </c>
      <c r="B349" s="4" t="str">
        <f>IF(Variaveis!A349="","",SUMPRODUCT(N(Variaveis!B349:J349),Pesos_Decisao!$B$2:$J$2))</f>
        <v/>
      </c>
      <c r="C349" s="4" t="str">
        <f>IF(Variaveis!A349="","",SUMPRODUCT(N(Variaveis!B349:J349),Pesos_Decisao!$B$3:$J$3))</f>
        <v/>
      </c>
      <c r="D349" s="4" t="str">
        <f>IF(Variaveis!A349="","",SUMPRODUCT(N(Variaveis!B349:J349),Pesos_Decisao!$B$4:$J$4))</f>
        <v/>
      </c>
      <c r="E349" s="4" t="str">
        <f>IF(Variaveis!A349="","",SUMPRODUCT(N(Variaveis!B349:J349),Pesos_Decisao!$B$5:$J$5))</f>
        <v/>
      </c>
      <c r="F349" s="4" t="str">
        <f>IF(Variaveis!A349="","",SUMPRODUCT(N(Variaveis!B349:J349),Pesos_Decisao!$B$6:$J$6))</f>
        <v/>
      </c>
      <c r="G349" s="4" t="str">
        <f>IF(Variaveis!A349="","",SUMPRODUCT(N(Variaveis!B349:J349),Pesos_Decisao!$B$7:$J$7))</f>
        <v/>
      </c>
      <c r="H349" s="4" t="str">
        <f>IF(Variaveis!A349="","",SUMPRODUCT(N(Variaveis!B349:J349),Pesos_Decisao!$B$8:$J$8))</f>
        <v/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tr">
        <f>IF(Variaveis!A350="","",Variaveis!A350)</f>
        <v/>
      </c>
      <c r="B350" s="4" t="str">
        <f>IF(Variaveis!A350="","",SUMPRODUCT(N(Variaveis!B350:J350),Pesos_Decisao!$B$2:$J$2))</f>
        <v/>
      </c>
      <c r="C350" s="4" t="str">
        <f>IF(Variaveis!A350="","",SUMPRODUCT(N(Variaveis!B350:J350),Pesos_Decisao!$B$3:$J$3))</f>
        <v/>
      </c>
      <c r="D350" s="4" t="str">
        <f>IF(Variaveis!A350="","",SUMPRODUCT(N(Variaveis!B350:J350),Pesos_Decisao!$B$4:$J$4))</f>
        <v/>
      </c>
      <c r="E350" s="4" t="str">
        <f>IF(Variaveis!A350="","",SUMPRODUCT(N(Variaveis!B350:J350),Pesos_Decisao!$B$5:$J$5))</f>
        <v/>
      </c>
      <c r="F350" s="4" t="str">
        <f>IF(Variaveis!A350="","",SUMPRODUCT(N(Variaveis!B350:J350),Pesos_Decisao!$B$6:$J$6))</f>
        <v/>
      </c>
      <c r="G350" s="4" t="str">
        <f>IF(Variaveis!A350="","",SUMPRODUCT(N(Variaveis!B350:J350),Pesos_Decisao!$B$7:$J$7))</f>
        <v/>
      </c>
      <c r="H350" s="4" t="str">
        <f>IF(Variaveis!A350="","",SUMPRODUCT(N(Variaveis!B350:J350),Pesos_Decisao!$B$8:$J$8))</f>
        <v/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tr">
        <f>IF(Variaveis!A351="","",Variaveis!A351)</f>
        <v/>
      </c>
      <c r="B351" s="4" t="str">
        <f>IF(Variaveis!A351="","",SUMPRODUCT(N(Variaveis!B351:J351),Pesos_Decisao!$B$2:$J$2))</f>
        <v/>
      </c>
      <c r="C351" s="4" t="str">
        <f>IF(Variaveis!A351="","",SUMPRODUCT(N(Variaveis!B351:J351),Pesos_Decisao!$B$3:$J$3))</f>
        <v/>
      </c>
      <c r="D351" s="4" t="str">
        <f>IF(Variaveis!A351="","",SUMPRODUCT(N(Variaveis!B351:J351),Pesos_Decisao!$B$4:$J$4))</f>
        <v/>
      </c>
      <c r="E351" s="4" t="str">
        <f>IF(Variaveis!A351="","",SUMPRODUCT(N(Variaveis!B351:J351),Pesos_Decisao!$B$5:$J$5))</f>
        <v/>
      </c>
      <c r="F351" s="4" t="str">
        <f>IF(Variaveis!A351="","",SUMPRODUCT(N(Variaveis!B351:J351),Pesos_Decisao!$B$6:$J$6))</f>
        <v/>
      </c>
      <c r="G351" s="4" t="str">
        <f>IF(Variaveis!A351="","",SUMPRODUCT(N(Variaveis!B351:J351),Pesos_Decisao!$B$7:$J$7))</f>
        <v/>
      </c>
      <c r="H351" s="4" t="str">
        <f>IF(Variaveis!A351="","",SUMPRODUCT(N(Variaveis!B351:J351),Pesos_Decisao!$B$8:$J$8))</f>
        <v/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tr">
        <f>IF(Variaveis!A352="","",Variaveis!A352)</f>
        <v/>
      </c>
      <c r="B352" s="4" t="str">
        <f>IF(Variaveis!A352="","",SUMPRODUCT(N(Variaveis!B352:J352),Pesos_Decisao!$B$2:$J$2))</f>
        <v/>
      </c>
      <c r="C352" s="4" t="str">
        <f>IF(Variaveis!A352="","",SUMPRODUCT(N(Variaveis!B352:J352),Pesos_Decisao!$B$3:$J$3))</f>
        <v/>
      </c>
      <c r="D352" s="4" t="str">
        <f>IF(Variaveis!A352="","",SUMPRODUCT(N(Variaveis!B352:J352),Pesos_Decisao!$B$4:$J$4))</f>
        <v/>
      </c>
      <c r="E352" s="4" t="str">
        <f>IF(Variaveis!A352="","",SUMPRODUCT(N(Variaveis!B352:J352),Pesos_Decisao!$B$5:$J$5))</f>
        <v/>
      </c>
      <c r="F352" s="4" t="str">
        <f>IF(Variaveis!A352="","",SUMPRODUCT(N(Variaveis!B352:J352),Pesos_Decisao!$B$6:$J$6))</f>
        <v/>
      </c>
      <c r="G352" s="4" t="str">
        <f>IF(Variaveis!A352="","",SUMPRODUCT(N(Variaveis!B352:J352),Pesos_Decisao!$B$7:$J$7))</f>
        <v/>
      </c>
      <c r="H352" s="4" t="str">
        <f>IF(Variaveis!A352="","",SUMPRODUCT(N(Variaveis!B352:J352),Pesos_Decisao!$B$8:$J$8))</f>
        <v/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tr">
        <f>IF(Variaveis!A353="","",Variaveis!A353)</f>
        <v/>
      </c>
      <c r="B353" s="4" t="str">
        <f>IF(Variaveis!A353="","",SUMPRODUCT(N(Variaveis!B353:J353),Pesos_Decisao!$B$2:$J$2))</f>
        <v/>
      </c>
      <c r="C353" s="4" t="str">
        <f>IF(Variaveis!A353="","",SUMPRODUCT(N(Variaveis!B353:J353),Pesos_Decisao!$B$3:$J$3))</f>
        <v/>
      </c>
      <c r="D353" s="4" t="str">
        <f>IF(Variaveis!A353="","",SUMPRODUCT(N(Variaveis!B353:J353),Pesos_Decisao!$B$4:$J$4))</f>
        <v/>
      </c>
      <c r="E353" s="4" t="str">
        <f>IF(Variaveis!A353="","",SUMPRODUCT(N(Variaveis!B353:J353),Pesos_Decisao!$B$5:$J$5))</f>
        <v/>
      </c>
      <c r="F353" s="4" t="str">
        <f>IF(Variaveis!A353="","",SUMPRODUCT(N(Variaveis!B353:J353),Pesos_Decisao!$B$6:$J$6))</f>
        <v/>
      </c>
      <c r="G353" s="4" t="str">
        <f>IF(Variaveis!A353="","",SUMPRODUCT(N(Variaveis!B353:J353),Pesos_Decisao!$B$7:$J$7))</f>
        <v/>
      </c>
      <c r="H353" s="4" t="str">
        <f>IF(Variaveis!A353="","",SUMPRODUCT(N(Variaveis!B353:J353),Pesos_Decisao!$B$8:$J$8))</f>
        <v/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tr">
        <f>IF(Variaveis!A354="","",Variaveis!A354)</f>
        <v/>
      </c>
      <c r="B354" s="4" t="str">
        <f>IF(Variaveis!A354="","",SUMPRODUCT(N(Variaveis!B354:J354),Pesos_Decisao!$B$2:$J$2))</f>
        <v/>
      </c>
      <c r="C354" s="4" t="str">
        <f>IF(Variaveis!A354="","",SUMPRODUCT(N(Variaveis!B354:J354),Pesos_Decisao!$B$3:$J$3))</f>
        <v/>
      </c>
      <c r="D354" s="4" t="str">
        <f>IF(Variaveis!A354="","",SUMPRODUCT(N(Variaveis!B354:J354),Pesos_Decisao!$B$4:$J$4))</f>
        <v/>
      </c>
      <c r="E354" s="4" t="str">
        <f>IF(Variaveis!A354="","",SUMPRODUCT(N(Variaveis!B354:J354),Pesos_Decisao!$B$5:$J$5))</f>
        <v/>
      </c>
      <c r="F354" s="4" t="str">
        <f>IF(Variaveis!A354="","",SUMPRODUCT(N(Variaveis!B354:J354),Pesos_Decisao!$B$6:$J$6))</f>
        <v/>
      </c>
      <c r="G354" s="4" t="str">
        <f>IF(Variaveis!A354="","",SUMPRODUCT(N(Variaveis!B354:J354),Pesos_Decisao!$B$7:$J$7))</f>
        <v/>
      </c>
      <c r="H354" s="4" t="str">
        <f>IF(Variaveis!A354="","",SUMPRODUCT(N(Variaveis!B354:J354),Pesos_Decisao!$B$8:$J$8))</f>
        <v/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tr">
        <f>IF(Variaveis!A355="","",Variaveis!A355)</f>
        <v/>
      </c>
      <c r="B355" s="4" t="str">
        <f>IF(Variaveis!A355="","",SUMPRODUCT(N(Variaveis!B355:J355),Pesos_Decisao!$B$2:$J$2))</f>
        <v/>
      </c>
      <c r="C355" s="4" t="str">
        <f>IF(Variaveis!A355="","",SUMPRODUCT(N(Variaveis!B355:J355),Pesos_Decisao!$B$3:$J$3))</f>
        <v/>
      </c>
      <c r="D355" s="4" t="str">
        <f>IF(Variaveis!A355="","",SUMPRODUCT(N(Variaveis!B355:J355),Pesos_Decisao!$B$4:$J$4))</f>
        <v/>
      </c>
      <c r="E355" s="4" t="str">
        <f>IF(Variaveis!A355="","",SUMPRODUCT(N(Variaveis!B355:J355),Pesos_Decisao!$B$5:$J$5))</f>
        <v/>
      </c>
      <c r="F355" s="4" t="str">
        <f>IF(Variaveis!A355="","",SUMPRODUCT(N(Variaveis!B355:J355),Pesos_Decisao!$B$6:$J$6))</f>
        <v/>
      </c>
      <c r="G355" s="4" t="str">
        <f>IF(Variaveis!A355="","",SUMPRODUCT(N(Variaveis!B355:J355),Pesos_Decisao!$B$7:$J$7))</f>
        <v/>
      </c>
      <c r="H355" s="4" t="str">
        <f>IF(Variaveis!A355="","",SUMPRODUCT(N(Variaveis!B355:J355),Pesos_Decisao!$B$8:$J$8))</f>
        <v/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tr">
        <f>IF(Variaveis!A356="","",Variaveis!A356)</f>
        <v/>
      </c>
      <c r="B356" s="4" t="str">
        <f>IF(Variaveis!A356="","",SUMPRODUCT(N(Variaveis!B356:J356),Pesos_Decisao!$B$2:$J$2))</f>
        <v/>
      </c>
      <c r="C356" s="4" t="str">
        <f>IF(Variaveis!A356="","",SUMPRODUCT(N(Variaveis!B356:J356),Pesos_Decisao!$B$3:$J$3))</f>
        <v/>
      </c>
      <c r="D356" s="4" t="str">
        <f>IF(Variaveis!A356="","",SUMPRODUCT(N(Variaveis!B356:J356),Pesos_Decisao!$B$4:$J$4))</f>
        <v/>
      </c>
      <c r="E356" s="4" t="str">
        <f>IF(Variaveis!A356="","",SUMPRODUCT(N(Variaveis!B356:J356),Pesos_Decisao!$B$5:$J$5))</f>
        <v/>
      </c>
      <c r="F356" s="4" t="str">
        <f>IF(Variaveis!A356="","",SUMPRODUCT(N(Variaveis!B356:J356),Pesos_Decisao!$B$6:$J$6))</f>
        <v/>
      </c>
      <c r="G356" s="4" t="str">
        <f>IF(Variaveis!A356="","",SUMPRODUCT(N(Variaveis!B356:J356),Pesos_Decisao!$B$7:$J$7))</f>
        <v/>
      </c>
      <c r="H356" s="4" t="str">
        <f>IF(Variaveis!A356="","",SUMPRODUCT(N(Variaveis!B356:J356),Pesos_Decisao!$B$8:$J$8))</f>
        <v/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tr">
        <f>IF(Variaveis!A357="","",Variaveis!A357)</f>
        <v/>
      </c>
      <c r="B357" s="4" t="str">
        <f>IF(Variaveis!A357="","",SUMPRODUCT(N(Variaveis!B357:J357),Pesos_Decisao!$B$2:$J$2))</f>
        <v/>
      </c>
      <c r="C357" s="4" t="str">
        <f>IF(Variaveis!A357="","",SUMPRODUCT(N(Variaveis!B357:J357),Pesos_Decisao!$B$3:$J$3))</f>
        <v/>
      </c>
      <c r="D357" s="4" t="str">
        <f>IF(Variaveis!A357="","",SUMPRODUCT(N(Variaveis!B357:J357),Pesos_Decisao!$B$4:$J$4))</f>
        <v/>
      </c>
      <c r="E357" s="4" t="str">
        <f>IF(Variaveis!A357="","",SUMPRODUCT(N(Variaveis!B357:J357),Pesos_Decisao!$B$5:$J$5))</f>
        <v/>
      </c>
      <c r="F357" s="4" t="str">
        <f>IF(Variaveis!A357="","",SUMPRODUCT(N(Variaveis!B357:J357),Pesos_Decisao!$B$6:$J$6))</f>
        <v/>
      </c>
      <c r="G357" s="4" t="str">
        <f>IF(Variaveis!A357="","",SUMPRODUCT(N(Variaveis!B357:J357),Pesos_Decisao!$B$7:$J$7))</f>
        <v/>
      </c>
      <c r="H357" s="4" t="str">
        <f>IF(Variaveis!A357="","",SUMPRODUCT(N(Variaveis!B357:J357),Pesos_Decisao!$B$8:$J$8))</f>
        <v/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tr">
        <f>IF(Variaveis!A358="","",Variaveis!A358)</f>
        <v/>
      </c>
      <c r="B358" s="4" t="str">
        <f>IF(Variaveis!A358="","",SUMPRODUCT(N(Variaveis!B358:J358),Pesos_Decisao!$B$2:$J$2))</f>
        <v/>
      </c>
      <c r="C358" s="4" t="str">
        <f>IF(Variaveis!A358="","",SUMPRODUCT(N(Variaveis!B358:J358),Pesos_Decisao!$B$3:$J$3))</f>
        <v/>
      </c>
      <c r="D358" s="4" t="str">
        <f>IF(Variaveis!A358="","",SUMPRODUCT(N(Variaveis!B358:J358),Pesos_Decisao!$B$4:$J$4))</f>
        <v/>
      </c>
      <c r="E358" s="4" t="str">
        <f>IF(Variaveis!A358="","",SUMPRODUCT(N(Variaveis!B358:J358),Pesos_Decisao!$B$5:$J$5))</f>
        <v/>
      </c>
      <c r="F358" s="4" t="str">
        <f>IF(Variaveis!A358="","",SUMPRODUCT(N(Variaveis!B358:J358),Pesos_Decisao!$B$6:$J$6))</f>
        <v/>
      </c>
      <c r="G358" s="4" t="str">
        <f>IF(Variaveis!A358="","",SUMPRODUCT(N(Variaveis!B358:J358),Pesos_Decisao!$B$7:$J$7))</f>
        <v/>
      </c>
      <c r="H358" s="4" t="str">
        <f>IF(Variaveis!A358="","",SUMPRODUCT(N(Variaveis!B358:J358),Pesos_Decisao!$B$8:$J$8))</f>
        <v/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tr">
        <f>IF(Variaveis!A359="","",Variaveis!A359)</f>
        <v/>
      </c>
      <c r="B359" s="4" t="str">
        <f>IF(Variaveis!A359="","",SUMPRODUCT(N(Variaveis!B359:J359),Pesos_Decisao!$B$2:$J$2))</f>
        <v/>
      </c>
      <c r="C359" s="4" t="str">
        <f>IF(Variaveis!A359="","",SUMPRODUCT(N(Variaveis!B359:J359),Pesos_Decisao!$B$3:$J$3))</f>
        <v/>
      </c>
      <c r="D359" s="4" t="str">
        <f>IF(Variaveis!A359="","",SUMPRODUCT(N(Variaveis!B359:J359),Pesos_Decisao!$B$4:$J$4))</f>
        <v/>
      </c>
      <c r="E359" s="4" t="str">
        <f>IF(Variaveis!A359="","",SUMPRODUCT(N(Variaveis!B359:J359),Pesos_Decisao!$B$5:$J$5))</f>
        <v/>
      </c>
      <c r="F359" s="4" t="str">
        <f>IF(Variaveis!A359="","",SUMPRODUCT(N(Variaveis!B359:J359),Pesos_Decisao!$B$6:$J$6))</f>
        <v/>
      </c>
      <c r="G359" s="4" t="str">
        <f>IF(Variaveis!A359="","",SUMPRODUCT(N(Variaveis!B359:J359),Pesos_Decisao!$B$7:$J$7))</f>
        <v/>
      </c>
      <c r="H359" s="4" t="str">
        <f>IF(Variaveis!A359="","",SUMPRODUCT(N(Variaveis!B359:J359),Pesos_Decisao!$B$8:$J$8))</f>
        <v/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tr">
        <f>IF(Variaveis!A360="","",Variaveis!A360)</f>
        <v/>
      </c>
      <c r="B360" s="4" t="str">
        <f>IF(Variaveis!A360="","",SUMPRODUCT(N(Variaveis!B360:J360),Pesos_Decisao!$B$2:$J$2))</f>
        <v/>
      </c>
      <c r="C360" s="4" t="str">
        <f>IF(Variaveis!A360="","",SUMPRODUCT(N(Variaveis!B360:J360),Pesos_Decisao!$B$3:$J$3))</f>
        <v/>
      </c>
      <c r="D360" s="4" t="str">
        <f>IF(Variaveis!A360="","",SUMPRODUCT(N(Variaveis!B360:J360),Pesos_Decisao!$B$4:$J$4))</f>
        <v/>
      </c>
      <c r="E360" s="4" t="str">
        <f>IF(Variaveis!A360="","",SUMPRODUCT(N(Variaveis!B360:J360),Pesos_Decisao!$B$5:$J$5))</f>
        <v/>
      </c>
      <c r="F360" s="4" t="str">
        <f>IF(Variaveis!A360="","",SUMPRODUCT(N(Variaveis!B360:J360),Pesos_Decisao!$B$6:$J$6))</f>
        <v/>
      </c>
      <c r="G360" s="4" t="str">
        <f>IF(Variaveis!A360="","",SUMPRODUCT(N(Variaveis!B360:J360),Pesos_Decisao!$B$7:$J$7))</f>
        <v/>
      </c>
      <c r="H360" s="4" t="str">
        <f>IF(Variaveis!A360="","",SUMPRODUCT(N(Variaveis!B360:J360),Pesos_Decisao!$B$8:$J$8))</f>
        <v/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tr">
        <f>IF(Variaveis!A361="","",Variaveis!A361)</f>
        <v/>
      </c>
      <c r="B361" s="4" t="str">
        <f>IF(Variaveis!A361="","",SUMPRODUCT(N(Variaveis!B361:J361),Pesos_Decisao!$B$2:$J$2))</f>
        <v/>
      </c>
      <c r="C361" s="4" t="str">
        <f>IF(Variaveis!A361="","",SUMPRODUCT(N(Variaveis!B361:J361),Pesos_Decisao!$B$3:$J$3))</f>
        <v/>
      </c>
      <c r="D361" s="4" t="str">
        <f>IF(Variaveis!A361="","",SUMPRODUCT(N(Variaveis!B361:J361),Pesos_Decisao!$B$4:$J$4))</f>
        <v/>
      </c>
      <c r="E361" s="4" t="str">
        <f>IF(Variaveis!A361="","",SUMPRODUCT(N(Variaveis!B361:J361),Pesos_Decisao!$B$5:$J$5))</f>
        <v/>
      </c>
      <c r="F361" s="4" t="str">
        <f>IF(Variaveis!A361="","",SUMPRODUCT(N(Variaveis!B361:J361),Pesos_Decisao!$B$6:$J$6))</f>
        <v/>
      </c>
      <c r="G361" s="4" t="str">
        <f>IF(Variaveis!A361="","",SUMPRODUCT(N(Variaveis!B361:J361),Pesos_Decisao!$B$7:$J$7))</f>
        <v/>
      </c>
      <c r="H361" s="4" t="str">
        <f>IF(Variaveis!A361="","",SUMPRODUCT(N(Variaveis!B361:J361),Pesos_Decisao!$B$8:$J$8))</f>
        <v/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tr">
        <f>IF(Variaveis!A362="","",Variaveis!A362)</f>
        <v/>
      </c>
      <c r="B362" s="4" t="str">
        <f>IF(Variaveis!A362="","",SUMPRODUCT(N(Variaveis!B362:J362),Pesos_Decisao!$B$2:$J$2))</f>
        <v/>
      </c>
      <c r="C362" s="4" t="str">
        <f>IF(Variaveis!A362="","",SUMPRODUCT(N(Variaveis!B362:J362),Pesos_Decisao!$B$3:$J$3))</f>
        <v/>
      </c>
      <c r="D362" s="4" t="str">
        <f>IF(Variaveis!A362="","",SUMPRODUCT(N(Variaveis!B362:J362),Pesos_Decisao!$B$4:$J$4))</f>
        <v/>
      </c>
      <c r="E362" s="4" t="str">
        <f>IF(Variaveis!A362="","",SUMPRODUCT(N(Variaveis!B362:J362),Pesos_Decisao!$B$5:$J$5))</f>
        <v/>
      </c>
      <c r="F362" s="4" t="str">
        <f>IF(Variaveis!A362="","",SUMPRODUCT(N(Variaveis!B362:J362),Pesos_Decisao!$B$6:$J$6))</f>
        <v/>
      </c>
      <c r="G362" s="4" t="str">
        <f>IF(Variaveis!A362="","",SUMPRODUCT(N(Variaveis!B362:J362),Pesos_Decisao!$B$7:$J$7))</f>
        <v/>
      </c>
      <c r="H362" s="4" t="str">
        <f>IF(Variaveis!A362="","",SUMPRODUCT(N(Variaveis!B362:J362),Pesos_Decisao!$B$8:$J$8))</f>
        <v/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tr">
        <f>IF(Variaveis!A363="","",Variaveis!A363)</f>
        <v/>
      </c>
      <c r="B363" s="4" t="str">
        <f>IF(Variaveis!A363="","",SUMPRODUCT(N(Variaveis!B363:J363),Pesos_Decisao!$B$2:$J$2))</f>
        <v/>
      </c>
      <c r="C363" s="4" t="str">
        <f>IF(Variaveis!A363="","",SUMPRODUCT(N(Variaveis!B363:J363),Pesos_Decisao!$B$3:$J$3))</f>
        <v/>
      </c>
      <c r="D363" s="4" t="str">
        <f>IF(Variaveis!A363="","",SUMPRODUCT(N(Variaveis!B363:J363),Pesos_Decisao!$B$4:$J$4))</f>
        <v/>
      </c>
      <c r="E363" s="4" t="str">
        <f>IF(Variaveis!A363="","",SUMPRODUCT(N(Variaveis!B363:J363),Pesos_Decisao!$B$5:$J$5))</f>
        <v/>
      </c>
      <c r="F363" s="4" t="str">
        <f>IF(Variaveis!A363="","",SUMPRODUCT(N(Variaveis!B363:J363),Pesos_Decisao!$B$6:$J$6))</f>
        <v/>
      </c>
      <c r="G363" s="4" t="str">
        <f>IF(Variaveis!A363="","",SUMPRODUCT(N(Variaveis!B363:J363),Pesos_Decisao!$B$7:$J$7))</f>
        <v/>
      </c>
      <c r="H363" s="4" t="str">
        <f>IF(Variaveis!A363="","",SUMPRODUCT(N(Variaveis!B363:J363),Pesos_Decisao!$B$8:$J$8))</f>
        <v/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tr">
        <f>IF(Variaveis!A364="","",Variaveis!A364)</f>
        <v/>
      </c>
      <c r="B364" s="4" t="str">
        <f>IF(Variaveis!A364="","",SUMPRODUCT(N(Variaveis!B364:J364),Pesos_Decisao!$B$2:$J$2))</f>
        <v/>
      </c>
      <c r="C364" s="4" t="str">
        <f>IF(Variaveis!A364="","",SUMPRODUCT(N(Variaveis!B364:J364),Pesos_Decisao!$B$3:$J$3))</f>
        <v/>
      </c>
      <c r="D364" s="4" t="str">
        <f>IF(Variaveis!A364="","",SUMPRODUCT(N(Variaveis!B364:J364),Pesos_Decisao!$B$4:$J$4))</f>
        <v/>
      </c>
      <c r="E364" s="4" t="str">
        <f>IF(Variaveis!A364="","",SUMPRODUCT(N(Variaveis!B364:J364),Pesos_Decisao!$B$5:$J$5))</f>
        <v/>
      </c>
      <c r="F364" s="4" t="str">
        <f>IF(Variaveis!A364="","",SUMPRODUCT(N(Variaveis!B364:J364),Pesos_Decisao!$B$6:$J$6))</f>
        <v/>
      </c>
      <c r="G364" s="4" t="str">
        <f>IF(Variaveis!A364="","",SUMPRODUCT(N(Variaveis!B364:J364),Pesos_Decisao!$B$7:$J$7))</f>
        <v/>
      </c>
      <c r="H364" s="4" t="str">
        <f>IF(Variaveis!A364="","",SUMPRODUCT(N(Variaveis!B364:J364),Pesos_Decisao!$B$8:$J$8))</f>
        <v/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tr">
        <f>IF(Variaveis!A365="","",Variaveis!A365)</f>
        <v/>
      </c>
      <c r="B365" s="4" t="str">
        <f>IF(Variaveis!A365="","",SUMPRODUCT(N(Variaveis!B365:J365),Pesos_Decisao!$B$2:$J$2))</f>
        <v/>
      </c>
      <c r="C365" s="4" t="str">
        <f>IF(Variaveis!A365="","",SUMPRODUCT(N(Variaveis!B365:J365),Pesos_Decisao!$B$3:$J$3))</f>
        <v/>
      </c>
      <c r="D365" s="4" t="str">
        <f>IF(Variaveis!A365="","",SUMPRODUCT(N(Variaveis!B365:J365),Pesos_Decisao!$B$4:$J$4))</f>
        <v/>
      </c>
      <c r="E365" s="4" t="str">
        <f>IF(Variaveis!A365="","",SUMPRODUCT(N(Variaveis!B365:J365),Pesos_Decisao!$B$5:$J$5))</f>
        <v/>
      </c>
      <c r="F365" s="4" t="str">
        <f>IF(Variaveis!A365="","",SUMPRODUCT(N(Variaveis!B365:J365),Pesos_Decisao!$B$6:$J$6))</f>
        <v/>
      </c>
      <c r="G365" s="4" t="str">
        <f>IF(Variaveis!A365="","",SUMPRODUCT(N(Variaveis!B365:J365),Pesos_Decisao!$B$7:$J$7))</f>
        <v/>
      </c>
      <c r="H365" s="4" t="str">
        <f>IF(Variaveis!A365="","",SUMPRODUCT(N(Variaveis!B365:J365),Pesos_Decisao!$B$8:$J$8))</f>
        <v/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tr">
        <f>IF(Variaveis!A366="","",Variaveis!A366)</f>
        <v/>
      </c>
      <c r="B366" s="4" t="str">
        <f>IF(Variaveis!A366="","",SUMPRODUCT(N(Variaveis!B366:J366),Pesos_Decisao!$B$2:$J$2))</f>
        <v/>
      </c>
      <c r="C366" s="4" t="str">
        <f>IF(Variaveis!A366="","",SUMPRODUCT(N(Variaveis!B366:J366),Pesos_Decisao!$B$3:$J$3))</f>
        <v/>
      </c>
      <c r="D366" s="4" t="str">
        <f>IF(Variaveis!A366="","",SUMPRODUCT(N(Variaveis!B366:J366),Pesos_Decisao!$B$4:$J$4))</f>
        <v/>
      </c>
      <c r="E366" s="4" t="str">
        <f>IF(Variaveis!A366="","",SUMPRODUCT(N(Variaveis!B366:J366),Pesos_Decisao!$B$5:$J$5))</f>
        <v/>
      </c>
      <c r="F366" s="4" t="str">
        <f>IF(Variaveis!A366="","",SUMPRODUCT(N(Variaveis!B366:J366),Pesos_Decisao!$B$6:$J$6))</f>
        <v/>
      </c>
      <c r="G366" s="4" t="str">
        <f>IF(Variaveis!A366="","",SUMPRODUCT(N(Variaveis!B366:J366),Pesos_Decisao!$B$7:$J$7))</f>
        <v/>
      </c>
      <c r="H366" s="4" t="str">
        <f>IF(Variaveis!A366="","",SUMPRODUCT(N(Variaveis!B366:J366),Pesos_Decisao!$B$8:$J$8))</f>
        <v/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tr">
        <f>IF(Variaveis!A367="","",Variaveis!A367)</f>
        <v/>
      </c>
      <c r="B367" s="4" t="str">
        <f>IF(Variaveis!A367="","",SUMPRODUCT(N(Variaveis!B367:J367),Pesos_Decisao!$B$2:$J$2))</f>
        <v/>
      </c>
      <c r="C367" s="4" t="str">
        <f>IF(Variaveis!A367="","",SUMPRODUCT(N(Variaveis!B367:J367),Pesos_Decisao!$B$3:$J$3))</f>
        <v/>
      </c>
      <c r="D367" s="4" t="str">
        <f>IF(Variaveis!A367="","",SUMPRODUCT(N(Variaveis!B367:J367),Pesos_Decisao!$B$4:$J$4))</f>
        <v/>
      </c>
      <c r="E367" s="4" t="str">
        <f>IF(Variaveis!A367="","",SUMPRODUCT(N(Variaveis!B367:J367),Pesos_Decisao!$B$5:$J$5))</f>
        <v/>
      </c>
      <c r="F367" s="4" t="str">
        <f>IF(Variaveis!A367="","",SUMPRODUCT(N(Variaveis!B367:J367),Pesos_Decisao!$B$6:$J$6))</f>
        <v/>
      </c>
      <c r="G367" s="4" t="str">
        <f>IF(Variaveis!A367="","",SUMPRODUCT(N(Variaveis!B367:J367),Pesos_Decisao!$B$7:$J$7))</f>
        <v/>
      </c>
      <c r="H367" s="4" t="str">
        <f>IF(Variaveis!A367="","",SUMPRODUCT(N(Variaveis!B367:J367),Pesos_Decisao!$B$8:$J$8))</f>
        <v/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tr">
        <f>IF(Variaveis!A368="","",Variaveis!A368)</f>
        <v/>
      </c>
      <c r="B368" s="4" t="str">
        <f>IF(Variaveis!A368="","",SUMPRODUCT(N(Variaveis!B368:J368),Pesos_Decisao!$B$2:$J$2))</f>
        <v/>
      </c>
      <c r="C368" s="4" t="str">
        <f>IF(Variaveis!A368="","",SUMPRODUCT(N(Variaveis!B368:J368),Pesos_Decisao!$B$3:$J$3))</f>
        <v/>
      </c>
      <c r="D368" s="4" t="str">
        <f>IF(Variaveis!A368="","",SUMPRODUCT(N(Variaveis!B368:J368),Pesos_Decisao!$B$4:$J$4))</f>
        <v/>
      </c>
      <c r="E368" s="4" t="str">
        <f>IF(Variaveis!A368="","",SUMPRODUCT(N(Variaveis!B368:J368),Pesos_Decisao!$B$5:$J$5))</f>
        <v/>
      </c>
      <c r="F368" s="4" t="str">
        <f>IF(Variaveis!A368="","",SUMPRODUCT(N(Variaveis!B368:J368),Pesos_Decisao!$B$6:$J$6))</f>
        <v/>
      </c>
      <c r="G368" s="4" t="str">
        <f>IF(Variaveis!A368="","",SUMPRODUCT(N(Variaveis!B368:J368),Pesos_Decisao!$B$7:$J$7))</f>
        <v/>
      </c>
      <c r="H368" s="4" t="str">
        <f>IF(Variaveis!A368="","",SUMPRODUCT(N(Variaveis!B368:J368),Pesos_Decisao!$B$8:$J$8))</f>
        <v/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tr">
        <f>IF(Variaveis!A369="","",Variaveis!A369)</f>
        <v/>
      </c>
      <c r="B369" s="4" t="str">
        <f>IF(Variaveis!A369="","",SUMPRODUCT(N(Variaveis!B369:J369),Pesos_Decisao!$B$2:$J$2))</f>
        <v/>
      </c>
      <c r="C369" s="4" t="str">
        <f>IF(Variaveis!A369="","",SUMPRODUCT(N(Variaveis!B369:J369),Pesos_Decisao!$B$3:$J$3))</f>
        <v/>
      </c>
      <c r="D369" s="4" t="str">
        <f>IF(Variaveis!A369="","",SUMPRODUCT(N(Variaveis!B369:J369),Pesos_Decisao!$B$4:$J$4))</f>
        <v/>
      </c>
      <c r="E369" s="4" t="str">
        <f>IF(Variaveis!A369="","",SUMPRODUCT(N(Variaveis!B369:J369),Pesos_Decisao!$B$5:$J$5))</f>
        <v/>
      </c>
      <c r="F369" s="4" t="str">
        <f>IF(Variaveis!A369="","",SUMPRODUCT(N(Variaveis!B369:J369),Pesos_Decisao!$B$6:$J$6))</f>
        <v/>
      </c>
      <c r="G369" s="4" t="str">
        <f>IF(Variaveis!A369="","",SUMPRODUCT(N(Variaveis!B369:J369),Pesos_Decisao!$B$7:$J$7))</f>
        <v/>
      </c>
      <c r="H369" s="4" t="str">
        <f>IF(Variaveis!A369="","",SUMPRODUCT(N(Variaveis!B369:J369),Pesos_Decisao!$B$8:$J$8))</f>
        <v/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tr">
        <f>IF(Variaveis!A370="","",Variaveis!A370)</f>
        <v/>
      </c>
      <c r="B370" s="4" t="str">
        <f>IF(Variaveis!A370="","",SUMPRODUCT(N(Variaveis!B370:J370),Pesos_Decisao!$B$2:$J$2))</f>
        <v/>
      </c>
      <c r="C370" s="4" t="str">
        <f>IF(Variaveis!A370="","",SUMPRODUCT(N(Variaveis!B370:J370),Pesos_Decisao!$B$3:$J$3))</f>
        <v/>
      </c>
      <c r="D370" s="4" t="str">
        <f>IF(Variaveis!A370="","",SUMPRODUCT(N(Variaveis!B370:J370),Pesos_Decisao!$B$4:$J$4))</f>
        <v/>
      </c>
      <c r="E370" s="4" t="str">
        <f>IF(Variaveis!A370="","",SUMPRODUCT(N(Variaveis!B370:J370),Pesos_Decisao!$B$5:$J$5))</f>
        <v/>
      </c>
      <c r="F370" s="4" t="str">
        <f>IF(Variaveis!A370="","",SUMPRODUCT(N(Variaveis!B370:J370),Pesos_Decisao!$B$6:$J$6))</f>
        <v/>
      </c>
      <c r="G370" s="4" t="str">
        <f>IF(Variaveis!A370="","",SUMPRODUCT(N(Variaveis!B370:J370),Pesos_Decisao!$B$7:$J$7))</f>
        <v/>
      </c>
      <c r="H370" s="4" t="str">
        <f>IF(Variaveis!A370="","",SUMPRODUCT(N(Variaveis!B370:J370),Pesos_Decisao!$B$8:$J$8))</f>
        <v/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tr">
        <f>IF(Variaveis!A371="","",Variaveis!A371)</f>
        <v/>
      </c>
      <c r="B371" s="4" t="str">
        <f>IF(Variaveis!A371="","",SUMPRODUCT(N(Variaveis!B371:J371),Pesos_Decisao!$B$2:$J$2))</f>
        <v/>
      </c>
      <c r="C371" s="4" t="str">
        <f>IF(Variaveis!A371="","",SUMPRODUCT(N(Variaveis!B371:J371),Pesos_Decisao!$B$3:$J$3))</f>
        <v/>
      </c>
      <c r="D371" s="4" t="str">
        <f>IF(Variaveis!A371="","",SUMPRODUCT(N(Variaveis!B371:J371),Pesos_Decisao!$B$4:$J$4))</f>
        <v/>
      </c>
      <c r="E371" s="4" t="str">
        <f>IF(Variaveis!A371="","",SUMPRODUCT(N(Variaveis!B371:J371),Pesos_Decisao!$B$5:$J$5))</f>
        <v/>
      </c>
      <c r="F371" s="4" t="str">
        <f>IF(Variaveis!A371="","",SUMPRODUCT(N(Variaveis!B371:J371),Pesos_Decisao!$B$6:$J$6))</f>
        <v/>
      </c>
      <c r="G371" s="4" t="str">
        <f>IF(Variaveis!A371="","",SUMPRODUCT(N(Variaveis!B371:J371),Pesos_Decisao!$B$7:$J$7))</f>
        <v/>
      </c>
      <c r="H371" s="4" t="str">
        <f>IF(Variaveis!A371="","",SUMPRODUCT(N(Variaveis!B371:J371),Pesos_Decisao!$B$8:$J$8))</f>
        <v/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tr">
        <f>IF(Variaveis!A372="","",Variaveis!A372)</f>
        <v/>
      </c>
      <c r="B372" s="4" t="str">
        <f>IF(Variaveis!A372="","",SUMPRODUCT(N(Variaveis!B372:J372),Pesos_Decisao!$B$2:$J$2))</f>
        <v/>
      </c>
      <c r="C372" s="4" t="str">
        <f>IF(Variaveis!A372="","",SUMPRODUCT(N(Variaveis!B372:J372),Pesos_Decisao!$B$3:$J$3))</f>
        <v/>
      </c>
      <c r="D372" s="4" t="str">
        <f>IF(Variaveis!A372="","",SUMPRODUCT(N(Variaveis!B372:J372),Pesos_Decisao!$B$4:$J$4))</f>
        <v/>
      </c>
      <c r="E372" s="4" t="str">
        <f>IF(Variaveis!A372="","",SUMPRODUCT(N(Variaveis!B372:J372),Pesos_Decisao!$B$5:$J$5))</f>
        <v/>
      </c>
      <c r="F372" s="4" t="str">
        <f>IF(Variaveis!A372="","",SUMPRODUCT(N(Variaveis!B372:J372),Pesos_Decisao!$B$6:$J$6))</f>
        <v/>
      </c>
      <c r="G372" s="4" t="str">
        <f>IF(Variaveis!A372="","",SUMPRODUCT(N(Variaveis!B372:J372),Pesos_Decisao!$B$7:$J$7))</f>
        <v/>
      </c>
      <c r="H372" s="4" t="str">
        <f>IF(Variaveis!A372="","",SUMPRODUCT(N(Variaveis!B372:J372),Pesos_Decisao!$B$8:$J$8))</f>
        <v/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tr">
        <f>IF(Variaveis!A373="","",Variaveis!A373)</f>
        <v/>
      </c>
      <c r="B373" s="4" t="str">
        <f>IF(Variaveis!A373="","",SUMPRODUCT(N(Variaveis!B373:J373),Pesos_Decisao!$B$2:$J$2))</f>
        <v/>
      </c>
      <c r="C373" s="4" t="str">
        <f>IF(Variaveis!A373="","",SUMPRODUCT(N(Variaveis!B373:J373),Pesos_Decisao!$B$3:$J$3))</f>
        <v/>
      </c>
      <c r="D373" s="4" t="str">
        <f>IF(Variaveis!A373="","",SUMPRODUCT(N(Variaveis!B373:J373),Pesos_Decisao!$B$4:$J$4))</f>
        <v/>
      </c>
      <c r="E373" s="4" t="str">
        <f>IF(Variaveis!A373="","",SUMPRODUCT(N(Variaveis!B373:J373),Pesos_Decisao!$B$5:$J$5))</f>
        <v/>
      </c>
      <c r="F373" s="4" t="str">
        <f>IF(Variaveis!A373="","",SUMPRODUCT(N(Variaveis!B373:J373),Pesos_Decisao!$B$6:$J$6))</f>
        <v/>
      </c>
      <c r="G373" s="4" t="str">
        <f>IF(Variaveis!A373="","",SUMPRODUCT(N(Variaveis!B373:J373),Pesos_Decisao!$B$7:$J$7))</f>
        <v/>
      </c>
      <c r="H373" s="4" t="str">
        <f>IF(Variaveis!A373="","",SUMPRODUCT(N(Variaveis!B373:J373),Pesos_Decisao!$B$8:$J$8))</f>
        <v/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tr">
        <f>IF(Variaveis!A374="","",Variaveis!A374)</f>
        <v/>
      </c>
      <c r="B374" s="4" t="str">
        <f>IF(Variaveis!A374="","",SUMPRODUCT(N(Variaveis!B374:J374),Pesos_Decisao!$B$2:$J$2))</f>
        <v/>
      </c>
      <c r="C374" s="4" t="str">
        <f>IF(Variaveis!A374="","",SUMPRODUCT(N(Variaveis!B374:J374),Pesos_Decisao!$B$3:$J$3))</f>
        <v/>
      </c>
      <c r="D374" s="4" t="str">
        <f>IF(Variaveis!A374="","",SUMPRODUCT(N(Variaveis!B374:J374),Pesos_Decisao!$B$4:$J$4))</f>
        <v/>
      </c>
      <c r="E374" s="4" t="str">
        <f>IF(Variaveis!A374="","",SUMPRODUCT(N(Variaveis!B374:J374),Pesos_Decisao!$B$5:$J$5))</f>
        <v/>
      </c>
      <c r="F374" s="4" t="str">
        <f>IF(Variaveis!A374="","",SUMPRODUCT(N(Variaveis!B374:J374),Pesos_Decisao!$B$6:$J$6))</f>
        <v/>
      </c>
      <c r="G374" s="4" t="str">
        <f>IF(Variaveis!A374="","",SUMPRODUCT(N(Variaveis!B374:J374),Pesos_Decisao!$B$7:$J$7))</f>
        <v/>
      </c>
      <c r="H374" s="4" t="str">
        <f>IF(Variaveis!A374="","",SUMPRODUCT(N(Variaveis!B374:J374),Pesos_Decisao!$B$8:$J$8))</f>
        <v/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tr">
        <f>IF(Variaveis!A375="","",Variaveis!A375)</f>
        <v/>
      </c>
      <c r="B375" s="4" t="str">
        <f>IF(Variaveis!A375="","",SUMPRODUCT(N(Variaveis!B375:J375),Pesos_Decisao!$B$2:$J$2))</f>
        <v/>
      </c>
      <c r="C375" s="4" t="str">
        <f>IF(Variaveis!A375="","",SUMPRODUCT(N(Variaveis!B375:J375),Pesos_Decisao!$B$3:$J$3))</f>
        <v/>
      </c>
      <c r="D375" s="4" t="str">
        <f>IF(Variaveis!A375="","",SUMPRODUCT(N(Variaveis!B375:J375),Pesos_Decisao!$B$4:$J$4))</f>
        <v/>
      </c>
      <c r="E375" s="4" t="str">
        <f>IF(Variaveis!A375="","",SUMPRODUCT(N(Variaveis!B375:J375),Pesos_Decisao!$B$5:$J$5))</f>
        <v/>
      </c>
      <c r="F375" s="4" t="str">
        <f>IF(Variaveis!A375="","",SUMPRODUCT(N(Variaveis!B375:J375),Pesos_Decisao!$B$6:$J$6))</f>
        <v/>
      </c>
      <c r="G375" s="4" t="str">
        <f>IF(Variaveis!A375="","",SUMPRODUCT(N(Variaveis!B375:J375),Pesos_Decisao!$B$7:$J$7))</f>
        <v/>
      </c>
      <c r="H375" s="4" t="str">
        <f>IF(Variaveis!A375="","",SUMPRODUCT(N(Variaveis!B375:J375),Pesos_Decisao!$B$8:$J$8))</f>
        <v/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tr">
        <f>IF(Variaveis!A376="","",Variaveis!A376)</f>
        <v/>
      </c>
      <c r="B376" s="4" t="str">
        <f>IF(Variaveis!A376="","",SUMPRODUCT(N(Variaveis!B376:J376),Pesos_Decisao!$B$2:$J$2))</f>
        <v/>
      </c>
      <c r="C376" s="4" t="str">
        <f>IF(Variaveis!A376="","",SUMPRODUCT(N(Variaveis!B376:J376),Pesos_Decisao!$B$3:$J$3))</f>
        <v/>
      </c>
      <c r="D376" s="4" t="str">
        <f>IF(Variaveis!A376="","",SUMPRODUCT(N(Variaveis!B376:J376),Pesos_Decisao!$B$4:$J$4))</f>
        <v/>
      </c>
      <c r="E376" s="4" t="str">
        <f>IF(Variaveis!A376="","",SUMPRODUCT(N(Variaveis!B376:J376),Pesos_Decisao!$B$5:$J$5))</f>
        <v/>
      </c>
      <c r="F376" s="4" t="str">
        <f>IF(Variaveis!A376="","",SUMPRODUCT(N(Variaveis!B376:J376),Pesos_Decisao!$B$6:$J$6))</f>
        <v/>
      </c>
      <c r="G376" s="4" t="str">
        <f>IF(Variaveis!A376="","",SUMPRODUCT(N(Variaveis!B376:J376),Pesos_Decisao!$B$7:$J$7))</f>
        <v/>
      </c>
      <c r="H376" s="4" t="str">
        <f>IF(Variaveis!A376="","",SUMPRODUCT(N(Variaveis!B376:J376),Pesos_Decisao!$B$8:$J$8))</f>
        <v/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tr">
        <f>IF(Variaveis!A377="","",Variaveis!A377)</f>
        <v/>
      </c>
      <c r="B377" s="4" t="str">
        <f>IF(Variaveis!A377="","",SUMPRODUCT(N(Variaveis!B377:J377),Pesos_Decisao!$B$2:$J$2))</f>
        <v/>
      </c>
      <c r="C377" s="4" t="str">
        <f>IF(Variaveis!A377="","",SUMPRODUCT(N(Variaveis!B377:J377),Pesos_Decisao!$B$3:$J$3))</f>
        <v/>
      </c>
      <c r="D377" s="4" t="str">
        <f>IF(Variaveis!A377="","",SUMPRODUCT(N(Variaveis!B377:J377),Pesos_Decisao!$B$4:$J$4))</f>
        <v/>
      </c>
      <c r="E377" s="4" t="str">
        <f>IF(Variaveis!A377="","",SUMPRODUCT(N(Variaveis!B377:J377),Pesos_Decisao!$B$5:$J$5))</f>
        <v/>
      </c>
      <c r="F377" s="4" t="str">
        <f>IF(Variaveis!A377="","",SUMPRODUCT(N(Variaveis!B377:J377),Pesos_Decisao!$B$6:$J$6))</f>
        <v/>
      </c>
      <c r="G377" s="4" t="str">
        <f>IF(Variaveis!A377="","",SUMPRODUCT(N(Variaveis!B377:J377),Pesos_Decisao!$B$7:$J$7))</f>
        <v/>
      </c>
      <c r="H377" s="4" t="str">
        <f>IF(Variaveis!A377="","",SUMPRODUCT(N(Variaveis!B377:J377),Pesos_Decisao!$B$8:$J$8))</f>
        <v/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tr">
        <f>IF(Variaveis!A378="","",Variaveis!A378)</f>
        <v/>
      </c>
      <c r="B378" s="4" t="str">
        <f>IF(Variaveis!A378="","",SUMPRODUCT(N(Variaveis!B378:J378),Pesos_Decisao!$B$2:$J$2))</f>
        <v/>
      </c>
      <c r="C378" s="4" t="str">
        <f>IF(Variaveis!A378="","",SUMPRODUCT(N(Variaveis!B378:J378),Pesos_Decisao!$B$3:$J$3))</f>
        <v/>
      </c>
      <c r="D378" s="4" t="str">
        <f>IF(Variaveis!A378="","",SUMPRODUCT(N(Variaveis!B378:J378),Pesos_Decisao!$B$4:$J$4))</f>
        <v/>
      </c>
      <c r="E378" s="4" t="str">
        <f>IF(Variaveis!A378="","",SUMPRODUCT(N(Variaveis!B378:J378),Pesos_Decisao!$B$5:$J$5))</f>
        <v/>
      </c>
      <c r="F378" s="4" t="str">
        <f>IF(Variaveis!A378="","",SUMPRODUCT(N(Variaveis!B378:J378),Pesos_Decisao!$B$6:$J$6))</f>
        <v/>
      </c>
      <c r="G378" s="4" t="str">
        <f>IF(Variaveis!A378="","",SUMPRODUCT(N(Variaveis!B378:J378),Pesos_Decisao!$B$7:$J$7))</f>
        <v/>
      </c>
      <c r="H378" s="4" t="str">
        <f>IF(Variaveis!A378="","",SUMPRODUCT(N(Variaveis!B378:J378),Pesos_Decisao!$B$8:$J$8))</f>
        <v/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tr">
        <f>IF(Variaveis!A379="","",Variaveis!A379)</f>
        <v/>
      </c>
      <c r="B379" s="4" t="str">
        <f>IF(Variaveis!A379="","",SUMPRODUCT(N(Variaveis!B379:J379),Pesos_Decisao!$B$2:$J$2))</f>
        <v/>
      </c>
      <c r="C379" s="4" t="str">
        <f>IF(Variaveis!A379="","",SUMPRODUCT(N(Variaveis!B379:J379),Pesos_Decisao!$B$3:$J$3))</f>
        <v/>
      </c>
      <c r="D379" s="4" t="str">
        <f>IF(Variaveis!A379="","",SUMPRODUCT(N(Variaveis!B379:J379),Pesos_Decisao!$B$4:$J$4))</f>
        <v/>
      </c>
      <c r="E379" s="4" t="str">
        <f>IF(Variaveis!A379="","",SUMPRODUCT(N(Variaveis!B379:J379),Pesos_Decisao!$B$5:$J$5))</f>
        <v/>
      </c>
      <c r="F379" s="4" t="str">
        <f>IF(Variaveis!A379="","",SUMPRODUCT(N(Variaveis!B379:J379),Pesos_Decisao!$B$6:$J$6))</f>
        <v/>
      </c>
      <c r="G379" s="4" t="str">
        <f>IF(Variaveis!A379="","",SUMPRODUCT(N(Variaveis!B379:J379),Pesos_Decisao!$B$7:$J$7))</f>
        <v/>
      </c>
      <c r="H379" s="4" t="str">
        <f>IF(Variaveis!A379="","",SUMPRODUCT(N(Variaveis!B379:J379),Pesos_Decisao!$B$8:$J$8))</f>
        <v/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tr">
        <f>IF(Variaveis!A380="","",Variaveis!A380)</f>
        <v/>
      </c>
      <c r="B380" s="4" t="str">
        <f>IF(Variaveis!A380="","",SUMPRODUCT(N(Variaveis!B380:J380),Pesos_Decisao!$B$2:$J$2))</f>
        <v/>
      </c>
      <c r="C380" s="4" t="str">
        <f>IF(Variaveis!A380="","",SUMPRODUCT(N(Variaveis!B380:J380),Pesos_Decisao!$B$3:$J$3))</f>
        <v/>
      </c>
      <c r="D380" s="4" t="str">
        <f>IF(Variaveis!A380="","",SUMPRODUCT(N(Variaveis!B380:J380),Pesos_Decisao!$B$4:$J$4))</f>
        <v/>
      </c>
      <c r="E380" s="4" t="str">
        <f>IF(Variaveis!A380="","",SUMPRODUCT(N(Variaveis!B380:J380),Pesos_Decisao!$B$5:$J$5))</f>
        <v/>
      </c>
      <c r="F380" s="4" t="str">
        <f>IF(Variaveis!A380="","",SUMPRODUCT(N(Variaveis!B380:J380),Pesos_Decisao!$B$6:$J$6))</f>
        <v/>
      </c>
      <c r="G380" s="4" t="str">
        <f>IF(Variaveis!A380="","",SUMPRODUCT(N(Variaveis!B380:J380),Pesos_Decisao!$B$7:$J$7))</f>
        <v/>
      </c>
      <c r="H380" s="4" t="str">
        <f>IF(Variaveis!A380="","",SUMPRODUCT(N(Variaveis!B380:J380),Pesos_Decisao!$B$8:$J$8))</f>
        <v/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tr">
        <f>IF(Variaveis!A381="","",Variaveis!A381)</f>
        <v/>
      </c>
      <c r="B381" s="4" t="str">
        <f>IF(Variaveis!A381="","",SUMPRODUCT(N(Variaveis!B381:J381),Pesos_Decisao!$B$2:$J$2))</f>
        <v/>
      </c>
      <c r="C381" s="4" t="str">
        <f>IF(Variaveis!A381="","",SUMPRODUCT(N(Variaveis!B381:J381),Pesos_Decisao!$B$3:$J$3))</f>
        <v/>
      </c>
      <c r="D381" s="4" t="str">
        <f>IF(Variaveis!A381="","",SUMPRODUCT(N(Variaveis!B381:J381),Pesos_Decisao!$B$4:$J$4))</f>
        <v/>
      </c>
      <c r="E381" s="4" t="str">
        <f>IF(Variaveis!A381="","",SUMPRODUCT(N(Variaveis!B381:J381),Pesos_Decisao!$B$5:$J$5))</f>
        <v/>
      </c>
      <c r="F381" s="4" t="str">
        <f>IF(Variaveis!A381="","",SUMPRODUCT(N(Variaveis!B381:J381),Pesos_Decisao!$B$6:$J$6))</f>
        <v/>
      </c>
      <c r="G381" s="4" t="str">
        <f>IF(Variaveis!A381="","",SUMPRODUCT(N(Variaveis!B381:J381),Pesos_Decisao!$B$7:$J$7))</f>
        <v/>
      </c>
      <c r="H381" s="4" t="str">
        <f>IF(Variaveis!A381="","",SUMPRODUCT(N(Variaveis!B381:J381),Pesos_Decisao!$B$8:$J$8))</f>
        <v/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tr">
        <f>IF(Variaveis!A382="","",Variaveis!A382)</f>
        <v/>
      </c>
      <c r="B382" s="4" t="str">
        <f>IF(Variaveis!A382="","",SUMPRODUCT(N(Variaveis!B382:J382),Pesos_Decisao!$B$2:$J$2))</f>
        <v/>
      </c>
      <c r="C382" s="4" t="str">
        <f>IF(Variaveis!A382="","",SUMPRODUCT(N(Variaveis!B382:J382),Pesos_Decisao!$B$3:$J$3))</f>
        <v/>
      </c>
      <c r="D382" s="4" t="str">
        <f>IF(Variaveis!A382="","",SUMPRODUCT(N(Variaveis!B382:J382),Pesos_Decisao!$B$4:$J$4))</f>
        <v/>
      </c>
      <c r="E382" s="4" t="str">
        <f>IF(Variaveis!A382="","",SUMPRODUCT(N(Variaveis!B382:J382),Pesos_Decisao!$B$5:$J$5))</f>
        <v/>
      </c>
      <c r="F382" s="4" t="str">
        <f>IF(Variaveis!A382="","",SUMPRODUCT(N(Variaveis!B382:J382),Pesos_Decisao!$B$6:$J$6))</f>
        <v/>
      </c>
      <c r="G382" s="4" t="str">
        <f>IF(Variaveis!A382="","",SUMPRODUCT(N(Variaveis!B382:J382),Pesos_Decisao!$B$7:$J$7))</f>
        <v/>
      </c>
      <c r="H382" s="4" t="str">
        <f>IF(Variaveis!A382="","",SUMPRODUCT(N(Variaveis!B382:J382),Pesos_Decisao!$B$8:$J$8))</f>
        <v/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tr">
        <f>IF(Variaveis!A383="","",Variaveis!A383)</f>
        <v/>
      </c>
      <c r="B383" s="4" t="str">
        <f>IF(Variaveis!A383="","",SUMPRODUCT(N(Variaveis!B383:J383),Pesos_Decisao!$B$2:$J$2))</f>
        <v/>
      </c>
      <c r="C383" s="4" t="str">
        <f>IF(Variaveis!A383="","",SUMPRODUCT(N(Variaveis!B383:J383),Pesos_Decisao!$B$3:$J$3))</f>
        <v/>
      </c>
      <c r="D383" s="4" t="str">
        <f>IF(Variaveis!A383="","",SUMPRODUCT(N(Variaveis!B383:J383),Pesos_Decisao!$B$4:$J$4))</f>
        <v/>
      </c>
      <c r="E383" s="4" t="str">
        <f>IF(Variaveis!A383="","",SUMPRODUCT(N(Variaveis!B383:J383),Pesos_Decisao!$B$5:$J$5))</f>
        <v/>
      </c>
      <c r="F383" s="4" t="str">
        <f>IF(Variaveis!A383="","",SUMPRODUCT(N(Variaveis!B383:J383),Pesos_Decisao!$B$6:$J$6))</f>
        <v/>
      </c>
      <c r="G383" s="4" t="str">
        <f>IF(Variaveis!A383="","",SUMPRODUCT(N(Variaveis!B383:J383),Pesos_Decisao!$B$7:$J$7))</f>
        <v/>
      </c>
      <c r="H383" s="4" t="str">
        <f>IF(Variaveis!A383="","",SUMPRODUCT(N(Variaveis!B383:J383),Pesos_Decisao!$B$8:$J$8))</f>
        <v/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tr">
        <f>IF(Variaveis!A384="","",Variaveis!A384)</f>
        <v/>
      </c>
      <c r="B384" s="4" t="str">
        <f>IF(Variaveis!A384="","",SUMPRODUCT(N(Variaveis!B384:J384),Pesos_Decisao!$B$2:$J$2))</f>
        <v/>
      </c>
      <c r="C384" s="4" t="str">
        <f>IF(Variaveis!A384="","",SUMPRODUCT(N(Variaveis!B384:J384),Pesos_Decisao!$B$3:$J$3))</f>
        <v/>
      </c>
      <c r="D384" s="4" t="str">
        <f>IF(Variaveis!A384="","",SUMPRODUCT(N(Variaveis!B384:J384),Pesos_Decisao!$B$4:$J$4))</f>
        <v/>
      </c>
      <c r="E384" s="4" t="str">
        <f>IF(Variaveis!A384="","",SUMPRODUCT(N(Variaveis!B384:J384),Pesos_Decisao!$B$5:$J$5))</f>
        <v/>
      </c>
      <c r="F384" s="4" t="str">
        <f>IF(Variaveis!A384="","",SUMPRODUCT(N(Variaveis!B384:J384),Pesos_Decisao!$B$6:$J$6))</f>
        <v/>
      </c>
      <c r="G384" s="4" t="str">
        <f>IF(Variaveis!A384="","",SUMPRODUCT(N(Variaveis!B384:J384),Pesos_Decisao!$B$7:$J$7))</f>
        <v/>
      </c>
      <c r="H384" s="4" t="str">
        <f>IF(Variaveis!A384="","",SUMPRODUCT(N(Variaveis!B384:J384),Pesos_Decisao!$B$8:$J$8))</f>
        <v/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tr">
        <f>IF(Variaveis!A385="","",Variaveis!A385)</f>
        <v/>
      </c>
      <c r="B385" s="4" t="str">
        <f>IF(Variaveis!A385="","",SUMPRODUCT(N(Variaveis!B385:J385),Pesos_Decisao!$B$2:$J$2))</f>
        <v/>
      </c>
      <c r="C385" s="4" t="str">
        <f>IF(Variaveis!A385="","",SUMPRODUCT(N(Variaveis!B385:J385),Pesos_Decisao!$B$3:$J$3))</f>
        <v/>
      </c>
      <c r="D385" s="4" t="str">
        <f>IF(Variaveis!A385="","",SUMPRODUCT(N(Variaveis!B385:J385),Pesos_Decisao!$B$4:$J$4))</f>
        <v/>
      </c>
      <c r="E385" s="4" t="str">
        <f>IF(Variaveis!A385="","",SUMPRODUCT(N(Variaveis!B385:J385),Pesos_Decisao!$B$5:$J$5))</f>
        <v/>
      </c>
      <c r="F385" s="4" t="str">
        <f>IF(Variaveis!A385="","",SUMPRODUCT(N(Variaveis!B385:J385),Pesos_Decisao!$B$6:$J$6))</f>
        <v/>
      </c>
      <c r="G385" s="4" t="str">
        <f>IF(Variaveis!A385="","",SUMPRODUCT(N(Variaveis!B385:J385),Pesos_Decisao!$B$7:$J$7))</f>
        <v/>
      </c>
      <c r="H385" s="4" t="str">
        <f>IF(Variaveis!A385="","",SUMPRODUCT(N(Variaveis!B385:J385),Pesos_Decisao!$B$8:$J$8))</f>
        <v/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tr">
        <f>IF(Variaveis!A386="","",Variaveis!A386)</f>
        <v/>
      </c>
      <c r="B386" s="4" t="str">
        <f>IF(Variaveis!A386="","",SUMPRODUCT(N(Variaveis!B386:J386),Pesos_Decisao!$B$2:$J$2))</f>
        <v/>
      </c>
      <c r="C386" s="4" t="str">
        <f>IF(Variaveis!A386="","",SUMPRODUCT(N(Variaveis!B386:J386),Pesos_Decisao!$B$3:$J$3))</f>
        <v/>
      </c>
      <c r="D386" s="4" t="str">
        <f>IF(Variaveis!A386="","",SUMPRODUCT(N(Variaveis!B386:J386),Pesos_Decisao!$B$4:$J$4))</f>
        <v/>
      </c>
      <c r="E386" s="4" t="str">
        <f>IF(Variaveis!A386="","",SUMPRODUCT(N(Variaveis!B386:J386),Pesos_Decisao!$B$5:$J$5))</f>
        <v/>
      </c>
      <c r="F386" s="4" t="str">
        <f>IF(Variaveis!A386="","",SUMPRODUCT(N(Variaveis!B386:J386),Pesos_Decisao!$B$6:$J$6))</f>
        <v/>
      </c>
      <c r="G386" s="4" t="str">
        <f>IF(Variaveis!A386="","",SUMPRODUCT(N(Variaveis!B386:J386),Pesos_Decisao!$B$7:$J$7))</f>
        <v/>
      </c>
      <c r="H386" s="4" t="str">
        <f>IF(Variaveis!A386="","",SUMPRODUCT(N(Variaveis!B386:J386),Pesos_Decisao!$B$8:$J$8))</f>
        <v/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tr">
        <f>IF(Variaveis!A387="","",Variaveis!A387)</f>
        <v/>
      </c>
      <c r="B387" s="4" t="str">
        <f>IF(Variaveis!A387="","",SUMPRODUCT(N(Variaveis!B387:J387),Pesos_Decisao!$B$2:$J$2))</f>
        <v/>
      </c>
      <c r="C387" s="4" t="str">
        <f>IF(Variaveis!A387="","",SUMPRODUCT(N(Variaveis!B387:J387),Pesos_Decisao!$B$3:$J$3))</f>
        <v/>
      </c>
      <c r="D387" s="4" t="str">
        <f>IF(Variaveis!A387="","",SUMPRODUCT(N(Variaveis!B387:J387),Pesos_Decisao!$B$4:$J$4))</f>
        <v/>
      </c>
      <c r="E387" s="4" t="str">
        <f>IF(Variaveis!A387="","",SUMPRODUCT(N(Variaveis!B387:J387),Pesos_Decisao!$B$5:$J$5))</f>
        <v/>
      </c>
      <c r="F387" s="4" t="str">
        <f>IF(Variaveis!A387="","",SUMPRODUCT(N(Variaveis!B387:J387),Pesos_Decisao!$B$6:$J$6))</f>
        <v/>
      </c>
      <c r="G387" s="4" t="str">
        <f>IF(Variaveis!A387="","",SUMPRODUCT(N(Variaveis!B387:J387),Pesos_Decisao!$B$7:$J$7))</f>
        <v/>
      </c>
      <c r="H387" s="4" t="str">
        <f>IF(Variaveis!A387="","",SUMPRODUCT(N(Variaveis!B387:J387),Pesos_Decisao!$B$8:$J$8))</f>
        <v/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tr">
        <f>IF(Variaveis!A388="","",Variaveis!A388)</f>
        <v/>
      </c>
      <c r="B388" s="4" t="str">
        <f>IF(Variaveis!A388="","",SUMPRODUCT(N(Variaveis!B388:J388),Pesos_Decisao!$B$2:$J$2))</f>
        <v/>
      </c>
      <c r="C388" s="4" t="str">
        <f>IF(Variaveis!A388="","",SUMPRODUCT(N(Variaveis!B388:J388),Pesos_Decisao!$B$3:$J$3))</f>
        <v/>
      </c>
      <c r="D388" s="4" t="str">
        <f>IF(Variaveis!A388="","",SUMPRODUCT(N(Variaveis!B388:J388),Pesos_Decisao!$B$4:$J$4))</f>
        <v/>
      </c>
      <c r="E388" s="4" t="str">
        <f>IF(Variaveis!A388="","",SUMPRODUCT(N(Variaveis!B388:J388),Pesos_Decisao!$B$5:$J$5))</f>
        <v/>
      </c>
      <c r="F388" s="4" t="str">
        <f>IF(Variaveis!A388="","",SUMPRODUCT(N(Variaveis!B388:J388),Pesos_Decisao!$B$6:$J$6))</f>
        <v/>
      </c>
      <c r="G388" s="4" t="str">
        <f>IF(Variaveis!A388="","",SUMPRODUCT(N(Variaveis!B388:J388),Pesos_Decisao!$B$7:$J$7))</f>
        <v/>
      </c>
      <c r="H388" s="4" t="str">
        <f>IF(Variaveis!A388="","",SUMPRODUCT(N(Variaveis!B388:J388),Pesos_Decisao!$B$8:$J$8))</f>
        <v/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tr">
        <f>IF(Variaveis!A389="","",Variaveis!A389)</f>
        <v/>
      </c>
      <c r="B389" s="4" t="str">
        <f>IF(Variaveis!A389="","",SUMPRODUCT(N(Variaveis!B389:J389),Pesos_Decisao!$B$2:$J$2))</f>
        <v/>
      </c>
      <c r="C389" s="4" t="str">
        <f>IF(Variaveis!A389="","",SUMPRODUCT(N(Variaveis!B389:J389),Pesos_Decisao!$B$3:$J$3))</f>
        <v/>
      </c>
      <c r="D389" s="4" t="str">
        <f>IF(Variaveis!A389="","",SUMPRODUCT(N(Variaveis!B389:J389),Pesos_Decisao!$B$4:$J$4))</f>
        <v/>
      </c>
      <c r="E389" s="4" t="str">
        <f>IF(Variaveis!A389="","",SUMPRODUCT(N(Variaveis!B389:J389),Pesos_Decisao!$B$5:$J$5))</f>
        <v/>
      </c>
      <c r="F389" s="4" t="str">
        <f>IF(Variaveis!A389="","",SUMPRODUCT(N(Variaveis!B389:J389),Pesos_Decisao!$B$6:$J$6))</f>
        <v/>
      </c>
      <c r="G389" s="4" t="str">
        <f>IF(Variaveis!A389="","",SUMPRODUCT(N(Variaveis!B389:J389),Pesos_Decisao!$B$7:$J$7))</f>
        <v/>
      </c>
      <c r="H389" s="4" t="str">
        <f>IF(Variaveis!A389="","",SUMPRODUCT(N(Variaveis!B389:J389),Pesos_Decisao!$B$8:$J$8))</f>
        <v/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tr">
        <f>IF(Variaveis!A390="","",Variaveis!A390)</f>
        <v/>
      </c>
      <c r="B390" s="4" t="str">
        <f>IF(Variaveis!A390="","",SUMPRODUCT(N(Variaveis!B390:J390),Pesos_Decisao!$B$2:$J$2))</f>
        <v/>
      </c>
      <c r="C390" s="4" t="str">
        <f>IF(Variaveis!A390="","",SUMPRODUCT(N(Variaveis!B390:J390),Pesos_Decisao!$B$3:$J$3))</f>
        <v/>
      </c>
      <c r="D390" s="4" t="str">
        <f>IF(Variaveis!A390="","",SUMPRODUCT(N(Variaveis!B390:J390),Pesos_Decisao!$B$4:$J$4))</f>
        <v/>
      </c>
      <c r="E390" s="4" t="str">
        <f>IF(Variaveis!A390="","",SUMPRODUCT(N(Variaveis!B390:J390),Pesos_Decisao!$B$5:$J$5))</f>
        <v/>
      </c>
      <c r="F390" s="4" t="str">
        <f>IF(Variaveis!A390="","",SUMPRODUCT(N(Variaveis!B390:J390),Pesos_Decisao!$B$6:$J$6))</f>
        <v/>
      </c>
      <c r="G390" s="4" t="str">
        <f>IF(Variaveis!A390="","",SUMPRODUCT(N(Variaveis!B390:J390),Pesos_Decisao!$B$7:$J$7))</f>
        <v/>
      </c>
      <c r="H390" s="4" t="str">
        <f>IF(Variaveis!A390="","",SUMPRODUCT(N(Variaveis!B390:J390),Pesos_Decisao!$B$8:$J$8))</f>
        <v/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tr">
        <f>IF(Variaveis!A391="","",Variaveis!A391)</f>
        <v/>
      </c>
      <c r="B391" s="4" t="str">
        <f>IF(Variaveis!A391="","",SUMPRODUCT(N(Variaveis!B391:J391),Pesos_Decisao!$B$2:$J$2))</f>
        <v/>
      </c>
      <c r="C391" s="4" t="str">
        <f>IF(Variaveis!A391="","",SUMPRODUCT(N(Variaveis!B391:J391),Pesos_Decisao!$B$3:$J$3))</f>
        <v/>
      </c>
      <c r="D391" s="4" t="str">
        <f>IF(Variaveis!A391="","",SUMPRODUCT(N(Variaveis!B391:J391),Pesos_Decisao!$B$4:$J$4))</f>
        <v/>
      </c>
      <c r="E391" s="4" t="str">
        <f>IF(Variaveis!A391="","",SUMPRODUCT(N(Variaveis!B391:J391),Pesos_Decisao!$B$5:$J$5))</f>
        <v/>
      </c>
      <c r="F391" s="4" t="str">
        <f>IF(Variaveis!A391="","",SUMPRODUCT(N(Variaveis!B391:J391),Pesos_Decisao!$B$6:$J$6))</f>
        <v/>
      </c>
      <c r="G391" s="4" t="str">
        <f>IF(Variaveis!A391="","",SUMPRODUCT(N(Variaveis!B391:J391),Pesos_Decisao!$B$7:$J$7))</f>
        <v/>
      </c>
      <c r="H391" s="4" t="str">
        <f>IF(Variaveis!A391="","",SUMPRODUCT(N(Variaveis!B391:J391),Pesos_Decisao!$B$8:$J$8))</f>
        <v/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tr">
        <f>IF(Variaveis!A392="","",Variaveis!A392)</f>
        <v/>
      </c>
      <c r="B392" s="4" t="str">
        <f>IF(Variaveis!A392="","",SUMPRODUCT(N(Variaveis!B392:J392),Pesos_Decisao!$B$2:$J$2))</f>
        <v/>
      </c>
      <c r="C392" s="4" t="str">
        <f>IF(Variaveis!A392="","",SUMPRODUCT(N(Variaveis!B392:J392),Pesos_Decisao!$B$3:$J$3))</f>
        <v/>
      </c>
      <c r="D392" s="4" t="str">
        <f>IF(Variaveis!A392="","",SUMPRODUCT(N(Variaveis!B392:J392),Pesos_Decisao!$B$4:$J$4))</f>
        <v/>
      </c>
      <c r="E392" s="4" t="str">
        <f>IF(Variaveis!A392="","",SUMPRODUCT(N(Variaveis!B392:J392),Pesos_Decisao!$B$5:$J$5))</f>
        <v/>
      </c>
      <c r="F392" s="4" t="str">
        <f>IF(Variaveis!A392="","",SUMPRODUCT(N(Variaveis!B392:J392),Pesos_Decisao!$B$6:$J$6))</f>
        <v/>
      </c>
      <c r="G392" s="4" t="str">
        <f>IF(Variaveis!A392="","",SUMPRODUCT(N(Variaveis!B392:J392),Pesos_Decisao!$B$7:$J$7))</f>
        <v/>
      </c>
      <c r="H392" s="4" t="str">
        <f>IF(Variaveis!A392="","",SUMPRODUCT(N(Variaveis!B392:J392),Pesos_Decisao!$B$8:$J$8))</f>
        <v/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tr">
        <f>IF(Variaveis!A393="","",Variaveis!A393)</f>
        <v/>
      </c>
      <c r="B393" s="4" t="str">
        <f>IF(Variaveis!A393="","",SUMPRODUCT(N(Variaveis!B393:J393),Pesos_Decisao!$B$2:$J$2))</f>
        <v/>
      </c>
      <c r="C393" s="4" t="str">
        <f>IF(Variaveis!A393="","",SUMPRODUCT(N(Variaveis!B393:J393),Pesos_Decisao!$B$3:$J$3))</f>
        <v/>
      </c>
      <c r="D393" s="4" t="str">
        <f>IF(Variaveis!A393="","",SUMPRODUCT(N(Variaveis!B393:J393),Pesos_Decisao!$B$4:$J$4))</f>
        <v/>
      </c>
      <c r="E393" s="4" t="str">
        <f>IF(Variaveis!A393="","",SUMPRODUCT(N(Variaveis!B393:J393),Pesos_Decisao!$B$5:$J$5))</f>
        <v/>
      </c>
      <c r="F393" s="4" t="str">
        <f>IF(Variaveis!A393="","",SUMPRODUCT(N(Variaveis!B393:J393),Pesos_Decisao!$B$6:$J$6))</f>
        <v/>
      </c>
      <c r="G393" s="4" t="str">
        <f>IF(Variaveis!A393="","",SUMPRODUCT(N(Variaveis!B393:J393),Pesos_Decisao!$B$7:$J$7))</f>
        <v/>
      </c>
      <c r="H393" s="4" t="str">
        <f>IF(Variaveis!A393="","",SUMPRODUCT(N(Variaveis!B393:J393),Pesos_Decisao!$B$8:$J$8))</f>
        <v/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tr">
        <f>IF(Variaveis!A394="","",Variaveis!A394)</f>
        <v/>
      </c>
      <c r="B394" s="4" t="str">
        <f>IF(Variaveis!A394="","",SUMPRODUCT(N(Variaveis!B394:J394),Pesos_Decisao!$B$2:$J$2))</f>
        <v/>
      </c>
      <c r="C394" s="4" t="str">
        <f>IF(Variaveis!A394="","",SUMPRODUCT(N(Variaveis!B394:J394),Pesos_Decisao!$B$3:$J$3))</f>
        <v/>
      </c>
      <c r="D394" s="4" t="str">
        <f>IF(Variaveis!A394="","",SUMPRODUCT(N(Variaveis!B394:J394),Pesos_Decisao!$B$4:$J$4))</f>
        <v/>
      </c>
      <c r="E394" s="4" t="str">
        <f>IF(Variaveis!A394="","",SUMPRODUCT(N(Variaveis!B394:J394),Pesos_Decisao!$B$5:$J$5))</f>
        <v/>
      </c>
      <c r="F394" s="4" t="str">
        <f>IF(Variaveis!A394="","",SUMPRODUCT(N(Variaveis!B394:J394),Pesos_Decisao!$B$6:$J$6))</f>
        <v/>
      </c>
      <c r="G394" s="4" t="str">
        <f>IF(Variaveis!A394="","",SUMPRODUCT(N(Variaveis!B394:J394),Pesos_Decisao!$B$7:$J$7))</f>
        <v/>
      </c>
      <c r="H394" s="4" t="str">
        <f>IF(Variaveis!A394="","",SUMPRODUCT(N(Variaveis!B394:J394),Pesos_Decisao!$B$8:$J$8))</f>
        <v/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tr">
        <f>IF(Variaveis!A395="","",Variaveis!A395)</f>
        <v/>
      </c>
      <c r="B395" s="4" t="str">
        <f>IF(Variaveis!A395="","",SUMPRODUCT(N(Variaveis!B395:J395),Pesos_Decisao!$B$2:$J$2))</f>
        <v/>
      </c>
      <c r="C395" s="4" t="str">
        <f>IF(Variaveis!A395="","",SUMPRODUCT(N(Variaveis!B395:J395),Pesos_Decisao!$B$3:$J$3))</f>
        <v/>
      </c>
      <c r="D395" s="4" t="str">
        <f>IF(Variaveis!A395="","",SUMPRODUCT(N(Variaveis!B395:J395),Pesos_Decisao!$B$4:$J$4))</f>
        <v/>
      </c>
      <c r="E395" s="4" t="str">
        <f>IF(Variaveis!A395="","",SUMPRODUCT(N(Variaveis!B395:J395),Pesos_Decisao!$B$5:$J$5))</f>
        <v/>
      </c>
      <c r="F395" s="4" t="str">
        <f>IF(Variaveis!A395="","",SUMPRODUCT(N(Variaveis!B395:J395),Pesos_Decisao!$B$6:$J$6))</f>
        <v/>
      </c>
      <c r="G395" s="4" t="str">
        <f>IF(Variaveis!A395="","",SUMPRODUCT(N(Variaveis!B395:J395),Pesos_Decisao!$B$7:$J$7))</f>
        <v/>
      </c>
      <c r="H395" s="4" t="str">
        <f>IF(Variaveis!A395="","",SUMPRODUCT(N(Variaveis!B395:J395),Pesos_Decisao!$B$8:$J$8))</f>
        <v/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tr">
        <f>IF(Variaveis!A396="","",Variaveis!A396)</f>
        <v/>
      </c>
      <c r="B396" s="4" t="str">
        <f>IF(Variaveis!A396="","",SUMPRODUCT(N(Variaveis!B396:J396),Pesos_Decisao!$B$2:$J$2))</f>
        <v/>
      </c>
      <c r="C396" s="4" t="str">
        <f>IF(Variaveis!A396="","",SUMPRODUCT(N(Variaveis!B396:J396),Pesos_Decisao!$B$3:$J$3))</f>
        <v/>
      </c>
      <c r="D396" s="4" t="str">
        <f>IF(Variaveis!A396="","",SUMPRODUCT(N(Variaveis!B396:J396),Pesos_Decisao!$B$4:$J$4))</f>
        <v/>
      </c>
      <c r="E396" s="4" t="str">
        <f>IF(Variaveis!A396="","",SUMPRODUCT(N(Variaveis!B396:J396),Pesos_Decisao!$B$5:$J$5))</f>
        <v/>
      </c>
      <c r="F396" s="4" t="str">
        <f>IF(Variaveis!A396="","",SUMPRODUCT(N(Variaveis!B396:J396),Pesos_Decisao!$B$6:$J$6))</f>
        <v/>
      </c>
      <c r="G396" s="4" t="str">
        <f>IF(Variaveis!A396="","",SUMPRODUCT(N(Variaveis!B396:J396),Pesos_Decisao!$B$7:$J$7))</f>
        <v/>
      </c>
      <c r="H396" s="4" t="str">
        <f>IF(Variaveis!A396="","",SUMPRODUCT(N(Variaveis!B396:J396),Pesos_Decisao!$B$8:$J$8))</f>
        <v/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tr">
        <f>IF(Variaveis!A397="","",Variaveis!A397)</f>
        <v/>
      </c>
      <c r="B397" s="4" t="str">
        <f>IF(Variaveis!A397="","",SUMPRODUCT(N(Variaveis!B397:J397),Pesos_Decisao!$B$2:$J$2))</f>
        <v/>
      </c>
      <c r="C397" s="4" t="str">
        <f>IF(Variaveis!A397="","",SUMPRODUCT(N(Variaveis!B397:J397),Pesos_Decisao!$B$3:$J$3))</f>
        <v/>
      </c>
      <c r="D397" s="4" t="str">
        <f>IF(Variaveis!A397="","",SUMPRODUCT(N(Variaveis!B397:J397),Pesos_Decisao!$B$4:$J$4))</f>
        <v/>
      </c>
      <c r="E397" s="4" t="str">
        <f>IF(Variaveis!A397="","",SUMPRODUCT(N(Variaveis!B397:J397),Pesos_Decisao!$B$5:$J$5))</f>
        <v/>
      </c>
      <c r="F397" s="4" t="str">
        <f>IF(Variaveis!A397="","",SUMPRODUCT(N(Variaveis!B397:J397),Pesos_Decisao!$B$6:$J$6))</f>
        <v/>
      </c>
      <c r="G397" s="4" t="str">
        <f>IF(Variaveis!A397="","",SUMPRODUCT(N(Variaveis!B397:J397),Pesos_Decisao!$B$7:$J$7))</f>
        <v/>
      </c>
      <c r="H397" s="4" t="str">
        <f>IF(Variaveis!A397="","",SUMPRODUCT(N(Variaveis!B397:J397),Pesos_Decisao!$B$8:$J$8))</f>
        <v/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tr">
        <f>IF(Variaveis!A398="","",Variaveis!A398)</f>
        <v/>
      </c>
      <c r="B398" s="4" t="str">
        <f>IF(Variaveis!A398="","",SUMPRODUCT(N(Variaveis!B398:J398),Pesos_Decisao!$B$2:$J$2))</f>
        <v/>
      </c>
      <c r="C398" s="4" t="str">
        <f>IF(Variaveis!A398="","",SUMPRODUCT(N(Variaveis!B398:J398),Pesos_Decisao!$B$3:$J$3))</f>
        <v/>
      </c>
      <c r="D398" s="4" t="str">
        <f>IF(Variaveis!A398="","",SUMPRODUCT(N(Variaveis!B398:J398),Pesos_Decisao!$B$4:$J$4))</f>
        <v/>
      </c>
      <c r="E398" s="4" t="str">
        <f>IF(Variaveis!A398="","",SUMPRODUCT(N(Variaveis!B398:J398),Pesos_Decisao!$B$5:$J$5))</f>
        <v/>
      </c>
      <c r="F398" s="4" t="str">
        <f>IF(Variaveis!A398="","",SUMPRODUCT(N(Variaveis!B398:J398),Pesos_Decisao!$B$6:$J$6))</f>
        <v/>
      </c>
      <c r="G398" s="4" t="str">
        <f>IF(Variaveis!A398="","",SUMPRODUCT(N(Variaveis!B398:J398),Pesos_Decisao!$B$7:$J$7))</f>
        <v/>
      </c>
      <c r="H398" s="4" t="str">
        <f>IF(Variaveis!A398="","",SUMPRODUCT(N(Variaveis!B398:J398),Pesos_Decisao!$B$8:$J$8))</f>
        <v/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tr">
        <f>IF(Variaveis!A399="","",Variaveis!A399)</f>
        <v/>
      </c>
      <c r="B399" s="4" t="str">
        <f>IF(Variaveis!A399="","",SUMPRODUCT(N(Variaveis!B399:J399),Pesos_Decisao!$B$2:$J$2))</f>
        <v/>
      </c>
      <c r="C399" s="4" t="str">
        <f>IF(Variaveis!A399="","",SUMPRODUCT(N(Variaveis!B399:J399),Pesos_Decisao!$B$3:$J$3))</f>
        <v/>
      </c>
      <c r="D399" s="4" t="str">
        <f>IF(Variaveis!A399="","",SUMPRODUCT(N(Variaveis!B399:J399),Pesos_Decisao!$B$4:$J$4))</f>
        <v/>
      </c>
      <c r="E399" s="4" t="str">
        <f>IF(Variaveis!A399="","",SUMPRODUCT(N(Variaveis!B399:J399),Pesos_Decisao!$B$5:$J$5))</f>
        <v/>
      </c>
      <c r="F399" s="4" t="str">
        <f>IF(Variaveis!A399="","",SUMPRODUCT(N(Variaveis!B399:J399),Pesos_Decisao!$B$6:$J$6))</f>
        <v/>
      </c>
      <c r="G399" s="4" t="str">
        <f>IF(Variaveis!A399="","",SUMPRODUCT(N(Variaveis!B399:J399),Pesos_Decisao!$B$7:$J$7))</f>
        <v/>
      </c>
      <c r="H399" s="4" t="str">
        <f>IF(Variaveis!A399="","",SUMPRODUCT(N(Variaveis!B399:J399),Pesos_Decisao!$B$8:$J$8))</f>
        <v/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tr">
        <f>IF(Variaveis!A400="","",Variaveis!A400)</f>
        <v/>
      </c>
      <c r="B400" s="4" t="str">
        <f>IF(Variaveis!A400="","",SUMPRODUCT(N(Variaveis!B400:J400),Pesos_Decisao!$B$2:$J$2))</f>
        <v/>
      </c>
      <c r="C400" s="4" t="str">
        <f>IF(Variaveis!A400="","",SUMPRODUCT(N(Variaveis!B400:J400),Pesos_Decisao!$B$3:$J$3))</f>
        <v/>
      </c>
      <c r="D400" s="4" t="str">
        <f>IF(Variaveis!A400="","",SUMPRODUCT(N(Variaveis!B400:J400),Pesos_Decisao!$B$4:$J$4))</f>
        <v/>
      </c>
      <c r="E400" s="4" t="str">
        <f>IF(Variaveis!A400="","",SUMPRODUCT(N(Variaveis!B400:J400),Pesos_Decisao!$B$5:$J$5))</f>
        <v/>
      </c>
      <c r="F400" s="4" t="str">
        <f>IF(Variaveis!A400="","",SUMPRODUCT(N(Variaveis!B400:J400),Pesos_Decisao!$B$6:$J$6))</f>
        <v/>
      </c>
      <c r="G400" s="4" t="str">
        <f>IF(Variaveis!A400="","",SUMPRODUCT(N(Variaveis!B400:J400),Pesos_Decisao!$B$7:$J$7))</f>
        <v/>
      </c>
      <c r="H400" s="4" t="str">
        <f>IF(Variaveis!A400="","",SUMPRODUCT(N(Variaveis!B400:J400),Pesos_Decisao!$B$8:$J$8))</f>
        <v/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tr">
        <f>IF(Variaveis!A401="","",Variaveis!A401)</f>
        <v/>
      </c>
      <c r="B401" s="4" t="str">
        <f>IF(Variaveis!A401="","",SUMPRODUCT(N(Variaveis!B401:J401),Pesos_Decisao!$B$2:$J$2))</f>
        <v/>
      </c>
      <c r="C401" s="4" t="str">
        <f>IF(Variaveis!A401="","",SUMPRODUCT(N(Variaveis!B401:J401),Pesos_Decisao!$B$3:$J$3))</f>
        <v/>
      </c>
      <c r="D401" s="4" t="str">
        <f>IF(Variaveis!A401="","",SUMPRODUCT(N(Variaveis!B401:J401),Pesos_Decisao!$B$4:$J$4))</f>
        <v/>
      </c>
      <c r="E401" s="4" t="str">
        <f>IF(Variaveis!A401="","",SUMPRODUCT(N(Variaveis!B401:J401),Pesos_Decisao!$B$5:$J$5))</f>
        <v/>
      </c>
      <c r="F401" s="4" t="str">
        <f>IF(Variaveis!A401="","",SUMPRODUCT(N(Variaveis!B401:J401),Pesos_Decisao!$B$6:$J$6))</f>
        <v/>
      </c>
      <c r="G401" s="4" t="str">
        <f>IF(Variaveis!A401="","",SUMPRODUCT(N(Variaveis!B401:J401),Pesos_Decisao!$B$7:$J$7))</f>
        <v/>
      </c>
      <c r="H401" s="4" t="str">
        <f>IF(Variaveis!A401="","",SUMPRODUCT(N(Variaveis!B401:J401),Pesos_Decisao!$B$8:$J$8))</f>
        <v/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tr">
        <f>IF(Variaveis!A402="","",Variaveis!A402)</f>
        <v/>
      </c>
      <c r="B402" s="4" t="str">
        <f>IF(Variaveis!A402="","",SUMPRODUCT(N(Variaveis!B402:J402),Pesos_Decisao!$B$2:$J$2))</f>
        <v/>
      </c>
      <c r="C402" s="4" t="str">
        <f>IF(Variaveis!A402="","",SUMPRODUCT(N(Variaveis!B402:J402),Pesos_Decisao!$B$3:$J$3))</f>
        <v/>
      </c>
      <c r="D402" s="4" t="str">
        <f>IF(Variaveis!A402="","",SUMPRODUCT(N(Variaveis!B402:J402),Pesos_Decisao!$B$4:$J$4))</f>
        <v/>
      </c>
      <c r="E402" s="4" t="str">
        <f>IF(Variaveis!A402="","",SUMPRODUCT(N(Variaveis!B402:J402),Pesos_Decisao!$B$5:$J$5))</f>
        <v/>
      </c>
      <c r="F402" s="4" t="str">
        <f>IF(Variaveis!A402="","",SUMPRODUCT(N(Variaveis!B402:J402),Pesos_Decisao!$B$6:$J$6))</f>
        <v/>
      </c>
      <c r="G402" s="4" t="str">
        <f>IF(Variaveis!A402="","",SUMPRODUCT(N(Variaveis!B402:J402),Pesos_Decisao!$B$7:$J$7))</f>
        <v/>
      </c>
      <c r="H402" s="4" t="str">
        <f>IF(Variaveis!A402="","",SUMPRODUCT(N(Variaveis!B402:J402),Pesos_Decisao!$B$8:$J$8))</f>
        <v/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tr">
        <f>IF(Variaveis!A403="","",Variaveis!A403)</f>
        <v/>
      </c>
      <c r="B403" s="4" t="str">
        <f>IF(Variaveis!A403="","",SUMPRODUCT(N(Variaveis!B403:J403),Pesos_Decisao!$B$2:$J$2))</f>
        <v/>
      </c>
      <c r="C403" s="4" t="str">
        <f>IF(Variaveis!A403="","",SUMPRODUCT(N(Variaveis!B403:J403),Pesos_Decisao!$B$3:$J$3))</f>
        <v/>
      </c>
      <c r="D403" s="4" t="str">
        <f>IF(Variaveis!A403="","",SUMPRODUCT(N(Variaveis!B403:J403),Pesos_Decisao!$B$4:$J$4))</f>
        <v/>
      </c>
      <c r="E403" s="4" t="str">
        <f>IF(Variaveis!A403="","",SUMPRODUCT(N(Variaveis!B403:J403),Pesos_Decisao!$B$5:$J$5))</f>
        <v/>
      </c>
      <c r="F403" s="4" t="str">
        <f>IF(Variaveis!A403="","",SUMPRODUCT(N(Variaveis!B403:J403),Pesos_Decisao!$B$6:$J$6))</f>
        <v/>
      </c>
      <c r="G403" s="4" t="str">
        <f>IF(Variaveis!A403="","",SUMPRODUCT(N(Variaveis!B403:J403),Pesos_Decisao!$B$7:$J$7))</f>
        <v/>
      </c>
      <c r="H403" s="4" t="str">
        <f>IF(Variaveis!A403="","",SUMPRODUCT(N(Variaveis!B403:J403),Pesos_Decisao!$B$8:$J$8))</f>
        <v/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tr">
        <f>IF(Variaveis!A404="","",Variaveis!A404)</f>
        <v/>
      </c>
      <c r="B404" s="4" t="str">
        <f>IF(Variaveis!A404="","",SUMPRODUCT(N(Variaveis!B404:J404),Pesos_Decisao!$B$2:$J$2))</f>
        <v/>
      </c>
      <c r="C404" s="4" t="str">
        <f>IF(Variaveis!A404="","",SUMPRODUCT(N(Variaveis!B404:J404),Pesos_Decisao!$B$3:$J$3))</f>
        <v/>
      </c>
      <c r="D404" s="4" t="str">
        <f>IF(Variaveis!A404="","",SUMPRODUCT(N(Variaveis!B404:J404),Pesos_Decisao!$B$4:$J$4))</f>
        <v/>
      </c>
      <c r="E404" s="4" t="str">
        <f>IF(Variaveis!A404="","",SUMPRODUCT(N(Variaveis!B404:J404),Pesos_Decisao!$B$5:$J$5))</f>
        <v/>
      </c>
      <c r="F404" s="4" t="str">
        <f>IF(Variaveis!A404="","",SUMPRODUCT(N(Variaveis!B404:J404),Pesos_Decisao!$B$6:$J$6))</f>
        <v/>
      </c>
      <c r="G404" s="4" t="str">
        <f>IF(Variaveis!A404="","",SUMPRODUCT(N(Variaveis!B404:J404),Pesos_Decisao!$B$7:$J$7))</f>
        <v/>
      </c>
      <c r="H404" s="4" t="str">
        <f>IF(Variaveis!A404="","",SUMPRODUCT(N(Variaveis!B404:J404),Pesos_Decisao!$B$8:$J$8))</f>
        <v/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tr">
        <f>IF(Variaveis!A405="","",Variaveis!A405)</f>
        <v/>
      </c>
      <c r="B405" s="4" t="str">
        <f>IF(Variaveis!A405="","",SUMPRODUCT(N(Variaveis!B405:J405),Pesos_Decisao!$B$2:$J$2))</f>
        <v/>
      </c>
      <c r="C405" s="4" t="str">
        <f>IF(Variaveis!A405="","",SUMPRODUCT(N(Variaveis!B405:J405),Pesos_Decisao!$B$3:$J$3))</f>
        <v/>
      </c>
      <c r="D405" s="4" t="str">
        <f>IF(Variaveis!A405="","",SUMPRODUCT(N(Variaveis!B405:J405),Pesos_Decisao!$B$4:$J$4))</f>
        <v/>
      </c>
      <c r="E405" s="4" t="str">
        <f>IF(Variaveis!A405="","",SUMPRODUCT(N(Variaveis!B405:J405),Pesos_Decisao!$B$5:$J$5))</f>
        <v/>
      </c>
      <c r="F405" s="4" t="str">
        <f>IF(Variaveis!A405="","",SUMPRODUCT(N(Variaveis!B405:J405),Pesos_Decisao!$B$6:$J$6))</f>
        <v/>
      </c>
      <c r="G405" s="4" t="str">
        <f>IF(Variaveis!A405="","",SUMPRODUCT(N(Variaveis!B405:J405),Pesos_Decisao!$B$7:$J$7))</f>
        <v/>
      </c>
      <c r="H405" s="4" t="str">
        <f>IF(Variaveis!A405="","",SUMPRODUCT(N(Variaveis!B405:J405),Pesos_Decisao!$B$8:$J$8))</f>
        <v/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tr">
        <f>IF(Variaveis!A406="","",Variaveis!A406)</f>
        <v/>
      </c>
      <c r="B406" s="4" t="str">
        <f>IF(Variaveis!A406="","",SUMPRODUCT(N(Variaveis!B406:J406),Pesos_Decisao!$B$2:$J$2))</f>
        <v/>
      </c>
      <c r="C406" s="4" t="str">
        <f>IF(Variaveis!A406="","",SUMPRODUCT(N(Variaveis!B406:J406),Pesos_Decisao!$B$3:$J$3))</f>
        <v/>
      </c>
      <c r="D406" s="4" t="str">
        <f>IF(Variaveis!A406="","",SUMPRODUCT(N(Variaveis!B406:J406),Pesos_Decisao!$B$4:$J$4))</f>
        <v/>
      </c>
      <c r="E406" s="4" t="str">
        <f>IF(Variaveis!A406="","",SUMPRODUCT(N(Variaveis!B406:J406),Pesos_Decisao!$B$5:$J$5))</f>
        <v/>
      </c>
      <c r="F406" s="4" t="str">
        <f>IF(Variaveis!A406="","",SUMPRODUCT(N(Variaveis!B406:J406),Pesos_Decisao!$B$6:$J$6))</f>
        <v/>
      </c>
      <c r="G406" s="4" t="str">
        <f>IF(Variaveis!A406="","",SUMPRODUCT(N(Variaveis!B406:J406),Pesos_Decisao!$B$7:$J$7))</f>
        <v/>
      </c>
      <c r="H406" s="4" t="str">
        <f>IF(Variaveis!A406="","",SUMPRODUCT(N(Variaveis!B406:J406),Pesos_Decisao!$B$8:$J$8))</f>
        <v/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tr">
        <f>IF(Variaveis!A407="","",Variaveis!A407)</f>
        <v/>
      </c>
      <c r="B407" s="4" t="str">
        <f>IF(Variaveis!A407="","",SUMPRODUCT(N(Variaveis!B407:J407),Pesos_Decisao!$B$2:$J$2))</f>
        <v/>
      </c>
      <c r="C407" s="4" t="str">
        <f>IF(Variaveis!A407="","",SUMPRODUCT(N(Variaveis!B407:J407),Pesos_Decisao!$B$3:$J$3))</f>
        <v/>
      </c>
      <c r="D407" s="4" t="str">
        <f>IF(Variaveis!A407="","",SUMPRODUCT(N(Variaveis!B407:J407),Pesos_Decisao!$B$4:$J$4))</f>
        <v/>
      </c>
      <c r="E407" s="4" t="str">
        <f>IF(Variaveis!A407="","",SUMPRODUCT(N(Variaveis!B407:J407),Pesos_Decisao!$B$5:$J$5))</f>
        <v/>
      </c>
      <c r="F407" s="4" t="str">
        <f>IF(Variaveis!A407="","",SUMPRODUCT(N(Variaveis!B407:J407),Pesos_Decisao!$B$6:$J$6))</f>
        <v/>
      </c>
      <c r="G407" s="4" t="str">
        <f>IF(Variaveis!A407="","",SUMPRODUCT(N(Variaveis!B407:J407),Pesos_Decisao!$B$7:$J$7))</f>
        <v/>
      </c>
      <c r="H407" s="4" t="str">
        <f>IF(Variaveis!A407="","",SUMPRODUCT(N(Variaveis!B407:J407),Pesos_Decisao!$B$8:$J$8))</f>
        <v/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tr">
        <f>IF(Variaveis!A408="","",Variaveis!A408)</f>
        <v/>
      </c>
      <c r="B408" s="4" t="str">
        <f>IF(Variaveis!A408="","",SUMPRODUCT(N(Variaveis!B408:J408),Pesos_Decisao!$B$2:$J$2))</f>
        <v/>
      </c>
      <c r="C408" s="4" t="str">
        <f>IF(Variaveis!A408="","",SUMPRODUCT(N(Variaveis!B408:J408),Pesos_Decisao!$B$3:$J$3))</f>
        <v/>
      </c>
      <c r="D408" s="4" t="str">
        <f>IF(Variaveis!A408="","",SUMPRODUCT(N(Variaveis!B408:J408),Pesos_Decisao!$B$4:$J$4))</f>
        <v/>
      </c>
      <c r="E408" s="4" t="str">
        <f>IF(Variaveis!A408="","",SUMPRODUCT(N(Variaveis!B408:J408),Pesos_Decisao!$B$5:$J$5))</f>
        <v/>
      </c>
      <c r="F408" s="4" t="str">
        <f>IF(Variaveis!A408="","",SUMPRODUCT(N(Variaveis!B408:J408),Pesos_Decisao!$B$6:$J$6))</f>
        <v/>
      </c>
      <c r="G408" s="4" t="str">
        <f>IF(Variaveis!A408="","",SUMPRODUCT(N(Variaveis!B408:J408),Pesos_Decisao!$B$7:$J$7))</f>
        <v/>
      </c>
      <c r="H408" s="4" t="str">
        <f>IF(Variaveis!A408="","",SUMPRODUCT(N(Variaveis!B408:J408),Pesos_Decisao!$B$8:$J$8))</f>
        <v/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tr">
        <f>IF(Variaveis!A409="","",Variaveis!A409)</f>
        <v/>
      </c>
      <c r="B409" s="4" t="str">
        <f>IF(Variaveis!A409="","",SUMPRODUCT(N(Variaveis!B409:J409),Pesos_Decisao!$B$2:$J$2))</f>
        <v/>
      </c>
      <c r="C409" s="4" t="str">
        <f>IF(Variaveis!A409="","",SUMPRODUCT(N(Variaveis!B409:J409),Pesos_Decisao!$B$3:$J$3))</f>
        <v/>
      </c>
      <c r="D409" s="4" t="str">
        <f>IF(Variaveis!A409="","",SUMPRODUCT(N(Variaveis!B409:J409),Pesos_Decisao!$B$4:$J$4))</f>
        <v/>
      </c>
      <c r="E409" s="4" t="str">
        <f>IF(Variaveis!A409="","",SUMPRODUCT(N(Variaveis!B409:J409),Pesos_Decisao!$B$5:$J$5))</f>
        <v/>
      </c>
      <c r="F409" s="4" t="str">
        <f>IF(Variaveis!A409="","",SUMPRODUCT(N(Variaveis!B409:J409),Pesos_Decisao!$B$6:$J$6))</f>
        <v/>
      </c>
      <c r="G409" s="4" t="str">
        <f>IF(Variaveis!A409="","",SUMPRODUCT(N(Variaveis!B409:J409),Pesos_Decisao!$B$7:$J$7))</f>
        <v/>
      </c>
      <c r="H409" s="4" t="str">
        <f>IF(Variaveis!A409="","",SUMPRODUCT(N(Variaveis!B409:J409),Pesos_Decisao!$B$8:$J$8))</f>
        <v/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tr">
        <f>IF(Variaveis!A410="","",Variaveis!A410)</f>
        <v/>
      </c>
      <c r="B410" s="4" t="str">
        <f>IF(Variaveis!A410="","",SUMPRODUCT(N(Variaveis!B410:J410),Pesos_Decisao!$B$2:$J$2))</f>
        <v/>
      </c>
      <c r="C410" s="4" t="str">
        <f>IF(Variaveis!A410="","",SUMPRODUCT(N(Variaveis!B410:J410),Pesos_Decisao!$B$3:$J$3))</f>
        <v/>
      </c>
      <c r="D410" s="4" t="str">
        <f>IF(Variaveis!A410="","",SUMPRODUCT(N(Variaveis!B410:J410),Pesos_Decisao!$B$4:$J$4))</f>
        <v/>
      </c>
      <c r="E410" s="4" t="str">
        <f>IF(Variaveis!A410="","",SUMPRODUCT(N(Variaveis!B410:J410),Pesos_Decisao!$B$5:$J$5))</f>
        <v/>
      </c>
      <c r="F410" s="4" t="str">
        <f>IF(Variaveis!A410="","",SUMPRODUCT(N(Variaveis!B410:J410),Pesos_Decisao!$B$6:$J$6))</f>
        <v/>
      </c>
      <c r="G410" s="4" t="str">
        <f>IF(Variaveis!A410="","",SUMPRODUCT(N(Variaveis!B410:J410),Pesos_Decisao!$B$7:$J$7))</f>
        <v/>
      </c>
      <c r="H410" s="4" t="str">
        <f>IF(Variaveis!A410="","",SUMPRODUCT(N(Variaveis!B410:J410),Pesos_Decisao!$B$8:$J$8))</f>
        <v/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tr">
        <f>IF(Variaveis!A411="","",Variaveis!A411)</f>
        <v/>
      </c>
      <c r="B411" s="4" t="str">
        <f>IF(Variaveis!A411="","",SUMPRODUCT(N(Variaveis!B411:J411),Pesos_Decisao!$B$2:$J$2))</f>
        <v/>
      </c>
      <c r="C411" s="4" t="str">
        <f>IF(Variaveis!A411="","",SUMPRODUCT(N(Variaveis!B411:J411),Pesos_Decisao!$B$3:$J$3))</f>
        <v/>
      </c>
      <c r="D411" s="4" t="str">
        <f>IF(Variaveis!A411="","",SUMPRODUCT(N(Variaveis!B411:J411),Pesos_Decisao!$B$4:$J$4))</f>
        <v/>
      </c>
      <c r="E411" s="4" t="str">
        <f>IF(Variaveis!A411="","",SUMPRODUCT(N(Variaveis!B411:J411),Pesos_Decisao!$B$5:$J$5))</f>
        <v/>
      </c>
      <c r="F411" s="4" t="str">
        <f>IF(Variaveis!A411="","",SUMPRODUCT(N(Variaveis!B411:J411),Pesos_Decisao!$B$6:$J$6))</f>
        <v/>
      </c>
      <c r="G411" s="4" t="str">
        <f>IF(Variaveis!A411="","",SUMPRODUCT(N(Variaveis!B411:J411),Pesos_Decisao!$B$7:$J$7))</f>
        <v/>
      </c>
      <c r="H411" s="4" t="str">
        <f>IF(Variaveis!A411="","",SUMPRODUCT(N(Variaveis!B411:J411),Pesos_Decisao!$B$8:$J$8))</f>
        <v/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tr">
        <f>IF(Variaveis!A412="","",Variaveis!A412)</f>
        <v/>
      </c>
      <c r="B412" s="4" t="str">
        <f>IF(Variaveis!A412="","",SUMPRODUCT(N(Variaveis!B412:J412),Pesos_Decisao!$B$2:$J$2))</f>
        <v/>
      </c>
      <c r="C412" s="4" t="str">
        <f>IF(Variaveis!A412="","",SUMPRODUCT(N(Variaveis!B412:J412),Pesos_Decisao!$B$3:$J$3))</f>
        <v/>
      </c>
      <c r="D412" s="4" t="str">
        <f>IF(Variaveis!A412="","",SUMPRODUCT(N(Variaveis!B412:J412),Pesos_Decisao!$B$4:$J$4))</f>
        <v/>
      </c>
      <c r="E412" s="4" t="str">
        <f>IF(Variaveis!A412="","",SUMPRODUCT(N(Variaveis!B412:J412),Pesos_Decisao!$B$5:$J$5))</f>
        <v/>
      </c>
      <c r="F412" s="4" t="str">
        <f>IF(Variaveis!A412="","",SUMPRODUCT(N(Variaveis!B412:J412),Pesos_Decisao!$B$6:$J$6))</f>
        <v/>
      </c>
      <c r="G412" s="4" t="str">
        <f>IF(Variaveis!A412="","",SUMPRODUCT(N(Variaveis!B412:J412),Pesos_Decisao!$B$7:$J$7))</f>
        <v/>
      </c>
      <c r="H412" s="4" t="str">
        <f>IF(Variaveis!A412="","",SUMPRODUCT(N(Variaveis!B412:J412),Pesos_Decisao!$B$8:$J$8))</f>
        <v/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tr">
        <f>IF(Variaveis!A413="","",Variaveis!A413)</f>
        <v/>
      </c>
      <c r="B413" s="4" t="str">
        <f>IF(Variaveis!A413="","",SUMPRODUCT(N(Variaveis!B413:J413),Pesos_Decisao!$B$2:$J$2))</f>
        <v/>
      </c>
      <c r="C413" s="4" t="str">
        <f>IF(Variaveis!A413="","",SUMPRODUCT(N(Variaveis!B413:J413),Pesos_Decisao!$B$3:$J$3))</f>
        <v/>
      </c>
      <c r="D413" s="4" t="str">
        <f>IF(Variaveis!A413="","",SUMPRODUCT(N(Variaveis!B413:J413),Pesos_Decisao!$B$4:$J$4))</f>
        <v/>
      </c>
      <c r="E413" s="4" t="str">
        <f>IF(Variaveis!A413="","",SUMPRODUCT(N(Variaveis!B413:J413),Pesos_Decisao!$B$5:$J$5))</f>
        <v/>
      </c>
      <c r="F413" s="4" t="str">
        <f>IF(Variaveis!A413="","",SUMPRODUCT(N(Variaveis!B413:J413),Pesos_Decisao!$B$6:$J$6))</f>
        <v/>
      </c>
      <c r="G413" s="4" t="str">
        <f>IF(Variaveis!A413="","",SUMPRODUCT(N(Variaveis!B413:J413),Pesos_Decisao!$B$7:$J$7))</f>
        <v/>
      </c>
      <c r="H413" s="4" t="str">
        <f>IF(Variaveis!A413="","",SUMPRODUCT(N(Variaveis!B413:J413),Pesos_Decisao!$B$8:$J$8))</f>
        <v/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tr">
        <f>IF(Variaveis!A414="","",Variaveis!A414)</f>
        <v/>
      </c>
      <c r="B414" s="4" t="str">
        <f>IF(Variaveis!A414="","",SUMPRODUCT(N(Variaveis!B414:J414),Pesos_Decisao!$B$2:$J$2))</f>
        <v/>
      </c>
      <c r="C414" s="4" t="str">
        <f>IF(Variaveis!A414="","",SUMPRODUCT(N(Variaveis!B414:J414),Pesos_Decisao!$B$3:$J$3))</f>
        <v/>
      </c>
      <c r="D414" s="4" t="str">
        <f>IF(Variaveis!A414="","",SUMPRODUCT(N(Variaveis!B414:J414),Pesos_Decisao!$B$4:$J$4))</f>
        <v/>
      </c>
      <c r="E414" s="4" t="str">
        <f>IF(Variaveis!A414="","",SUMPRODUCT(N(Variaveis!B414:J414),Pesos_Decisao!$B$5:$J$5))</f>
        <v/>
      </c>
      <c r="F414" s="4" t="str">
        <f>IF(Variaveis!A414="","",SUMPRODUCT(N(Variaveis!B414:J414),Pesos_Decisao!$B$6:$J$6))</f>
        <v/>
      </c>
      <c r="G414" s="4" t="str">
        <f>IF(Variaveis!A414="","",SUMPRODUCT(N(Variaveis!B414:J414),Pesos_Decisao!$B$7:$J$7))</f>
        <v/>
      </c>
      <c r="H414" s="4" t="str">
        <f>IF(Variaveis!A414="","",SUMPRODUCT(N(Variaveis!B414:J414),Pesos_Decisao!$B$8:$J$8))</f>
        <v/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tr">
        <f>IF(Variaveis!A415="","",Variaveis!A415)</f>
        <v/>
      </c>
      <c r="B415" s="4" t="str">
        <f>IF(Variaveis!A415="","",SUMPRODUCT(N(Variaveis!B415:J415),Pesos_Decisao!$B$2:$J$2))</f>
        <v/>
      </c>
      <c r="C415" s="4" t="str">
        <f>IF(Variaveis!A415="","",SUMPRODUCT(N(Variaveis!B415:J415),Pesos_Decisao!$B$3:$J$3))</f>
        <v/>
      </c>
      <c r="D415" s="4" t="str">
        <f>IF(Variaveis!A415="","",SUMPRODUCT(N(Variaveis!B415:J415),Pesos_Decisao!$B$4:$J$4))</f>
        <v/>
      </c>
      <c r="E415" s="4" t="str">
        <f>IF(Variaveis!A415="","",SUMPRODUCT(N(Variaveis!B415:J415),Pesos_Decisao!$B$5:$J$5))</f>
        <v/>
      </c>
      <c r="F415" s="4" t="str">
        <f>IF(Variaveis!A415="","",SUMPRODUCT(N(Variaveis!B415:J415),Pesos_Decisao!$B$6:$J$6))</f>
        <v/>
      </c>
      <c r="G415" s="4" t="str">
        <f>IF(Variaveis!A415="","",SUMPRODUCT(N(Variaveis!B415:J415),Pesos_Decisao!$B$7:$J$7))</f>
        <v/>
      </c>
      <c r="H415" s="4" t="str">
        <f>IF(Variaveis!A415="","",SUMPRODUCT(N(Variaveis!B415:J415),Pesos_Decisao!$B$8:$J$8))</f>
        <v/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tr">
        <f>IF(Variaveis!A416="","",Variaveis!A416)</f>
        <v/>
      </c>
      <c r="B416" s="4" t="str">
        <f>IF(Variaveis!A416="","",SUMPRODUCT(N(Variaveis!B416:J416),Pesos_Decisao!$B$2:$J$2))</f>
        <v/>
      </c>
      <c r="C416" s="4" t="str">
        <f>IF(Variaveis!A416="","",SUMPRODUCT(N(Variaveis!B416:J416),Pesos_Decisao!$B$3:$J$3))</f>
        <v/>
      </c>
      <c r="D416" s="4" t="str">
        <f>IF(Variaveis!A416="","",SUMPRODUCT(N(Variaveis!B416:J416),Pesos_Decisao!$B$4:$J$4))</f>
        <v/>
      </c>
      <c r="E416" s="4" t="str">
        <f>IF(Variaveis!A416="","",SUMPRODUCT(N(Variaveis!B416:J416),Pesos_Decisao!$B$5:$J$5))</f>
        <v/>
      </c>
      <c r="F416" s="4" t="str">
        <f>IF(Variaveis!A416="","",SUMPRODUCT(N(Variaveis!B416:J416),Pesos_Decisao!$B$6:$J$6))</f>
        <v/>
      </c>
      <c r="G416" s="4" t="str">
        <f>IF(Variaveis!A416="","",SUMPRODUCT(N(Variaveis!B416:J416),Pesos_Decisao!$B$7:$J$7))</f>
        <v/>
      </c>
      <c r="H416" s="4" t="str">
        <f>IF(Variaveis!A416="","",SUMPRODUCT(N(Variaveis!B416:J416),Pesos_Decisao!$B$8:$J$8))</f>
        <v/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tr">
        <f>IF(Variaveis!A417="","",Variaveis!A417)</f>
        <v/>
      </c>
      <c r="B417" s="4" t="str">
        <f>IF(Variaveis!A417="","",SUMPRODUCT(N(Variaveis!B417:J417),Pesos_Decisao!$B$2:$J$2))</f>
        <v/>
      </c>
      <c r="C417" s="4" t="str">
        <f>IF(Variaveis!A417="","",SUMPRODUCT(N(Variaveis!B417:J417),Pesos_Decisao!$B$3:$J$3))</f>
        <v/>
      </c>
      <c r="D417" s="4" t="str">
        <f>IF(Variaveis!A417="","",SUMPRODUCT(N(Variaveis!B417:J417),Pesos_Decisao!$B$4:$J$4))</f>
        <v/>
      </c>
      <c r="E417" s="4" t="str">
        <f>IF(Variaveis!A417="","",SUMPRODUCT(N(Variaveis!B417:J417),Pesos_Decisao!$B$5:$J$5))</f>
        <v/>
      </c>
      <c r="F417" s="4" t="str">
        <f>IF(Variaveis!A417="","",SUMPRODUCT(N(Variaveis!B417:J417),Pesos_Decisao!$B$6:$J$6))</f>
        <v/>
      </c>
      <c r="G417" s="4" t="str">
        <f>IF(Variaveis!A417="","",SUMPRODUCT(N(Variaveis!B417:J417),Pesos_Decisao!$B$7:$J$7))</f>
        <v/>
      </c>
      <c r="H417" s="4" t="str">
        <f>IF(Variaveis!A417="","",SUMPRODUCT(N(Variaveis!B417:J417),Pesos_Decisao!$B$8:$J$8))</f>
        <v/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tr">
        <f>IF(Variaveis!A418="","",Variaveis!A418)</f>
        <v/>
      </c>
      <c r="B418" s="4" t="str">
        <f>IF(Variaveis!A418="","",SUMPRODUCT(N(Variaveis!B418:J418),Pesos_Decisao!$B$2:$J$2))</f>
        <v/>
      </c>
      <c r="C418" s="4" t="str">
        <f>IF(Variaveis!A418="","",SUMPRODUCT(N(Variaveis!B418:J418),Pesos_Decisao!$B$3:$J$3))</f>
        <v/>
      </c>
      <c r="D418" s="4" t="str">
        <f>IF(Variaveis!A418="","",SUMPRODUCT(N(Variaveis!B418:J418),Pesos_Decisao!$B$4:$J$4))</f>
        <v/>
      </c>
      <c r="E418" s="4" t="str">
        <f>IF(Variaveis!A418="","",SUMPRODUCT(N(Variaveis!B418:J418),Pesos_Decisao!$B$5:$J$5))</f>
        <v/>
      </c>
      <c r="F418" s="4" t="str">
        <f>IF(Variaveis!A418="","",SUMPRODUCT(N(Variaveis!B418:J418),Pesos_Decisao!$B$6:$J$6))</f>
        <v/>
      </c>
      <c r="G418" s="4" t="str">
        <f>IF(Variaveis!A418="","",SUMPRODUCT(N(Variaveis!B418:J418),Pesos_Decisao!$B$7:$J$7))</f>
        <v/>
      </c>
      <c r="H418" s="4" t="str">
        <f>IF(Variaveis!A418="","",SUMPRODUCT(N(Variaveis!B418:J418),Pesos_Decisao!$B$8:$J$8))</f>
        <v/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tr">
        <f>IF(Variaveis!A419="","",Variaveis!A419)</f>
        <v/>
      </c>
      <c r="B419" s="4" t="str">
        <f>IF(Variaveis!A419="","",SUMPRODUCT(N(Variaveis!B419:J419),Pesos_Decisao!$B$2:$J$2))</f>
        <v/>
      </c>
      <c r="C419" s="4" t="str">
        <f>IF(Variaveis!A419="","",SUMPRODUCT(N(Variaveis!B419:J419),Pesos_Decisao!$B$3:$J$3))</f>
        <v/>
      </c>
      <c r="D419" s="4" t="str">
        <f>IF(Variaveis!A419="","",SUMPRODUCT(N(Variaveis!B419:J419),Pesos_Decisao!$B$4:$J$4))</f>
        <v/>
      </c>
      <c r="E419" s="4" t="str">
        <f>IF(Variaveis!A419="","",SUMPRODUCT(N(Variaveis!B419:J419),Pesos_Decisao!$B$5:$J$5))</f>
        <v/>
      </c>
      <c r="F419" s="4" t="str">
        <f>IF(Variaveis!A419="","",SUMPRODUCT(N(Variaveis!B419:J419),Pesos_Decisao!$B$6:$J$6))</f>
        <v/>
      </c>
      <c r="G419" s="4" t="str">
        <f>IF(Variaveis!A419="","",SUMPRODUCT(N(Variaveis!B419:J419),Pesos_Decisao!$B$7:$J$7))</f>
        <v/>
      </c>
      <c r="H419" s="4" t="str">
        <f>IF(Variaveis!A419="","",SUMPRODUCT(N(Variaveis!B419:J419),Pesos_Decisao!$B$8:$J$8))</f>
        <v/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tr">
        <f>IF(Variaveis!A420="","",Variaveis!A420)</f>
        <v/>
      </c>
      <c r="B420" s="4" t="str">
        <f>IF(Variaveis!A420="","",SUMPRODUCT(N(Variaveis!B420:J420),Pesos_Decisao!$B$2:$J$2))</f>
        <v/>
      </c>
      <c r="C420" s="4" t="str">
        <f>IF(Variaveis!A420="","",SUMPRODUCT(N(Variaveis!B420:J420),Pesos_Decisao!$B$3:$J$3))</f>
        <v/>
      </c>
      <c r="D420" s="4" t="str">
        <f>IF(Variaveis!A420="","",SUMPRODUCT(N(Variaveis!B420:J420),Pesos_Decisao!$B$4:$J$4))</f>
        <v/>
      </c>
      <c r="E420" s="4" t="str">
        <f>IF(Variaveis!A420="","",SUMPRODUCT(N(Variaveis!B420:J420),Pesos_Decisao!$B$5:$J$5))</f>
        <v/>
      </c>
      <c r="F420" s="4" t="str">
        <f>IF(Variaveis!A420="","",SUMPRODUCT(N(Variaveis!B420:J420),Pesos_Decisao!$B$6:$J$6))</f>
        <v/>
      </c>
      <c r="G420" s="4" t="str">
        <f>IF(Variaveis!A420="","",SUMPRODUCT(N(Variaveis!B420:J420),Pesos_Decisao!$B$7:$J$7))</f>
        <v/>
      </c>
      <c r="H420" s="4" t="str">
        <f>IF(Variaveis!A420="","",SUMPRODUCT(N(Variaveis!B420:J420),Pesos_Decisao!$B$8:$J$8))</f>
        <v/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tr">
        <f>IF(Variaveis!A421="","",Variaveis!A421)</f>
        <v/>
      </c>
      <c r="B421" s="4" t="str">
        <f>IF(Variaveis!A421="","",SUMPRODUCT(N(Variaveis!B421:J421),Pesos_Decisao!$B$2:$J$2))</f>
        <v/>
      </c>
      <c r="C421" s="4" t="str">
        <f>IF(Variaveis!A421="","",SUMPRODUCT(N(Variaveis!B421:J421),Pesos_Decisao!$B$3:$J$3))</f>
        <v/>
      </c>
      <c r="D421" s="4" t="str">
        <f>IF(Variaveis!A421="","",SUMPRODUCT(N(Variaveis!B421:J421),Pesos_Decisao!$B$4:$J$4))</f>
        <v/>
      </c>
      <c r="E421" s="4" t="str">
        <f>IF(Variaveis!A421="","",SUMPRODUCT(N(Variaveis!B421:J421),Pesos_Decisao!$B$5:$J$5))</f>
        <v/>
      </c>
      <c r="F421" s="4" t="str">
        <f>IF(Variaveis!A421="","",SUMPRODUCT(N(Variaveis!B421:J421),Pesos_Decisao!$B$6:$J$6))</f>
        <v/>
      </c>
      <c r="G421" s="4" t="str">
        <f>IF(Variaveis!A421="","",SUMPRODUCT(N(Variaveis!B421:J421),Pesos_Decisao!$B$7:$J$7))</f>
        <v/>
      </c>
      <c r="H421" s="4" t="str">
        <f>IF(Variaveis!A421="","",SUMPRODUCT(N(Variaveis!B421:J421),Pesos_Decisao!$B$8:$J$8))</f>
        <v/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tr">
        <f>IF(Variaveis!A422="","",Variaveis!A422)</f>
        <v/>
      </c>
      <c r="B422" s="4" t="str">
        <f>IF(Variaveis!A422="","",SUMPRODUCT(N(Variaveis!B422:J422),Pesos_Decisao!$B$2:$J$2))</f>
        <v/>
      </c>
      <c r="C422" s="4" t="str">
        <f>IF(Variaveis!A422="","",SUMPRODUCT(N(Variaveis!B422:J422),Pesos_Decisao!$B$3:$J$3))</f>
        <v/>
      </c>
      <c r="D422" s="4" t="str">
        <f>IF(Variaveis!A422="","",SUMPRODUCT(N(Variaveis!B422:J422),Pesos_Decisao!$B$4:$J$4))</f>
        <v/>
      </c>
      <c r="E422" s="4" t="str">
        <f>IF(Variaveis!A422="","",SUMPRODUCT(N(Variaveis!B422:J422),Pesos_Decisao!$B$5:$J$5))</f>
        <v/>
      </c>
      <c r="F422" s="4" t="str">
        <f>IF(Variaveis!A422="","",SUMPRODUCT(N(Variaveis!B422:J422),Pesos_Decisao!$B$6:$J$6))</f>
        <v/>
      </c>
      <c r="G422" s="4" t="str">
        <f>IF(Variaveis!A422="","",SUMPRODUCT(N(Variaveis!B422:J422),Pesos_Decisao!$B$7:$J$7))</f>
        <v/>
      </c>
      <c r="H422" s="4" t="str">
        <f>IF(Variaveis!A422="","",SUMPRODUCT(N(Variaveis!B422:J422),Pesos_Decisao!$B$8:$J$8))</f>
        <v/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tr">
        <f>IF(Variaveis!A423="","",Variaveis!A423)</f>
        <v/>
      </c>
      <c r="B423" s="4" t="str">
        <f>IF(Variaveis!A423="","",SUMPRODUCT(N(Variaveis!B423:J423),Pesos_Decisao!$B$2:$J$2))</f>
        <v/>
      </c>
      <c r="C423" s="4" t="str">
        <f>IF(Variaveis!A423="","",SUMPRODUCT(N(Variaveis!B423:J423),Pesos_Decisao!$B$3:$J$3))</f>
        <v/>
      </c>
      <c r="D423" s="4" t="str">
        <f>IF(Variaveis!A423="","",SUMPRODUCT(N(Variaveis!B423:J423),Pesos_Decisao!$B$4:$J$4))</f>
        <v/>
      </c>
      <c r="E423" s="4" t="str">
        <f>IF(Variaveis!A423="","",SUMPRODUCT(N(Variaveis!B423:J423),Pesos_Decisao!$B$5:$J$5))</f>
        <v/>
      </c>
      <c r="F423" s="4" t="str">
        <f>IF(Variaveis!A423="","",SUMPRODUCT(N(Variaveis!B423:J423),Pesos_Decisao!$B$6:$J$6))</f>
        <v/>
      </c>
      <c r="G423" s="4" t="str">
        <f>IF(Variaveis!A423="","",SUMPRODUCT(N(Variaveis!B423:J423),Pesos_Decisao!$B$7:$J$7))</f>
        <v/>
      </c>
      <c r="H423" s="4" t="str">
        <f>IF(Variaveis!A423="","",SUMPRODUCT(N(Variaveis!B423:J423),Pesos_Decisao!$B$8:$J$8))</f>
        <v/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tr">
        <f>IF(Variaveis!A424="","",Variaveis!A424)</f>
        <v/>
      </c>
      <c r="B424" s="4" t="str">
        <f>IF(Variaveis!A424="","",SUMPRODUCT(N(Variaveis!B424:J424),Pesos_Decisao!$B$2:$J$2))</f>
        <v/>
      </c>
      <c r="C424" s="4" t="str">
        <f>IF(Variaveis!A424="","",SUMPRODUCT(N(Variaveis!B424:J424),Pesos_Decisao!$B$3:$J$3))</f>
        <v/>
      </c>
      <c r="D424" s="4" t="str">
        <f>IF(Variaveis!A424="","",SUMPRODUCT(N(Variaveis!B424:J424),Pesos_Decisao!$B$4:$J$4))</f>
        <v/>
      </c>
      <c r="E424" s="4" t="str">
        <f>IF(Variaveis!A424="","",SUMPRODUCT(N(Variaveis!B424:J424),Pesos_Decisao!$B$5:$J$5))</f>
        <v/>
      </c>
      <c r="F424" s="4" t="str">
        <f>IF(Variaveis!A424="","",SUMPRODUCT(N(Variaveis!B424:J424),Pesos_Decisao!$B$6:$J$6))</f>
        <v/>
      </c>
      <c r="G424" s="4" t="str">
        <f>IF(Variaveis!A424="","",SUMPRODUCT(N(Variaveis!B424:J424),Pesos_Decisao!$B$7:$J$7))</f>
        <v/>
      </c>
      <c r="H424" s="4" t="str">
        <f>IF(Variaveis!A424="","",SUMPRODUCT(N(Variaveis!B424:J424),Pesos_Decisao!$B$8:$J$8))</f>
        <v/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tr">
        <f>IF(Variaveis!A425="","",Variaveis!A425)</f>
        <v/>
      </c>
      <c r="B425" s="4" t="str">
        <f>IF(Variaveis!A425="","",SUMPRODUCT(N(Variaveis!B425:J425),Pesos_Decisao!$B$2:$J$2))</f>
        <v/>
      </c>
      <c r="C425" s="4" t="str">
        <f>IF(Variaveis!A425="","",SUMPRODUCT(N(Variaveis!B425:J425),Pesos_Decisao!$B$3:$J$3))</f>
        <v/>
      </c>
      <c r="D425" s="4" t="str">
        <f>IF(Variaveis!A425="","",SUMPRODUCT(N(Variaveis!B425:J425),Pesos_Decisao!$B$4:$J$4))</f>
        <v/>
      </c>
      <c r="E425" s="4" t="str">
        <f>IF(Variaveis!A425="","",SUMPRODUCT(N(Variaveis!B425:J425),Pesos_Decisao!$B$5:$J$5))</f>
        <v/>
      </c>
      <c r="F425" s="4" t="str">
        <f>IF(Variaveis!A425="","",SUMPRODUCT(N(Variaveis!B425:J425),Pesos_Decisao!$B$6:$J$6))</f>
        <v/>
      </c>
      <c r="G425" s="4" t="str">
        <f>IF(Variaveis!A425="","",SUMPRODUCT(N(Variaveis!B425:J425),Pesos_Decisao!$B$7:$J$7))</f>
        <v/>
      </c>
      <c r="H425" s="4" t="str">
        <f>IF(Variaveis!A425="","",SUMPRODUCT(N(Variaveis!B425:J425),Pesos_Decisao!$B$8:$J$8))</f>
        <v/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tr">
        <f>IF(Variaveis!A426="","",Variaveis!A426)</f>
        <v/>
      </c>
      <c r="B426" s="4" t="str">
        <f>IF(Variaveis!A426="","",SUMPRODUCT(N(Variaveis!B426:J426),Pesos_Decisao!$B$2:$J$2))</f>
        <v/>
      </c>
      <c r="C426" s="4" t="str">
        <f>IF(Variaveis!A426="","",SUMPRODUCT(N(Variaveis!B426:J426),Pesos_Decisao!$B$3:$J$3))</f>
        <v/>
      </c>
      <c r="D426" s="4" t="str">
        <f>IF(Variaveis!A426="","",SUMPRODUCT(N(Variaveis!B426:J426),Pesos_Decisao!$B$4:$J$4))</f>
        <v/>
      </c>
      <c r="E426" s="4" t="str">
        <f>IF(Variaveis!A426="","",SUMPRODUCT(N(Variaveis!B426:J426),Pesos_Decisao!$B$5:$J$5))</f>
        <v/>
      </c>
      <c r="F426" s="4" t="str">
        <f>IF(Variaveis!A426="","",SUMPRODUCT(N(Variaveis!B426:J426),Pesos_Decisao!$B$6:$J$6))</f>
        <v/>
      </c>
      <c r="G426" s="4" t="str">
        <f>IF(Variaveis!A426="","",SUMPRODUCT(N(Variaveis!B426:J426),Pesos_Decisao!$B$7:$J$7))</f>
        <v/>
      </c>
      <c r="H426" s="4" t="str">
        <f>IF(Variaveis!A426="","",SUMPRODUCT(N(Variaveis!B426:J426),Pesos_Decisao!$B$8:$J$8))</f>
        <v/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tr">
        <f>IF(Variaveis!A427="","",Variaveis!A427)</f>
        <v/>
      </c>
      <c r="B427" s="4" t="str">
        <f>IF(Variaveis!A427="","",SUMPRODUCT(N(Variaveis!B427:J427),Pesos_Decisao!$B$2:$J$2))</f>
        <v/>
      </c>
      <c r="C427" s="4" t="str">
        <f>IF(Variaveis!A427="","",SUMPRODUCT(N(Variaveis!B427:J427),Pesos_Decisao!$B$3:$J$3))</f>
        <v/>
      </c>
      <c r="D427" s="4" t="str">
        <f>IF(Variaveis!A427="","",SUMPRODUCT(N(Variaveis!B427:J427),Pesos_Decisao!$B$4:$J$4))</f>
        <v/>
      </c>
      <c r="E427" s="4" t="str">
        <f>IF(Variaveis!A427="","",SUMPRODUCT(N(Variaveis!B427:J427),Pesos_Decisao!$B$5:$J$5))</f>
        <v/>
      </c>
      <c r="F427" s="4" t="str">
        <f>IF(Variaveis!A427="","",SUMPRODUCT(N(Variaveis!B427:J427),Pesos_Decisao!$B$6:$J$6))</f>
        <v/>
      </c>
      <c r="G427" s="4" t="str">
        <f>IF(Variaveis!A427="","",SUMPRODUCT(N(Variaveis!B427:J427),Pesos_Decisao!$B$7:$J$7))</f>
        <v/>
      </c>
      <c r="H427" s="4" t="str">
        <f>IF(Variaveis!A427="","",SUMPRODUCT(N(Variaveis!B427:J427),Pesos_Decisao!$B$8:$J$8))</f>
        <v/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tr">
        <f>IF(Variaveis!A428="","",Variaveis!A428)</f>
        <v/>
      </c>
      <c r="B428" s="4" t="str">
        <f>IF(Variaveis!A428="","",SUMPRODUCT(N(Variaveis!B428:J428),Pesos_Decisao!$B$2:$J$2))</f>
        <v/>
      </c>
      <c r="C428" s="4" t="str">
        <f>IF(Variaveis!A428="","",SUMPRODUCT(N(Variaveis!B428:J428),Pesos_Decisao!$B$3:$J$3))</f>
        <v/>
      </c>
      <c r="D428" s="4" t="str">
        <f>IF(Variaveis!A428="","",SUMPRODUCT(N(Variaveis!B428:J428),Pesos_Decisao!$B$4:$J$4))</f>
        <v/>
      </c>
      <c r="E428" s="4" t="str">
        <f>IF(Variaveis!A428="","",SUMPRODUCT(N(Variaveis!B428:J428),Pesos_Decisao!$B$5:$J$5))</f>
        <v/>
      </c>
      <c r="F428" s="4" t="str">
        <f>IF(Variaveis!A428="","",SUMPRODUCT(N(Variaveis!B428:J428),Pesos_Decisao!$B$6:$J$6))</f>
        <v/>
      </c>
      <c r="G428" s="4" t="str">
        <f>IF(Variaveis!A428="","",SUMPRODUCT(N(Variaveis!B428:J428),Pesos_Decisao!$B$7:$J$7))</f>
        <v/>
      </c>
      <c r="H428" s="4" t="str">
        <f>IF(Variaveis!A428="","",SUMPRODUCT(N(Variaveis!B428:J428),Pesos_Decisao!$B$8:$J$8))</f>
        <v/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tr">
        <f>IF(Variaveis!A429="","",Variaveis!A429)</f>
        <v/>
      </c>
      <c r="B429" s="4" t="str">
        <f>IF(Variaveis!A429="","",SUMPRODUCT(N(Variaveis!B429:J429),Pesos_Decisao!$B$2:$J$2))</f>
        <v/>
      </c>
      <c r="C429" s="4" t="str">
        <f>IF(Variaveis!A429="","",SUMPRODUCT(N(Variaveis!B429:J429),Pesos_Decisao!$B$3:$J$3))</f>
        <v/>
      </c>
      <c r="D429" s="4" t="str">
        <f>IF(Variaveis!A429="","",SUMPRODUCT(N(Variaveis!B429:J429),Pesos_Decisao!$B$4:$J$4))</f>
        <v/>
      </c>
      <c r="E429" s="4" t="str">
        <f>IF(Variaveis!A429="","",SUMPRODUCT(N(Variaveis!B429:J429),Pesos_Decisao!$B$5:$J$5))</f>
        <v/>
      </c>
      <c r="F429" s="4" t="str">
        <f>IF(Variaveis!A429="","",SUMPRODUCT(N(Variaveis!B429:J429),Pesos_Decisao!$B$6:$J$6))</f>
        <v/>
      </c>
      <c r="G429" s="4" t="str">
        <f>IF(Variaveis!A429="","",SUMPRODUCT(N(Variaveis!B429:J429),Pesos_Decisao!$B$7:$J$7))</f>
        <v/>
      </c>
      <c r="H429" s="4" t="str">
        <f>IF(Variaveis!A429="","",SUMPRODUCT(N(Variaveis!B429:J429),Pesos_Decisao!$B$8:$J$8))</f>
        <v/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tr">
        <f>IF(Variaveis!A430="","",Variaveis!A430)</f>
        <v/>
      </c>
      <c r="B430" s="4" t="str">
        <f>IF(Variaveis!A430="","",SUMPRODUCT(N(Variaveis!B430:J430),Pesos_Decisao!$B$2:$J$2))</f>
        <v/>
      </c>
      <c r="C430" s="4" t="str">
        <f>IF(Variaveis!A430="","",SUMPRODUCT(N(Variaveis!B430:J430),Pesos_Decisao!$B$3:$J$3))</f>
        <v/>
      </c>
      <c r="D430" s="4" t="str">
        <f>IF(Variaveis!A430="","",SUMPRODUCT(N(Variaveis!B430:J430),Pesos_Decisao!$B$4:$J$4))</f>
        <v/>
      </c>
      <c r="E430" s="4" t="str">
        <f>IF(Variaveis!A430="","",SUMPRODUCT(N(Variaveis!B430:J430),Pesos_Decisao!$B$5:$J$5))</f>
        <v/>
      </c>
      <c r="F430" s="4" t="str">
        <f>IF(Variaveis!A430="","",SUMPRODUCT(N(Variaveis!B430:J430),Pesos_Decisao!$B$6:$J$6))</f>
        <v/>
      </c>
      <c r="G430" s="4" t="str">
        <f>IF(Variaveis!A430="","",SUMPRODUCT(N(Variaveis!B430:J430),Pesos_Decisao!$B$7:$J$7))</f>
        <v/>
      </c>
      <c r="H430" s="4" t="str">
        <f>IF(Variaveis!A430="","",SUMPRODUCT(N(Variaveis!B430:J430),Pesos_Decisao!$B$8:$J$8))</f>
        <v/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tr">
        <f>IF(Variaveis!A431="","",Variaveis!A431)</f>
        <v/>
      </c>
      <c r="B431" s="4" t="str">
        <f>IF(Variaveis!A431="","",SUMPRODUCT(N(Variaveis!B431:J431),Pesos_Decisao!$B$2:$J$2))</f>
        <v/>
      </c>
      <c r="C431" s="4" t="str">
        <f>IF(Variaveis!A431="","",SUMPRODUCT(N(Variaveis!B431:J431),Pesos_Decisao!$B$3:$J$3))</f>
        <v/>
      </c>
      <c r="D431" s="4" t="str">
        <f>IF(Variaveis!A431="","",SUMPRODUCT(N(Variaveis!B431:J431),Pesos_Decisao!$B$4:$J$4))</f>
        <v/>
      </c>
      <c r="E431" s="4" t="str">
        <f>IF(Variaveis!A431="","",SUMPRODUCT(N(Variaveis!B431:J431),Pesos_Decisao!$B$5:$J$5))</f>
        <v/>
      </c>
      <c r="F431" s="4" t="str">
        <f>IF(Variaveis!A431="","",SUMPRODUCT(N(Variaveis!B431:J431),Pesos_Decisao!$B$6:$J$6))</f>
        <v/>
      </c>
      <c r="G431" s="4" t="str">
        <f>IF(Variaveis!A431="","",SUMPRODUCT(N(Variaveis!B431:J431),Pesos_Decisao!$B$7:$J$7))</f>
        <v/>
      </c>
      <c r="H431" s="4" t="str">
        <f>IF(Variaveis!A431="","",SUMPRODUCT(N(Variaveis!B431:J431),Pesos_Decisao!$B$8:$J$8))</f>
        <v/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tr">
        <f>IF(Variaveis!A432="","",Variaveis!A432)</f>
        <v/>
      </c>
      <c r="B432" s="4" t="str">
        <f>IF(Variaveis!A432="","",SUMPRODUCT(N(Variaveis!B432:J432),Pesos_Decisao!$B$2:$J$2))</f>
        <v/>
      </c>
      <c r="C432" s="4" t="str">
        <f>IF(Variaveis!A432="","",SUMPRODUCT(N(Variaveis!B432:J432),Pesos_Decisao!$B$3:$J$3))</f>
        <v/>
      </c>
      <c r="D432" s="4" t="str">
        <f>IF(Variaveis!A432="","",SUMPRODUCT(N(Variaveis!B432:J432),Pesos_Decisao!$B$4:$J$4))</f>
        <v/>
      </c>
      <c r="E432" s="4" t="str">
        <f>IF(Variaveis!A432="","",SUMPRODUCT(N(Variaveis!B432:J432),Pesos_Decisao!$B$5:$J$5))</f>
        <v/>
      </c>
      <c r="F432" s="4" t="str">
        <f>IF(Variaveis!A432="","",SUMPRODUCT(N(Variaveis!B432:J432),Pesos_Decisao!$B$6:$J$6))</f>
        <v/>
      </c>
      <c r="G432" s="4" t="str">
        <f>IF(Variaveis!A432="","",SUMPRODUCT(N(Variaveis!B432:J432),Pesos_Decisao!$B$7:$J$7))</f>
        <v/>
      </c>
      <c r="H432" s="4" t="str">
        <f>IF(Variaveis!A432="","",SUMPRODUCT(N(Variaveis!B432:J432),Pesos_Decisao!$B$8:$J$8))</f>
        <v/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tr">
        <f>IF(Variaveis!A433="","",Variaveis!A433)</f>
        <v/>
      </c>
      <c r="B433" s="4" t="str">
        <f>IF(Variaveis!A433="","",SUMPRODUCT(N(Variaveis!B433:J433),Pesos_Decisao!$B$2:$J$2))</f>
        <v/>
      </c>
      <c r="C433" s="4" t="str">
        <f>IF(Variaveis!A433="","",SUMPRODUCT(N(Variaveis!B433:J433),Pesos_Decisao!$B$3:$J$3))</f>
        <v/>
      </c>
      <c r="D433" s="4" t="str">
        <f>IF(Variaveis!A433="","",SUMPRODUCT(N(Variaveis!B433:J433),Pesos_Decisao!$B$4:$J$4))</f>
        <v/>
      </c>
      <c r="E433" s="4" t="str">
        <f>IF(Variaveis!A433="","",SUMPRODUCT(N(Variaveis!B433:J433),Pesos_Decisao!$B$5:$J$5))</f>
        <v/>
      </c>
      <c r="F433" s="4" t="str">
        <f>IF(Variaveis!A433="","",SUMPRODUCT(N(Variaveis!B433:J433),Pesos_Decisao!$B$6:$J$6))</f>
        <v/>
      </c>
      <c r="G433" s="4" t="str">
        <f>IF(Variaveis!A433="","",SUMPRODUCT(N(Variaveis!B433:J433),Pesos_Decisao!$B$7:$J$7))</f>
        <v/>
      </c>
      <c r="H433" s="4" t="str">
        <f>IF(Variaveis!A433="","",SUMPRODUCT(N(Variaveis!B433:J433),Pesos_Decisao!$B$8:$J$8))</f>
        <v/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tr">
        <f>IF(Variaveis!A434="","",Variaveis!A434)</f>
        <v/>
      </c>
      <c r="B434" s="4" t="str">
        <f>IF(Variaveis!A434="","",SUMPRODUCT(N(Variaveis!B434:J434),Pesos_Decisao!$B$2:$J$2))</f>
        <v/>
      </c>
      <c r="C434" s="4" t="str">
        <f>IF(Variaveis!A434="","",SUMPRODUCT(N(Variaveis!B434:J434),Pesos_Decisao!$B$3:$J$3))</f>
        <v/>
      </c>
      <c r="D434" s="4" t="str">
        <f>IF(Variaveis!A434="","",SUMPRODUCT(N(Variaveis!B434:J434),Pesos_Decisao!$B$4:$J$4))</f>
        <v/>
      </c>
      <c r="E434" s="4" t="str">
        <f>IF(Variaveis!A434="","",SUMPRODUCT(N(Variaveis!B434:J434),Pesos_Decisao!$B$5:$J$5))</f>
        <v/>
      </c>
      <c r="F434" s="4" t="str">
        <f>IF(Variaveis!A434="","",SUMPRODUCT(N(Variaveis!B434:J434),Pesos_Decisao!$B$6:$J$6))</f>
        <v/>
      </c>
      <c r="G434" s="4" t="str">
        <f>IF(Variaveis!A434="","",SUMPRODUCT(N(Variaveis!B434:J434),Pesos_Decisao!$B$7:$J$7))</f>
        <v/>
      </c>
      <c r="H434" s="4" t="str">
        <f>IF(Variaveis!A434="","",SUMPRODUCT(N(Variaveis!B434:J434),Pesos_Decisao!$B$8:$J$8))</f>
        <v/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tr">
        <f>IF(Variaveis!A435="","",Variaveis!A435)</f>
        <v/>
      </c>
      <c r="B435" s="4" t="str">
        <f>IF(Variaveis!A435="","",SUMPRODUCT(N(Variaveis!B435:J435),Pesos_Decisao!$B$2:$J$2))</f>
        <v/>
      </c>
      <c r="C435" s="4" t="str">
        <f>IF(Variaveis!A435="","",SUMPRODUCT(N(Variaveis!B435:J435),Pesos_Decisao!$B$3:$J$3))</f>
        <v/>
      </c>
      <c r="D435" s="4" t="str">
        <f>IF(Variaveis!A435="","",SUMPRODUCT(N(Variaveis!B435:J435),Pesos_Decisao!$B$4:$J$4))</f>
        <v/>
      </c>
      <c r="E435" s="4" t="str">
        <f>IF(Variaveis!A435="","",SUMPRODUCT(N(Variaveis!B435:J435),Pesos_Decisao!$B$5:$J$5))</f>
        <v/>
      </c>
      <c r="F435" s="4" t="str">
        <f>IF(Variaveis!A435="","",SUMPRODUCT(N(Variaveis!B435:J435),Pesos_Decisao!$B$6:$J$6))</f>
        <v/>
      </c>
      <c r="G435" s="4" t="str">
        <f>IF(Variaveis!A435="","",SUMPRODUCT(N(Variaveis!B435:J435),Pesos_Decisao!$B$7:$J$7))</f>
        <v/>
      </c>
      <c r="H435" s="4" t="str">
        <f>IF(Variaveis!A435="","",SUMPRODUCT(N(Variaveis!B435:J435),Pesos_Decisao!$B$8:$J$8))</f>
        <v/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tr">
        <f>IF(Variaveis!A436="","",Variaveis!A436)</f>
        <v/>
      </c>
      <c r="B436" s="4" t="str">
        <f>IF(Variaveis!A436="","",SUMPRODUCT(N(Variaveis!B436:J436),Pesos_Decisao!$B$2:$J$2))</f>
        <v/>
      </c>
      <c r="C436" s="4" t="str">
        <f>IF(Variaveis!A436="","",SUMPRODUCT(N(Variaveis!B436:J436),Pesos_Decisao!$B$3:$J$3))</f>
        <v/>
      </c>
      <c r="D436" s="4" t="str">
        <f>IF(Variaveis!A436="","",SUMPRODUCT(N(Variaveis!B436:J436),Pesos_Decisao!$B$4:$J$4))</f>
        <v/>
      </c>
      <c r="E436" s="4" t="str">
        <f>IF(Variaveis!A436="","",SUMPRODUCT(N(Variaveis!B436:J436),Pesos_Decisao!$B$5:$J$5))</f>
        <v/>
      </c>
      <c r="F436" s="4" t="str">
        <f>IF(Variaveis!A436="","",SUMPRODUCT(N(Variaveis!B436:J436),Pesos_Decisao!$B$6:$J$6))</f>
        <v/>
      </c>
      <c r="G436" s="4" t="str">
        <f>IF(Variaveis!A436="","",SUMPRODUCT(N(Variaveis!B436:J436),Pesos_Decisao!$B$7:$J$7))</f>
        <v/>
      </c>
      <c r="H436" s="4" t="str">
        <f>IF(Variaveis!A436="","",SUMPRODUCT(N(Variaveis!B436:J436),Pesos_Decisao!$B$8:$J$8))</f>
        <v/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tr">
        <f>IF(Variaveis!A437="","",Variaveis!A437)</f>
        <v/>
      </c>
      <c r="B437" s="4" t="str">
        <f>IF(Variaveis!A437="","",SUMPRODUCT(N(Variaveis!B437:J437),Pesos_Decisao!$B$2:$J$2))</f>
        <v/>
      </c>
      <c r="C437" s="4" t="str">
        <f>IF(Variaveis!A437="","",SUMPRODUCT(N(Variaveis!B437:J437),Pesos_Decisao!$B$3:$J$3))</f>
        <v/>
      </c>
      <c r="D437" s="4" t="str">
        <f>IF(Variaveis!A437="","",SUMPRODUCT(N(Variaveis!B437:J437),Pesos_Decisao!$B$4:$J$4))</f>
        <v/>
      </c>
      <c r="E437" s="4" t="str">
        <f>IF(Variaveis!A437="","",SUMPRODUCT(N(Variaveis!B437:J437),Pesos_Decisao!$B$5:$J$5))</f>
        <v/>
      </c>
      <c r="F437" s="4" t="str">
        <f>IF(Variaveis!A437="","",SUMPRODUCT(N(Variaveis!B437:J437),Pesos_Decisao!$B$6:$J$6))</f>
        <v/>
      </c>
      <c r="G437" s="4" t="str">
        <f>IF(Variaveis!A437="","",SUMPRODUCT(N(Variaveis!B437:J437),Pesos_Decisao!$B$7:$J$7))</f>
        <v/>
      </c>
      <c r="H437" s="4" t="str">
        <f>IF(Variaveis!A437="","",SUMPRODUCT(N(Variaveis!B437:J437),Pesos_Decisao!$B$8:$J$8))</f>
        <v/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tr">
        <f>IF(Variaveis!A438="","",Variaveis!A438)</f>
        <v/>
      </c>
      <c r="B438" s="4" t="str">
        <f>IF(Variaveis!A438="","",SUMPRODUCT(N(Variaveis!B438:J438),Pesos_Decisao!$B$2:$J$2))</f>
        <v/>
      </c>
      <c r="C438" s="4" t="str">
        <f>IF(Variaveis!A438="","",SUMPRODUCT(N(Variaveis!B438:J438),Pesos_Decisao!$B$3:$J$3))</f>
        <v/>
      </c>
      <c r="D438" s="4" t="str">
        <f>IF(Variaveis!A438="","",SUMPRODUCT(N(Variaveis!B438:J438),Pesos_Decisao!$B$4:$J$4))</f>
        <v/>
      </c>
      <c r="E438" s="4" t="str">
        <f>IF(Variaveis!A438="","",SUMPRODUCT(N(Variaveis!B438:J438),Pesos_Decisao!$B$5:$J$5))</f>
        <v/>
      </c>
      <c r="F438" s="4" t="str">
        <f>IF(Variaveis!A438="","",SUMPRODUCT(N(Variaveis!B438:J438),Pesos_Decisao!$B$6:$J$6))</f>
        <v/>
      </c>
      <c r="G438" s="4" t="str">
        <f>IF(Variaveis!A438="","",SUMPRODUCT(N(Variaveis!B438:J438),Pesos_Decisao!$B$7:$J$7))</f>
        <v/>
      </c>
      <c r="H438" s="4" t="str">
        <f>IF(Variaveis!A438="","",SUMPRODUCT(N(Variaveis!B438:J438),Pesos_Decisao!$B$8:$J$8))</f>
        <v/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tr">
        <f>IF(Variaveis!A439="","",Variaveis!A439)</f>
        <v/>
      </c>
      <c r="B439" s="4" t="str">
        <f>IF(Variaveis!A439="","",SUMPRODUCT(N(Variaveis!B439:J439),Pesos_Decisao!$B$2:$J$2))</f>
        <v/>
      </c>
      <c r="C439" s="4" t="str">
        <f>IF(Variaveis!A439="","",SUMPRODUCT(N(Variaveis!B439:J439),Pesos_Decisao!$B$3:$J$3))</f>
        <v/>
      </c>
      <c r="D439" s="4" t="str">
        <f>IF(Variaveis!A439="","",SUMPRODUCT(N(Variaveis!B439:J439),Pesos_Decisao!$B$4:$J$4))</f>
        <v/>
      </c>
      <c r="E439" s="4" t="str">
        <f>IF(Variaveis!A439="","",SUMPRODUCT(N(Variaveis!B439:J439),Pesos_Decisao!$B$5:$J$5))</f>
        <v/>
      </c>
      <c r="F439" s="4" t="str">
        <f>IF(Variaveis!A439="","",SUMPRODUCT(N(Variaveis!B439:J439),Pesos_Decisao!$B$6:$J$6))</f>
        <v/>
      </c>
      <c r="G439" s="4" t="str">
        <f>IF(Variaveis!A439="","",SUMPRODUCT(N(Variaveis!B439:J439),Pesos_Decisao!$B$7:$J$7))</f>
        <v/>
      </c>
      <c r="H439" s="4" t="str">
        <f>IF(Variaveis!A439="","",SUMPRODUCT(N(Variaveis!B439:J439),Pesos_Decisao!$B$8:$J$8))</f>
        <v/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tr">
        <f>IF(Variaveis!A440="","",Variaveis!A440)</f>
        <v/>
      </c>
      <c r="B440" s="4" t="str">
        <f>IF(Variaveis!A440="","",SUMPRODUCT(N(Variaveis!B440:J440),Pesos_Decisao!$B$2:$J$2))</f>
        <v/>
      </c>
      <c r="C440" s="4" t="str">
        <f>IF(Variaveis!A440="","",SUMPRODUCT(N(Variaveis!B440:J440),Pesos_Decisao!$B$3:$J$3))</f>
        <v/>
      </c>
      <c r="D440" s="4" t="str">
        <f>IF(Variaveis!A440="","",SUMPRODUCT(N(Variaveis!B440:J440),Pesos_Decisao!$B$4:$J$4))</f>
        <v/>
      </c>
      <c r="E440" s="4" t="str">
        <f>IF(Variaveis!A440="","",SUMPRODUCT(N(Variaveis!B440:J440),Pesos_Decisao!$B$5:$J$5))</f>
        <v/>
      </c>
      <c r="F440" s="4" t="str">
        <f>IF(Variaveis!A440="","",SUMPRODUCT(N(Variaveis!B440:J440),Pesos_Decisao!$B$6:$J$6))</f>
        <v/>
      </c>
      <c r="G440" s="4" t="str">
        <f>IF(Variaveis!A440="","",SUMPRODUCT(N(Variaveis!B440:J440),Pesos_Decisao!$B$7:$J$7))</f>
        <v/>
      </c>
      <c r="H440" s="4" t="str">
        <f>IF(Variaveis!A440="","",SUMPRODUCT(N(Variaveis!B440:J440),Pesos_Decisao!$B$8:$J$8))</f>
        <v/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tr">
        <f>IF(Variaveis!A441="","",Variaveis!A441)</f>
        <v/>
      </c>
      <c r="B441" s="4" t="str">
        <f>IF(Variaveis!A441="","",SUMPRODUCT(N(Variaveis!B441:J441),Pesos_Decisao!$B$2:$J$2))</f>
        <v/>
      </c>
      <c r="C441" s="4" t="str">
        <f>IF(Variaveis!A441="","",SUMPRODUCT(N(Variaveis!B441:J441),Pesos_Decisao!$B$3:$J$3))</f>
        <v/>
      </c>
      <c r="D441" s="4" t="str">
        <f>IF(Variaveis!A441="","",SUMPRODUCT(N(Variaveis!B441:J441),Pesos_Decisao!$B$4:$J$4))</f>
        <v/>
      </c>
      <c r="E441" s="4" t="str">
        <f>IF(Variaveis!A441="","",SUMPRODUCT(N(Variaveis!B441:J441),Pesos_Decisao!$B$5:$J$5))</f>
        <v/>
      </c>
      <c r="F441" s="4" t="str">
        <f>IF(Variaveis!A441="","",SUMPRODUCT(N(Variaveis!B441:J441),Pesos_Decisao!$B$6:$J$6))</f>
        <v/>
      </c>
      <c r="G441" s="4" t="str">
        <f>IF(Variaveis!A441="","",SUMPRODUCT(N(Variaveis!B441:J441),Pesos_Decisao!$B$7:$J$7))</f>
        <v/>
      </c>
      <c r="H441" s="4" t="str">
        <f>IF(Variaveis!A441="","",SUMPRODUCT(N(Variaveis!B441:J441),Pesos_Decisao!$B$8:$J$8))</f>
        <v/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tr">
        <f>IF(Variaveis!A442="","",Variaveis!A442)</f>
        <v/>
      </c>
      <c r="B442" s="4" t="str">
        <f>IF(Variaveis!A442="","",SUMPRODUCT(N(Variaveis!B442:J442),Pesos_Decisao!$B$2:$J$2))</f>
        <v/>
      </c>
      <c r="C442" s="4" t="str">
        <f>IF(Variaveis!A442="","",SUMPRODUCT(N(Variaveis!B442:J442),Pesos_Decisao!$B$3:$J$3))</f>
        <v/>
      </c>
      <c r="D442" s="4" t="str">
        <f>IF(Variaveis!A442="","",SUMPRODUCT(N(Variaveis!B442:J442),Pesos_Decisao!$B$4:$J$4))</f>
        <v/>
      </c>
      <c r="E442" s="4" t="str">
        <f>IF(Variaveis!A442="","",SUMPRODUCT(N(Variaveis!B442:J442),Pesos_Decisao!$B$5:$J$5))</f>
        <v/>
      </c>
      <c r="F442" s="4" t="str">
        <f>IF(Variaveis!A442="","",SUMPRODUCT(N(Variaveis!B442:J442),Pesos_Decisao!$B$6:$J$6))</f>
        <v/>
      </c>
      <c r="G442" s="4" t="str">
        <f>IF(Variaveis!A442="","",SUMPRODUCT(N(Variaveis!B442:J442),Pesos_Decisao!$B$7:$J$7))</f>
        <v/>
      </c>
      <c r="H442" s="4" t="str">
        <f>IF(Variaveis!A442="","",SUMPRODUCT(N(Variaveis!B442:J442),Pesos_Decisao!$B$8:$J$8))</f>
        <v/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tr">
        <f>IF(Variaveis!A443="","",Variaveis!A443)</f>
        <v/>
      </c>
      <c r="B443" s="4" t="str">
        <f>IF(Variaveis!A443="","",SUMPRODUCT(N(Variaveis!B443:J443),Pesos_Decisao!$B$2:$J$2))</f>
        <v/>
      </c>
      <c r="C443" s="4" t="str">
        <f>IF(Variaveis!A443="","",SUMPRODUCT(N(Variaveis!B443:J443),Pesos_Decisao!$B$3:$J$3))</f>
        <v/>
      </c>
      <c r="D443" s="4" t="str">
        <f>IF(Variaveis!A443="","",SUMPRODUCT(N(Variaveis!B443:J443),Pesos_Decisao!$B$4:$J$4))</f>
        <v/>
      </c>
      <c r="E443" s="4" t="str">
        <f>IF(Variaveis!A443="","",SUMPRODUCT(N(Variaveis!B443:J443),Pesos_Decisao!$B$5:$J$5))</f>
        <v/>
      </c>
      <c r="F443" s="4" t="str">
        <f>IF(Variaveis!A443="","",SUMPRODUCT(N(Variaveis!B443:J443),Pesos_Decisao!$B$6:$J$6))</f>
        <v/>
      </c>
      <c r="G443" s="4" t="str">
        <f>IF(Variaveis!A443="","",SUMPRODUCT(N(Variaveis!B443:J443),Pesos_Decisao!$B$7:$J$7))</f>
        <v/>
      </c>
      <c r="H443" s="4" t="str">
        <f>IF(Variaveis!A443="","",SUMPRODUCT(N(Variaveis!B443:J443),Pesos_Decisao!$B$8:$J$8))</f>
        <v/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tr">
        <f>IF(Variaveis!A444="","",Variaveis!A444)</f>
        <v/>
      </c>
      <c r="B444" s="4" t="str">
        <f>IF(Variaveis!A444="","",SUMPRODUCT(N(Variaveis!B444:J444),Pesos_Decisao!$B$2:$J$2))</f>
        <v/>
      </c>
      <c r="C444" s="4" t="str">
        <f>IF(Variaveis!A444="","",SUMPRODUCT(N(Variaveis!B444:J444),Pesos_Decisao!$B$3:$J$3))</f>
        <v/>
      </c>
      <c r="D444" s="4" t="str">
        <f>IF(Variaveis!A444="","",SUMPRODUCT(N(Variaveis!B444:J444),Pesos_Decisao!$B$4:$J$4))</f>
        <v/>
      </c>
      <c r="E444" s="4" t="str">
        <f>IF(Variaveis!A444="","",SUMPRODUCT(N(Variaveis!B444:J444),Pesos_Decisao!$B$5:$J$5))</f>
        <v/>
      </c>
      <c r="F444" s="4" t="str">
        <f>IF(Variaveis!A444="","",SUMPRODUCT(N(Variaveis!B444:J444),Pesos_Decisao!$B$6:$J$6))</f>
        <v/>
      </c>
      <c r="G444" s="4" t="str">
        <f>IF(Variaveis!A444="","",SUMPRODUCT(N(Variaveis!B444:J444),Pesos_Decisao!$B$7:$J$7))</f>
        <v/>
      </c>
      <c r="H444" s="4" t="str">
        <f>IF(Variaveis!A444="","",SUMPRODUCT(N(Variaveis!B444:J444),Pesos_Decisao!$B$8:$J$8))</f>
        <v/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tr">
        <f>IF(Variaveis!A445="","",Variaveis!A445)</f>
        <v/>
      </c>
      <c r="B445" s="4" t="str">
        <f>IF(Variaveis!A445="","",SUMPRODUCT(N(Variaveis!B445:J445),Pesos_Decisao!$B$2:$J$2))</f>
        <v/>
      </c>
      <c r="C445" s="4" t="str">
        <f>IF(Variaveis!A445="","",SUMPRODUCT(N(Variaveis!B445:J445),Pesos_Decisao!$B$3:$J$3))</f>
        <v/>
      </c>
      <c r="D445" s="4" t="str">
        <f>IF(Variaveis!A445="","",SUMPRODUCT(N(Variaveis!B445:J445),Pesos_Decisao!$B$4:$J$4))</f>
        <v/>
      </c>
      <c r="E445" s="4" t="str">
        <f>IF(Variaveis!A445="","",SUMPRODUCT(N(Variaveis!B445:J445),Pesos_Decisao!$B$5:$J$5))</f>
        <v/>
      </c>
      <c r="F445" s="4" t="str">
        <f>IF(Variaveis!A445="","",SUMPRODUCT(N(Variaveis!B445:J445),Pesos_Decisao!$B$6:$J$6))</f>
        <v/>
      </c>
      <c r="G445" s="4" t="str">
        <f>IF(Variaveis!A445="","",SUMPRODUCT(N(Variaveis!B445:J445),Pesos_Decisao!$B$7:$J$7))</f>
        <v/>
      </c>
      <c r="H445" s="4" t="str">
        <f>IF(Variaveis!A445="","",SUMPRODUCT(N(Variaveis!B445:J445),Pesos_Decisao!$B$8:$J$8))</f>
        <v/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tr">
        <f>IF(Variaveis!A446="","",Variaveis!A446)</f>
        <v/>
      </c>
      <c r="B446" s="4" t="str">
        <f>IF(Variaveis!A446="","",SUMPRODUCT(N(Variaveis!B446:J446),Pesos_Decisao!$B$2:$J$2))</f>
        <v/>
      </c>
      <c r="C446" s="4" t="str">
        <f>IF(Variaveis!A446="","",SUMPRODUCT(N(Variaveis!B446:J446),Pesos_Decisao!$B$3:$J$3))</f>
        <v/>
      </c>
      <c r="D446" s="4" t="str">
        <f>IF(Variaveis!A446="","",SUMPRODUCT(N(Variaveis!B446:J446),Pesos_Decisao!$B$4:$J$4))</f>
        <v/>
      </c>
      <c r="E446" s="4" t="str">
        <f>IF(Variaveis!A446="","",SUMPRODUCT(N(Variaveis!B446:J446),Pesos_Decisao!$B$5:$J$5))</f>
        <v/>
      </c>
      <c r="F446" s="4" t="str">
        <f>IF(Variaveis!A446="","",SUMPRODUCT(N(Variaveis!B446:J446),Pesos_Decisao!$B$6:$J$6))</f>
        <v/>
      </c>
      <c r="G446" s="4" t="str">
        <f>IF(Variaveis!A446="","",SUMPRODUCT(N(Variaveis!B446:J446),Pesos_Decisao!$B$7:$J$7))</f>
        <v/>
      </c>
      <c r="H446" s="4" t="str">
        <f>IF(Variaveis!A446="","",SUMPRODUCT(N(Variaveis!B446:J446),Pesos_Decisao!$B$8:$J$8))</f>
        <v/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tr">
        <f>IF(Variaveis!A447="","",Variaveis!A447)</f>
        <v/>
      </c>
      <c r="B447" s="4" t="str">
        <f>IF(Variaveis!A447="","",SUMPRODUCT(N(Variaveis!B447:J447),Pesos_Decisao!$B$2:$J$2))</f>
        <v/>
      </c>
      <c r="C447" s="4" t="str">
        <f>IF(Variaveis!A447="","",SUMPRODUCT(N(Variaveis!B447:J447),Pesos_Decisao!$B$3:$J$3))</f>
        <v/>
      </c>
      <c r="D447" s="4" t="str">
        <f>IF(Variaveis!A447="","",SUMPRODUCT(N(Variaveis!B447:J447),Pesos_Decisao!$B$4:$J$4))</f>
        <v/>
      </c>
      <c r="E447" s="4" t="str">
        <f>IF(Variaveis!A447="","",SUMPRODUCT(N(Variaveis!B447:J447),Pesos_Decisao!$B$5:$J$5))</f>
        <v/>
      </c>
      <c r="F447" s="4" t="str">
        <f>IF(Variaveis!A447="","",SUMPRODUCT(N(Variaveis!B447:J447),Pesos_Decisao!$B$6:$J$6))</f>
        <v/>
      </c>
      <c r="G447" s="4" t="str">
        <f>IF(Variaveis!A447="","",SUMPRODUCT(N(Variaveis!B447:J447),Pesos_Decisao!$B$7:$J$7))</f>
        <v/>
      </c>
      <c r="H447" s="4" t="str">
        <f>IF(Variaveis!A447="","",SUMPRODUCT(N(Variaveis!B447:J447),Pesos_Decisao!$B$8:$J$8))</f>
        <v/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tr">
        <f>IF(Variaveis!A448="","",Variaveis!A448)</f>
        <v/>
      </c>
      <c r="B448" s="4" t="str">
        <f>IF(Variaveis!A448="","",SUMPRODUCT(N(Variaveis!B448:J448),Pesos_Decisao!$B$2:$J$2))</f>
        <v/>
      </c>
      <c r="C448" s="4" t="str">
        <f>IF(Variaveis!A448="","",SUMPRODUCT(N(Variaveis!B448:J448),Pesos_Decisao!$B$3:$J$3))</f>
        <v/>
      </c>
      <c r="D448" s="4" t="str">
        <f>IF(Variaveis!A448="","",SUMPRODUCT(N(Variaveis!B448:J448),Pesos_Decisao!$B$4:$J$4))</f>
        <v/>
      </c>
      <c r="E448" s="4" t="str">
        <f>IF(Variaveis!A448="","",SUMPRODUCT(N(Variaveis!B448:J448),Pesos_Decisao!$B$5:$J$5))</f>
        <v/>
      </c>
      <c r="F448" s="4" t="str">
        <f>IF(Variaveis!A448="","",SUMPRODUCT(N(Variaveis!B448:J448),Pesos_Decisao!$B$6:$J$6))</f>
        <v/>
      </c>
      <c r="G448" s="4" t="str">
        <f>IF(Variaveis!A448="","",SUMPRODUCT(N(Variaveis!B448:J448),Pesos_Decisao!$B$7:$J$7))</f>
        <v/>
      </c>
      <c r="H448" s="4" t="str">
        <f>IF(Variaveis!A448="","",SUMPRODUCT(N(Variaveis!B448:J448),Pesos_Decisao!$B$8:$J$8))</f>
        <v/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tr">
        <f>IF(Variaveis!A449="","",Variaveis!A449)</f>
        <v/>
      </c>
      <c r="B449" s="4" t="str">
        <f>IF(Variaveis!A449="","",SUMPRODUCT(N(Variaveis!B449:J449),Pesos_Decisao!$B$2:$J$2))</f>
        <v/>
      </c>
      <c r="C449" s="4" t="str">
        <f>IF(Variaveis!A449="","",SUMPRODUCT(N(Variaveis!B449:J449),Pesos_Decisao!$B$3:$J$3))</f>
        <v/>
      </c>
      <c r="D449" s="4" t="str">
        <f>IF(Variaveis!A449="","",SUMPRODUCT(N(Variaveis!B449:J449),Pesos_Decisao!$B$4:$J$4))</f>
        <v/>
      </c>
      <c r="E449" s="4" t="str">
        <f>IF(Variaveis!A449="","",SUMPRODUCT(N(Variaveis!B449:J449),Pesos_Decisao!$B$5:$J$5))</f>
        <v/>
      </c>
      <c r="F449" s="4" t="str">
        <f>IF(Variaveis!A449="","",SUMPRODUCT(N(Variaveis!B449:J449),Pesos_Decisao!$B$6:$J$6))</f>
        <v/>
      </c>
      <c r="G449" s="4" t="str">
        <f>IF(Variaveis!A449="","",SUMPRODUCT(N(Variaveis!B449:J449),Pesos_Decisao!$B$7:$J$7))</f>
        <v/>
      </c>
      <c r="H449" s="4" t="str">
        <f>IF(Variaveis!A449="","",SUMPRODUCT(N(Variaveis!B449:J449),Pesos_Decisao!$B$8:$J$8))</f>
        <v/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tr">
        <f>IF(Variaveis!A450="","",Variaveis!A450)</f>
        <v/>
      </c>
      <c r="B450" s="4" t="str">
        <f>IF(Variaveis!A450="","",SUMPRODUCT(N(Variaveis!B450:J450),Pesos_Decisao!$B$2:$J$2))</f>
        <v/>
      </c>
      <c r="C450" s="4" t="str">
        <f>IF(Variaveis!A450="","",SUMPRODUCT(N(Variaveis!B450:J450),Pesos_Decisao!$B$3:$J$3))</f>
        <v/>
      </c>
      <c r="D450" s="4" t="str">
        <f>IF(Variaveis!A450="","",SUMPRODUCT(N(Variaveis!B450:J450),Pesos_Decisao!$B$4:$J$4))</f>
        <v/>
      </c>
      <c r="E450" s="4" t="str">
        <f>IF(Variaveis!A450="","",SUMPRODUCT(N(Variaveis!B450:J450),Pesos_Decisao!$B$5:$J$5))</f>
        <v/>
      </c>
      <c r="F450" s="4" t="str">
        <f>IF(Variaveis!A450="","",SUMPRODUCT(N(Variaveis!B450:J450),Pesos_Decisao!$B$6:$J$6))</f>
        <v/>
      </c>
      <c r="G450" s="4" t="str">
        <f>IF(Variaveis!A450="","",SUMPRODUCT(N(Variaveis!B450:J450),Pesos_Decisao!$B$7:$J$7))</f>
        <v/>
      </c>
      <c r="H450" s="4" t="str">
        <f>IF(Variaveis!A450="","",SUMPRODUCT(N(Variaveis!B450:J450),Pesos_Decisao!$B$8:$J$8))</f>
        <v/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tr">
        <f>IF(Variaveis!A451="","",Variaveis!A451)</f>
        <v/>
      </c>
      <c r="B451" s="4" t="str">
        <f>IF(Variaveis!A451="","",SUMPRODUCT(N(Variaveis!B451:J451),Pesos_Decisao!$B$2:$J$2))</f>
        <v/>
      </c>
      <c r="C451" s="4" t="str">
        <f>IF(Variaveis!A451="","",SUMPRODUCT(N(Variaveis!B451:J451),Pesos_Decisao!$B$3:$J$3))</f>
        <v/>
      </c>
      <c r="D451" s="4" t="str">
        <f>IF(Variaveis!A451="","",SUMPRODUCT(N(Variaveis!B451:J451),Pesos_Decisao!$B$4:$J$4))</f>
        <v/>
      </c>
      <c r="E451" s="4" t="str">
        <f>IF(Variaveis!A451="","",SUMPRODUCT(N(Variaveis!B451:J451),Pesos_Decisao!$B$5:$J$5))</f>
        <v/>
      </c>
      <c r="F451" s="4" t="str">
        <f>IF(Variaveis!A451="","",SUMPRODUCT(N(Variaveis!B451:J451),Pesos_Decisao!$B$6:$J$6))</f>
        <v/>
      </c>
      <c r="G451" s="4" t="str">
        <f>IF(Variaveis!A451="","",SUMPRODUCT(N(Variaveis!B451:J451),Pesos_Decisao!$B$7:$J$7))</f>
        <v/>
      </c>
      <c r="H451" s="4" t="str">
        <f>IF(Variaveis!A451="","",SUMPRODUCT(N(Variaveis!B451:J451),Pesos_Decisao!$B$8:$J$8))</f>
        <v/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tr">
        <f>IF(Variaveis!A452="","",Variaveis!A452)</f>
        <v/>
      </c>
      <c r="B452" s="4" t="str">
        <f>IF(Variaveis!A452="","",SUMPRODUCT(N(Variaveis!B452:J452),Pesos_Decisao!$B$2:$J$2))</f>
        <v/>
      </c>
      <c r="C452" s="4" t="str">
        <f>IF(Variaveis!A452="","",SUMPRODUCT(N(Variaveis!B452:J452),Pesos_Decisao!$B$3:$J$3))</f>
        <v/>
      </c>
      <c r="D452" s="4" t="str">
        <f>IF(Variaveis!A452="","",SUMPRODUCT(N(Variaveis!B452:J452),Pesos_Decisao!$B$4:$J$4))</f>
        <v/>
      </c>
      <c r="E452" s="4" t="str">
        <f>IF(Variaveis!A452="","",SUMPRODUCT(N(Variaveis!B452:J452),Pesos_Decisao!$B$5:$J$5))</f>
        <v/>
      </c>
      <c r="F452" s="4" t="str">
        <f>IF(Variaveis!A452="","",SUMPRODUCT(N(Variaveis!B452:J452),Pesos_Decisao!$B$6:$J$6))</f>
        <v/>
      </c>
      <c r="G452" s="4" t="str">
        <f>IF(Variaveis!A452="","",SUMPRODUCT(N(Variaveis!B452:J452),Pesos_Decisao!$B$7:$J$7))</f>
        <v/>
      </c>
      <c r="H452" s="4" t="str">
        <f>IF(Variaveis!A452="","",SUMPRODUCT(N(Variaveis!B452:J452),Pesos_Decisao!$B$8:$J$8))</f>
        <v/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tr">
        <f>IF(Variaveis!A453="","",Variaveis!A453)</f>
        <v/>
      </c>
      <c r="B453" s="4" t="str">
        <f>IF(Variaveis!A453="","",SUMPRODUCT(N(Variaveis!B453:J453),Pesos_Decisao!$B$2:$J$2))</f>
        <v/>
      </c>
      <c r="C453" s="4" t="str">
        <f>IF(Variaveis!A453="","",SUMPRODUCT(N(Variaveis!B453:J453),Pesos_Decisao!$B$3:$J$3))</f>
        <v/>
      </c>
      <c r="D453" s="4" t="str">
        <f>IF(Variaveis!A453="","",SUMPRODUCT(N(Variaveis!B453:J453),Pesos_Decisao!$B$4:$J$4))</f>
        <v/>
      </c>
      <c r="E453" s="4" t="str">
        <f>IF(Variaveis!A453="","",SUMPRODUCT(N(Variaveis!B453:J453),Pesos_Decisao!$B$5:$J$5))</f>
        <v/>
      </c>
      <c r="F453" s="4" t="str">
        <f>IF(Variaveis!A453="","",SUMPRODUCT(N(Variaveis!B453:J453),Pesos_Decisao!$B$6:$J$6))</f>
        <v/>
      </c>
      <c r="G453" s="4" t="str">
        <f>IF(Variaveis!A453="","",SUMPRODUCT(N(Variaveis!B453:J453),Pesos_Decisao!$B$7:$J$7))</f>
        <v/>
      </c>
      <c r="H453" s="4" t="str">
        <f>IF(Variaveis!A453="","",SUMPRODUCT(N(Variaveis!B453:J453),Pesos_Decisao!$B$8:$J$8))</f>
        <v/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tr">
        <f>IF(Variaveis!A454="","",Variaveis!A454)</f>
        <v/>
      </c>
      <c r="B454" s="4" t="str">
        <f>IF(Variaveis!A454="","",SUMPRODUCT(N(Variaveis!B454:J454),Pesos_Decisao!$B$2:$J$2))</f>
        <v/>
      </c>
      <c r="C454" s="4" t="str">
        <f>IF(Variaveis!A454="","",SUMPRODUCT(N(Variaveis!B454:J454),Pesos_Decisao!$B$3:$J$3))</f>
        <v/>
      </c>
      <c r="D454" s="4" t="str">
        <f>IF(Variaveis!A454="","",SUMPRODUCT(N(Variaveis!B454:J454),Pesos_Decisao!$B$4:$J$4))</f>
        <v/>
      </c>
      <c r="E454" s="4" t="str">
        <f>IF(Variaveis!A454="","",SUMPRODUCT(N(Variaveis!B454:J454),Pesos_Decisao!$B$5:$J$5))</f>
        <v/>
      </c>
      <c r="F454" s="4" t="str">
        <f>IF(Variaveis!A454="","",SUMPRODUCT(N(Variaveis!B454:J454),Pesos_Decisao!$B$6:$J$6))</f>
        <v/>
      </c>
      <c r="G454" s="4" t="str">
        <f>IF(Variaveis!A454="","",SUMPRODUCT(N(Variaveis!B454:J454),Pesos_Decisao!$B$7:$J$7))</f>
        <v/>
      </c>
      <c r="H454" s="4" t="str">
        <f>IF(Variaveis!A454="","",SUMPRODUCT(N(Variaveis!B454:J454),Pesos_Decisao!$B$8:$J$8))</f>
        <v/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tr">
        <f>IF(Variaveis!A455="","",Variaveis!A455)</f>
        <v/>
      </c>
      <c r="B455" s="4" t="str">
        <f>IF(Variaveis!A455="","",SUMPRODUCT(N(Variaveis!B455:J455),Pesos_Decisao!$B$2:$J$2))</f>
        <v/>
      </c>
      <c r="C455" s="4" t="str">
        <f>IF(Variaveis!A455="","",SUMPRODUCT(N(Variaveis!B455:J455),Pesos_Decisao!$B$3:$J$3))</f>
        <v/>
      </c>
      <c r="D455" s="4" t="str">
        <f>IF(Variaveis!A455="","",SUMPRODUCT(N(Variaveis!B455:J455),Pesos_Decisao!$B$4:$J$4))</f>
        <v/>
      </c>
      <c r="E455" s="4" t="str">
        <f>IF(Variaveis!A455="","",SUMPRODUCT(N(Variaveis!B455:J455),Pesos_Decisao!$B$5:$J$5))</f>
        <v/>
      </c>
      <c r="F455" s="4" t="str">
        <f>IF(Variaveis!A455="","",SUMPRODUCT(N(Variaveis!B455:J455),Pesos_Decisao!$B$6:$J$6))</f>
        <v/>
      </c>
      <c r="G455" s="4" t="str">
        <f>IF(Variaveis!A455="","",SUMPRODUCT(N(Variaveis!B455:J455),Pesos_Decisao!$B$7:$J$7))</f>
        <v/>
      </c>
      <c r="H455" s="4" t="str">
        <f>IF(Variaveis!A455="","",SUMPRODUCT(N(Variaveis!B455:J455),Pesos_Decisao!$B$8:$J$8))</f>
        <v/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tr">
        <f>IF(Variaveis!A456="","",Variaveis!A456)</f>
        <v/>
      </c>
      <c r="B456" s="4" t="str">
        <f>IF(Variaveis!A456="","",SUMPRODUCT(N(Variaveis!B456:J456),Pesos_Decisao!$B$2:$J$2))</f>
        <v/>
      </c>
      <c r="C456" s="4" t="str">
        <f>IF(Variaveis!A456="","",SUMPRODUCT(N(Variaveis!B456:J456),Pesos_Decisao!$B$3:$J$3))</f>
        <v/>
      </c>
      <c r="D456" s="4" t="str">
        <f>IF(Variaveis!A456="","",SUMPRODUCT(N(Variaveis!B456:J456),Pesos_Decisao!$B$4:$J$4))</f>
        <v/>
      </c>
      <c r="E456" s="4" t="str">
        <f>IF(Variaveis!A456="","",SUMPRODUCT(N(Variaveis!B456:J456),Pesos_Decisao!$B$5:$J$5))</f>
        <v/>
      </c>
      <c r="F456" s="4" t="str">
        <f>IF(Variaveis!A456="","",SUMPRODUCT(N(Variaveis!B456:J456),Pesos_Decisao!$B$6:$J$6))</f>
        <v/>
      </c>
      <c r="G456" s="4" t="str">
        <f>IF(Variaveis!A456="","",SUMPRODUCT(N(Variaveis!B456:J456),Pesos_Decisao!$B$7:$J$7))</f>
        <v/>
      </c>
      <c r="H456" s="4" t="str">
        <f>IF(Variaveis!A456="","",SUMPRODUCT(N(Variaveis!B456:J456),Pesos_Decisao!$B$8:$J$8))</f>
        <v/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tr">
        <f>IF(Variaveis!A457="","",Variaveis!A457)</f>
        <v/>
      </c>
      <c r="B457" s="4" t="str">
        <f>IF(Variaveis!A457="","",SUMPRODUCT(N(Variaveis!B457:J457),Pesos_Decisao!$B$2:$J$2))</f>
        <v/>
      </c>
      <c r="C457" s="4" t="str">
        <f>IF(Variaveis!A457="","",SUMPRODUCT(N(Variaveis!B457:J457),Pesos_Decisao!$B$3:$J$3))</f>
        <v/>
      </c>
      <c r="D457" s="4" t="str">
        <f>IF(Variaveis!A457="","",SUMPRODUCT(N(Variaveis!B457:J457),Pesos_Decisao!$B$4:$J$4))</f>
        <v/>
      </c>
      <c r="E457" s="4" t="str">
        <f>IF(Variaveis!A457="","",SUMPRODUCT(N(Variaveis!B457:J457),Pesos_Decisao!$B$5:$J$5))</f>
        <v/>
      </c>
      <c r="F457" s="4" t="str">
        <f>IF(Variaveis!A457="","",SUMPRODUCT(N(Variaveis!B457:J457),Pesos_Decisao!$B$6:$J$6))</f>
        <v/>
      </c>
      <c r="G457" s="4" t="str">
        <f>IF(Variaveis!A457="","",SUMPRODUCT(N(Variaveis!B457:J457),Pesos_Decisao!$B$7:$J$7))</f>
        <v/>
      </c>
      <c r="H457" s="4" t="str">
        <f>IF(Variaveis!A457="","",SUMPRODUCT(N(Variaveis!B457:J457),Pesos_Decisao!$B$8:$J$8))</f>
        <v/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tr">
        <f>IF(Variaveis!A458="","",Variaveis!A458)</f>
        <v/>
      </c>
      <c r="B458" s="4" t="str">
        <f>IF(Variaveis!A458="","",SUMPRODUCT(N(Variaveis!B458:J458),Pesos_Decisao!$B$2:$J$2))</f>
        <v/>
      </c>
      <c r="C458" s="4" t="str">
        <f>IF(Variaveis!A458="","",SUMPRODUCT(N(Variaveis!B458:J458),Pesos_Decisao!$B$3:$J$3))</f>
        <v/>
      </c>
      <c r="D458" s="4" t="str">
        <f>IF(Variaveis!A458="","",SUMPRODUCT(N(Variaveis!B458:J458),Pesos_Decisao!$B$4:$J$4))</f>
        <v/>
      </c>
      <c r="E458" s="4" t="str">
        <f>IF(Variaveis!A458="","",SUMPRODUCT(N(Variaveis!B458:J458),Pesos_Decisao!$B$5:$J$5))</f>
        <v/>
      </c>
      <c r="F458" s="4" t="str">
        <f>IF(Variaveis!A458="","",SUMPRODUCT(N(Variaveis!B458:J458),Pesos_Decisao!$B$6:$J$6))</f>
        <v/>
      </c>
      <c r="G458" s="4" t="str">
        <f>IF(Variaveis!A458="","",SUMPRODUCT(N(Variaveis!B458:J458),Pesos_Decisao!$B$7:$J$7))</f>
        <v/>
      </c>
      <c r="H458" s="4" t="str">
        <f>IF(Variaveis!A458="","",SUMPRODUCT(N(Variaveis!B458:J458),Pesos_Decisao!$B$8:$J$8))</f>
        <v/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tr">
        <f>IF(Variaveis!A459="","",Variaveis!A459)</f>
        <v/>
      </c>
      <c r="B459" s="4" t="str">
        <f>IF(Variaveis!A459="","",SUMPRODUCT(N(Variaveis!B459:J459),Pesos_Decisao!$B$2:$J$2))</f>
        <v/>
      </c>
      <c r="C459" s="4" t="str">
        <f>IF(Variaveis!A459="","",SUMPRODUCT(N(Variaveis!B459:J459),Pesos_Decisao!$B$3:$J$3))</f>
        <v/>
      </c>
      <c r="D459" s="4" t="str">
        <f>IF(Variaveis!A459="","",SUMPRODUCT(N(Variaveis!B459:J459),Pesos_Decisao!$B$4:$J$4))</f>
        <v/>
      </c>
      <c r="E459" s="4" t="str">
        <f>IF(Variaveis!A459="","",SUMPRODUCT(N(Variaveis!B459:J459),Pesos_Decisao!$B$5:$J$5))</f>
        <v/>
      </c>
      <c r="F459" s="4" t="str">
        <f>IF(Variaveis!A459="","",SUMPRODUCT(N(Variaveis!B459:J459),Pesos_Decisao!$B$6:$J$6))</f>
        <v/>
      </c>
      <c r="G459" s="4" t="str">
        <f>IF(Variaveis!A459="","",SUMPRODUCT(N(Variaveis!B459:J459),Pesos_Decisao!$B$7:$J$7))</f>
        <v/>
      </c>
      <c r="H459" s="4" t="str">
        <f>IF(Variaveis!A459="","",SUMPRODUCT(N(Variaveis!B459:J459),Pesos_Decisao!$B$8:$J$8))</f>
        <v/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tr">
        <f>IF(Variaveis!A460="","",Variaveis!A460)</f>
        <v/>
      </c>
      <c r="B460" s="4" t="str">
        <f>IF(Variaveis!A460="","",SUMPRODUCT(N(Variaveis!B460:J460),Pesos_Decisao!$B$2:$J$2))</f>
        <v/>
      </c>
      <c r="C460" s="4" t="str">
        <f>IF(Variaveis!A460="","",SUMPRODUCT(N(Variaveis!B460:J460),Pesos_Decisao!$B$3:$J$3))</f>
        <v/>
      </c>
      <c r="D460" s="4" t="str">
        <f>IF(Variaveis!A460="","",SUMPRODUCT(N(Variaveis!B460:J460),Pesos_Decisao!$B$4:$J$4))</f>
        <v/>
      </c>
      <c r="E460" s="4" t="str">
        <f>IF(Variaveis!A460="","",SUMPRODUCT(N(Variaveis!B460:J460),Pesos_Decisao!$B$5:$J$5))</f>
        <v/>
      </c>
      <c r="F460" s="4" t="str">
        <f>IF(Variaveis!A460="","",SUMPRODUCT(N(Variaveis!B460:J460),Pesos_Decisao!$B$6:$J$6))</f>
        <v/>
      </c>
      <c r="G460" s="4" t="str">
        <f>IF(Variaveis!A460="","",SUMPRODUCT(N(Variaveis!B460:J460),Pesos_Decisao!$B$7:$J$7))</f>
        <v/>
      </c>
      <c r="H460" s="4" t="str">
        <f>IF(Variaveis!A460="","",SUMPRODUCT(N(Variaveis!B460:J460),Pesos_Decisao!$B$8:$J$8))</f>
        <v/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tr">
        <f>IF(Variaveis!A461="","",Variaveis!A461)</f>
        <v/>
      </c>
      <c r="B461" s="4" t="str">
        <f>IF(Variaveis!A461="","",SUMPRODUCT(N(Variaveis!B461:J461),Pesos_Decisao!$B$2:$J$2))</f>
        <v/>
      </c>
      <c r="C461" s="4" t="str">
        <f>IF(Variaveis!A461="","",SUMPRODUCT(N(Variaveis!B461:J461),Pesos_Decisao!$B$3:$J$3))</f>
        <v/>
      </c>
      <c r="D461" s="4" t="str">
        <f>IF(Variaveis!A461="","",SUMPRODUCT(N(Variaveis!B461:J461),Pesos_Decisao!$B$4:$J$4))</f>
        <v/>
      </c>
      <c r="E461" s="4" t="str">
        <f>IF(Variaveis!A461="","",SUMPRODUCT(N(Variaveis!B461:J461),Pesos_Decisao!$B$5:$J$5))</f>
        <v/>
      </c>
      <c r="F461" s="4" t="str">
        <f>IF(Variaveis!A461="","",SUMPRODUCT(N(Variaveis!B461:J461),Pesos_Decisao!$B$6:$J$6))</f>
        <v/>
      </c>
      <c r="G461" s="4" t="str">
        <f>IF(Variaveis!A461="","",SUMPRODUCT(N(Variaveis!B461:J461),Pesos_Decisao!$B$7:$J$7))</f>
        <v/>
      </c>
      <c r="H461" s="4" t="str">
        <f>IF(Variaveis!A461="","",SUMPRODUCT(N(Variaveis!B461:J461),Pesos_Decisao!$B$8:$J$8))</f>
        <v/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tr">
        <f>IF(Variaveis!A462="","",Variaveis!A462)</f>
        <v/>
      </c>
      <c r="B462" s="4" t="str">
        <f>IF(Variaveis!A462="","",SUMPRODUCT(N(Variaveis!B462:J462),Pesos_Decisao!$B$2:$J$2))</f>
        <v/>
      </c>
      <c r="C462" s="4" t="str">
        <f>IF(Variaveis!A462="","",SUMPRODUCT(N(Variaveis!B462:J462),Pesos_Decisao!$B$3:$J$3))</f>
        <v/>
      </c>
      <c r="D462" s="4" t="str">
        <f>IF(Variaveis!A462="","",SUMPRODUCT(N(Variaveis!B462:J462),Pesos_Decisao!$B$4:$J$4))</f>
        <v/>
      </c>
      <c r="E462" s="4" t="str">
        <f>IF(Variaveis!A462="","",SUMPRODUCT(N(Variaveis!B462:J462),Pesos_Decisao!$B$5:$J$5))</f>
        <v/>
      </c>
      <c r="F462" s="4" t="str">
        <f>IF(Variaveis!A462="","",SUMPRODUCT(N(Variaveis!B462:J462),Pesos_Decisao!$B$6:$J$6))</f>
        <v/>
      </c>
      <c r="G462" s="4" t="str">
        <f>IF(Variaveis!A462="","",SUMPRODUCT(N(Variaveis!B462:J462),Pesos_Decisao!$B$7:$J$7))</f>
        <v/>
      </c>
      <c r="H462" s="4" t="str">
        <f>IF(Variaveis!A462="","",SUMPRODUCT(N(Variaveis!B462:J462),Pesos_Decisao!$B$8:$J$8))</f>
        <v/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tr">
        <f>IF(Variaveis!A463="","",Variaveis!A463)</f>
        <v/>
      </c>
      <c r="B463" s="4" t="str">
        <f>IF(Variaveis!A463="","",SUMPRODUCT(N(Variaveis!B463:J463),Pesos_Decisao!$B$2:$J$2))</f>
        <v/>
      </c>
      <c r="C463" s="4" t="str">
        <f>IF(Variaveis!A463="","",SUMPRODUCT(N(Variaveis!B463:J463),Pesos_Decisao!$B$3:$J$3))</f>
        <v/>
      </c>
      <c r="D463" s="4" t="str">
        <f>IF(Variaveis!A463="","",SUMPRODUCT(N(Variaveis!B463:J463),Pesos_Decisao!$B$4:$J$4))</f>
        <v/>
      </c>
      <c r="E463" s="4" t="str">
        <f>IF(Variaveis!A463="","",SUMPRODUCT(N(Variaveis!B463:J463),Pesos_Decisao!$B$5:$J$5))</f>
        <v/>
      </c>
      <c r="F463" s="4" t="str">
        <f>IF(Variaveis!A463="","",SUMPRODUCT(N(Variaveis!B463:J463),Pesos_Decisao!$B$6:$J$6))</f>
        <v/>
      </c>
      <c r="G463" s="4" t="str">
        <f>IF(Variaveis!A463="","",SUMPRODUCT(N(Variaveis!B463:J463),Pesos_Decisao!$B$7:$J$7))</f>
        <v/>
      </c>
      <c r="H463" s="4" t="str">
        <f>IF(Variaveis!A463="","",SUMPRODUCT(N(Variaveis!B463:J463),Pesos_Decisao!$B$8:$J$8))</f>
        <v/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tr">
        <f>IF(Variaveis!A464="","",Variaveis!A464)</f>
        <v/>
      </c>
      <c r="B464" s="4" t="str">
        <f>IF(Variaveis!A464="","",SUMPRODUCT(N(Variaveis!B464:J464),Pesos_Decisao!$B$2:$J$2))</f>
        <v/>
      </c>
      <c r="C464" s="4" t="str">
        <f>IF(Variaveis!A464="","",SUMPRODUCT(N(Variaveis!B464:J464),Pesos_Decisao!$B$3:$J$3))</f>
        <v/>
      </c>
      <c r="D464" s="4" t="str">
        <f>IF(Variaveis!A464="","",SUMPRODUCT(N(Variaveis!B464:J464),Pesos_Decisao!$B$4:$J$4))</f>
        <v/>
      </c>
      <c r="E464" s="4" t="str">
        <f>IF(Variaveis!A464="","",SUMPRODUCT(N(Variaveis!B464:J464),Pesos_Decisao!$B$5:$J$5))</f>
        <v/>
      </c>
      <c r="F464" s="4" t="str">
        <f>IF(Variaveis!A464="","",SUMPRODUCT(N(Variaveis!B464:J464),Pesos_Decisao!$B$6:$J$6))</f>
        <v/>
      </c>
      <c r="G464" s="4" t="str">
        <f>IF(Variaveis!A464="","",SUMPRODUCT(N(Variaveis!B464:J464),Pesos_Decisao!$B$7:$J$7))</f>
        <v/>
      </c>
      <c r="H464" s="4" t="str">
        <f>IF(Variaveis!A464="","",SUMPRODUCT(N(Variaveis!B464:J464),Pesos_Decisao!$B$8:$J$8))</f>
        <v/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tr">
        <f>IF(Variaveis!A465="","",Variaveis!A465)</f>
        <v/>
      </c>
      <c r="B465" s="4" t="str">
        <f>IF(Variaveis!A465="","",SUMPRODUCT(N(Variaveis!B465:J465),Pesos_Decisao!$B$2:$J$2))</f>
        <v/>
      </c>
      <c r="C465" s="4" t="str">
        <f>IF(Variaveis!A465="","",SUMPRODUCT(N(Variaveis!B465:J465),Pesos_Decisao!$B$3:$J$3))</f>
        <v/>
      </c>
      <c r="D465" s="4" t="str">
        <f>IF(Variaveis!A465="","",SUMPRODUCT(N(Variaveis!B465:J465),Pesos_Decisao!$B$4:$J$4))</f>
        <v/>
      </c>
      <c r="E465" s="4" t="str">
        <f>IF(Variaveis!A465="","",SUMPRODUCT(N(Variaveis!B465:J465),Pesos_Decisao!$B$5:$J$5))</f>
        <v/>
      </c>
      <c r="F465" s="4" t="str">
        <f>IF(Variaveis!A465="","",SUMPRODUCT(N(Variaveis!B465:J465),Pesos_Decisao!$B$6:$J$6))</f>
        <v/>
      </c>
      <c r="G465" s="4" t="str">
        <f>IF(Variaveis!A465="","",SUMPRODUCT(N(Variaveis!B465:J465),Pesos_Decisao!$B$7:$J$7))</f>
        <v/>
      </c>
      <c r="H465" s="4" t="str">
        <f>IF(Variaveis!A465="","",SUMPRODUCT(N(Variaveis!B465:J465),Pesos_Decisao!$B$8:$J$8))</f>
        <v/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tr">
        <f>IF(Variaveis!A466="","",Variaveis!A466)</f>
        <v/>
      </c>
      <c r="B466" s="4" t="str">
        <f>IF(Variaveis!A466="","",SUMPRODUCT(N(Variaveis!B466:J466),Pesos_Decisao!$B$2:$J$2))</f>
        <v/>
      </c>
      <c r="C466" s="4" t="str">
        <f>IF(Variaveis!A466="","",SUMPRODUCT(N(Variaveis!B466:J466),Pesos_Decisao!$B$3:$J$3))</f>
        <v/>
      </c>
      <c r="D466" s="4" t="str">
        <f>IF(Variaveis!A466="","",SUMPRODUCT(N(Variaveis!B466:J466),Pesos_Decisao!$B$4:$J$4))</f>
        <v/>
      </c>
      <c r="E466" s="4" t="str">
        <f>IF(Variaveis!A466="","",SUMPRODUCT(N(Variaveis!B466:J466),Pesos_Decisao!$B$5:$J$5))</f>
        <v/>
      </c>
      <c r="F466" s="4" t="str">
        <f>IF(Variaveis!A466="","",SUMPRODUCT(N(Variaveis!B466:J466),Pesos_Decisao!$B$6:$J$6))</f>
        <v/>
      </c>
      <c r="G466" s="4" t="str">
        <f>IF(Variaveis!A466="","",SUMPRODUCT(N(Variaveis!B466:J466),Pesos_Decisao!$B$7:$J$7))</f>
        <v/>
      </c>
      <c r="H466" s="4" t="str">
        <f>IF(Variaveis!A466="","",SUMPRODUCT(N(Variaveis!B466:J466),Pesos_Decisao!$B$8:$J$8))</f>
        <v/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tr">
        <f>IF(Variaveis!A467="","",Variaveis!A467)</f>
        <v/>
      </c>
      <c r="B467" s="4" t="str">
        <f>IF(Variaveis!A467="","",SUMPRODUCT(N(Variaveis!B467:J467),Pesos_Decisao!$B$2:$J$2))</f>
        <v/>
      </c>
      <c r="C467" s="4" t="str">
        <f>IF(Variaveis!A467="","",SUMPRODUCT(N(Variaveis!B467:J467),Pesos_Decisao!$B$3:$J$3))</f>
        <v/>
      </c>
      <c r="D467" s="4" t="str">
        <f>IF(Variaveis!A467="","",SUMPRODUCT(N(Variaveis!B467:J467),Pesos_Decisao!$B$4:$J$4))</f>
        <v/>
      </c>
      <c r="E467" s="4" t="str">
        <f>IF(Variaveis!A467="","",SUMPRODUCT(N(Variaveis!B467:J467),Pesos_Decisao!$B$5:$J$5))</f>
        <v/>
      </c>
      <c r="F467" s="4" t="str">
        <f>IF(Variaveis!A467="","",SUMPRODUCT(N(Variaveis!B467:J467),Pesos_Decisao!$B$6:$J$6))</f>
        <v/>
      </c>
      <c r="G467" s="4" t="str">
        <f>IF(Variaveis!A467="","",SUMPRODUCT(N(Variaveis!B467:J467),Pesos_Decisao!$B$7:$J$7))</f>
        <v/>
      </c>
      <c r="H467" s="4" t="str">
        <f>IF(Variaveis!A467="","",SUMPRODUCT(N(Variaveis!B467:J467),Pesos_Decisao!$B$8:$J$8))</f>
        <v/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tr">
        <f>IF(Variaveis!A468="","",Variaveis!A468)</f>
        <v/>
      </c>
      <c r="B468" s="4" t="str">
        <f>IF(Variaveis!A468="","",SUMPRODUCT(N(Variaveis!B468:J468),Pesos_Decisao!$B$2:$J$2))</f>
        <v/>
      </c>
      <c r="C468" s="4" t="str">
        <f>IF(Variaveis!A468="","",SUMPRODUCT(N(Variaveis!B468:J468),Pesos_Decisao!$B$3:$J$3))</f>
        <v/>
      </c>
      <c r="D468" s="4" t="str">
        <f>IF(Variaveis!A468="","",SUMPRODUCT(N(Variaveis!B468:J468),Pesos_Decisao!$B$4:$J$4))</f>
        <v/>
      </c>
      <c r="E468" s="4" t="str">
        <f>IF(Variaveis!A468="","",SUMPRODUCT(N(Variaveis!B468:J468),Pesos_Decisao!$B$5:$J$5))</f>
        <v/>
      </c>
      <c r="F468" s="4" t="str">
        <f>IF(Variaveis!A468="","",SUMPRODUCT(N(Variaveis!B468:J468),Pesos_Decisao!$B$6:$J$6))</f>
        <v/>
      </c>
      <c r="G468" s="4" t="str">
        <f>IF(Variaveis!A468="","",SUMPRODUCT(N(Variaveis!B468:J468),Pesos_Decisao!$B$7:$J$7))</f>
        <v/>
      </c>
      <c r="H468" s="4" t="str">
        <f>IF(Variaveis!A468="","",SUMPRODUCT(N(Variaveis!B468:J468),Pesos_Decisao!$B$8:$J$8))</f>
        <v/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tr">
        <f>IF(Variaveis!A469="","",Variaveis!A469)</f>
        <v/>
      </c>
      <c r="B469" s="4" t="str">
        <f>IF(Variaveis!A469="","",SUMPRODUCT(N(Variaveis!B469:J469),Pesos_Decisao!$B$2:$J$2))</f>
        <v/>
      </c>
      <c r="C469" s="4" t="str">
        <f>IF(Variaveis!A469="","",SUMPRODUCT(N(Variaveis!B469:J469),Pesos_Decisao!$B$3:$J$3))</f>
        <v/>
      </c>
      <c r="D469" s="4" t="str">
        <f>IF(Variaveis!A469="","",SUMPRODUCT(N(Variaveis!B469:J469),Pesos_Decisao!$B$4:$J$4))</f>
        <v/>
      </c>
      <c r="E469" s="4" t="str">
        <f>IF(Variaveis!A469="","",SUMPRODUCT(N(Variaveis!B469:J469),Pesos_Decisao!$B$5:$J$5))</f>
        <v/>
      </c>
      <c r="F469" s="4" t="str">
        <f>IF(Variaveis!A469="","",SUMPRODUCT(N(Variaveis!B469:J469),Pesos_Decisao!$B$6:$J$6))</f>
        <v/>
      </c>
      <c r="G469" s="4" t="str">
        <f>IF(Variaveis!A469="","",SUMPRODUCT(N(Variaveis!B469:J469),Pesos_Decisao!$B$7:$J$7))</f>
        <v/>
      </c>
      <c r="H469" s="4" t="str">
        <f>IF(Variaveis!A469="","",SUMPRODUCT(N(Variaveis!B469:J469),Pesos_Decisao!$B$8:$J$8))</f>
        <v/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tr">
        <f>IF(Variaveis!A470="","",Variaveis!A470)</f>
        <v/>
      </c>
      <c r="B470" s="4" t="str">
        <f>IF(Variaveis!A470="","",SUMPRODUCT(N(Variaveis!B470:J470),Pesos_Decisao!$B$2:$J$2))</f>
        <v/>
      </c>
      <c r="C470" s="4" t="str">
        <f>IF(Variaveis!A470="","",SUMPRODUCT(N(Variaveis!B470:J470),Pesos_Decisao!$B$3:$J$3))</f>
        <v/>
      </c>
      <c r="D470" s="4" t="str">
        <f>IF(Variaveis!A470="","",SUMPRODUCT(N(Variaveis!B470:J470),Pesos_Decisao!$B$4:$J$4))</f>
        <v/>
      </c>
      <c r="E470" s="4" t="str">
        <f>IF(Variaveis!A470="","",SUMPRODUCT(N(Variaveis!B470:J470),Pesos_Decisao!$B$5:$J$5))</f>
        <v/>
      </c>
      <c r="F470" s="4" t="str">
        <f>IF(Variaveis!A470="","",SUMPRODUCT(N(Variaveis!B470:J470),Pesos_Decisao!$B$6:$J$6))</f>
        <v/>
      </c>
      <c r="G470" s="4" t="str">
        <f>IF(Variaveis!A470="","",SUMPRODUCT(N(Variaveis!B470:J470),Pesos_Decisao!$B$7:$J$7))</f>
        <v/>
      </c>
      <c r="H470" s="4" t="str">
        <f>IF(Variaveis!A470="","",SUMPRODUCT(N(Variaveis!B470:J470),Pesos_Decisao!$B$8:$J$8))</f>
        <v/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tr">
        <f>IF(Variaveis!A471="","",Variaveis!A471)</f>
        <v/>
      </c>
      <c r="B471" s="4" t="str">
        <f>IF(Variaveis!A471="","",SUMPRODUCT(N(Variaveis!B471:J471),Pesos_Decisao!$B$2:$J$2))</f>
        <v/>
      </c>
      <c r="C471" s="4" t="str">
        <f>IF(Variaveis!A471="","",SUMPRODUCT(N(Variaveis!B471:J471),Pesos_Decisao!$B$3:$J$3))</f>
        <v/>
      </c>
      <c r="D471" s="4" t="str">
        <f>IF(Variaveis!A471="","",SUMPRODUCT(N(Variaveis!B471:J471),Pesos_Decisao!$B$4:$J$4))</f>
        <v/>
      </c>
      <c r="E471" s="4" t="str">
        <f>IF(Variaveis!A471="","",SUMPRODUCT(N(Variaveis!B471:J471),Pesos_Decisao!$B$5:$J$5))</f>
        <v/>
      </c>
      <c r="F471" s="4" t="str">
        <f>IF(Variaveis!A471="","",SUMPRODUCT(N(Variaveis!B471:J471),Pesos_Decisao!$B$6:$J$6))</f>
        <v/>
      </c>
      <c r="G471" s="4" t="str">
        <f>IF(Variaveis!A471="","",SUMPRODUCT(N(Variaveis!B471:J471),Pesos_Decisao!$B$7:$J$7))</f>
        <v/>
      </c>
      <c r="H471" s="4" t="str">
        <f>IF(Variaveis!A471="","",SUMPRODUCT(N(Variaveis!B471:J471),Pesos_Decisao!$B$8:$J$8))</f>
        <v/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tr">
        <f>IF(Variaveis!A472="","",Variaveis!A472)</f>
        <v/>
      </c>
      <c r="B472" s="4" t="str">
        <f>IF(Variaveis!A472="","",SUMPRODUCT(N(Variaveis!B472:J472),Pesos_Decisao!$B$2:$J$2))</f>
        <v/>
      </c>
      <c r="C472" s="4" t="str">
        <f>IF(Variaveis!A472="","",SUMPRODUCT(N(Variaveis!B472:J472),Pesos_Decisao!$B$3:$J$3))</f>
        <v/>
      </c>
      <c r="D472" s="4" t="str">
        <f>IF(Variaveis!A472="","",SUMPRODUCT(N(Variaveis!B472:J472),Pesos_Decisao!$B$4:$J$4))</f>
        <v/>
      </c>
      <c r="E472" s="4" t="str">
        <f>IF(Variaveis!A472="","",SUMPRODUCT(N(Variaveis!B472:J472),Pesos_Decisao!$B$5:$J$5))</f>
        <v/>
      </c>
      <c r="F472" s="4" t="str">
        <f>IF(Variaveis!A472="","",SUMPRODUCT(N(Variaveis!B472:J472),Pesos_Decisao!$B$6:$J$6))</f>
        <v/>
      </c>
      <c r="G472" s="4" t="str">
        <f>IF(Variaveis!A472="","",SUMPRODUCT(N(Variaveis!B472:J472),Pesos_Decisao!$B$7:$J$7))</f>
        <v/>
      </c>
      <c r="H472" s="4" t="str">
        <f>IF(Variaveis!A472="","",SUMPRODUCT(N(Variaveis!B472:J472),Pesos_Decisao!$B$8:$J$8))</f>
        <v/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tr">
        <f>IF(Variaveis!A473="","",Variaveis!A473)</f>
        <v/>
      </c>
      <c r="B473" s="4" t="str">
        <f>IF(Variaveis!A473="","",SUMPRODUCT(N(Variaveis!B473:J473),Pesos_Decisao!$B$2:$J$2))</f>
        <v/>
      </c>
      <c r="C473" s="4" t="str">
        <f>IF(Variaveis!A473="","",SUMPRODUCT(N(Variaveis!B473:J473),Pesos_Decisao!$B$3:$J$3))</f>
        <v/>
      </c>
      <c r="D473" s="4" t="str">
        <f>IF(Variaveis!A473="","",SUMPRODUCT(N(Variaveis!B473:J473),Pesos_Decisao!$B$4:$J$4))</f>
        <v/>
      </c>
      <c r="E473" s="4" t="str">
        <f>IF(Variaveis!A473="","",SUMPRODUCT(N(Variaveis!B473:J473),Pesos_Decisao!$B$5:$J$5))</f>
        <v/>
      </c>
      <c r="F473" s="4" t="str">
        <f>IF(Variaveis!A473="","",SUMPRODUCT(N(Variaveis!B473:J473),Pesos_Decisao!$B$6:$J$6))</f>
        <v/>
      </c>
      <c r="G473" s="4" t="str">
        <f>IF(Variaveis!A473="","",SUMPRODUCT(N(Variaveis!B473:J473),Pesos_Decisao!$B$7:$J$7))</f>
        <v/>
      </c>
      <c r="H473" s="4" t="str">
        <f>IF(Variaveis!A473="","",SUMPRODUCT(N(Variaveis!B473:J473),Pesos_Decisao!$B$8:$J$8))</f>
        <v/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tr">
        <f>IF(Variaveis!A474="","",Variaveis!A474)</f>
        <v/>
      </c>
      <c r="B474" s="4" t="str">
        <f>IF(Variaveis!A474="","",SUMPRODUCT(N(Variaveis!B474:J474),Pesos_Decisao!$B$2:$J$2))</f>
        <v/>
      </c>
      <c r="C474" s="4" t="str">
        <f>IF(Variaveis!A474="","",SUMPRODUCT(N(Variaveis!B474:J474),Pesos_Decisao!$B$3:$J$3))</f>
        <v/>
      </c>
      <c r="D474" s="4" t="str">
        <f>IF(Variaveis!A474="","",SUMPRODUCT(N(Variaveis!B474:J474),Pesos_Decisao!$B$4:$J$4))</f>
        <v/>
      </c>
      <c r="E474" s="4" t="str">
        <f>IF(Variaveis!A474="","",SUMPRODUCT(N(Variaveis!B474:J474),Pesos_Decisao!$B$5:$J$5))</f>
        <v/>
      </c>
      <c r="F474" s="4" t="str">
        <f>IF(Variaveis!A474="","",SUMPRODUCT(N(Variaveis!B474:J474),Pesos_Decisao!$B$6:$J$6))</f>
        <v/>
      </c>
      <c r="G474" s="4" t="str">
        <f>IF(Variaveis!A474="","",SUMPRODUCT(N(Variaveis!B474:J474),Pesos_Decisao!$B$7:$J$7))</f>
        <v/>
      </c>
      <c r="H474" s="4" t="str">
        <f>IF(Variaveis!A474="","",SUMPRODUCT(N(Variaveis!B474:J474),Pesos_Decisao!$B$8:$J$8))</f>
        <v/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tr">
        <f>IF(Variaveis!A475="","",Variaveis!A475)</f>
        <v/>
      </c>
      <c r="B475" s="4" t="str">
        <f>IF(Variaveis!A475="","",SUMPRODUCT(N(Variaveis!B475:J475),Pesos_Decisao!$B$2:$J$2))</f>
        <v/>
      </c>
      <c r="C475" s="4" t="str">
        <f>IF(Variaveis!A475="","",SUMPRODUCT(N(Variaveis!B475:J475),Pesos_Decisao!$B$3:$J$3))</f>
        <v/>
      </c>
      <c r="D475" s="4" t="str">
        <f>IF(Variaveis!A475="","",SUMPRODUCT(N(Variaveis!B475:J475),Pesos_Decisao!$B$4:$J$4))</f>
        <v/>
      </c>
      <c r="E475" s="4" t="str">
        <f>IF(Variaveis!A475="","",SUMPRODUCT(N(Variaveis!B475:J475),Pesos_Decisao!$B$5:$J$5))</f>
        <v/>
      </c>
      <c r="F475" s="4" t="str">
        <f>IF(Variaveis!A475="","",SUMPRODUCT(N(Variaveis!B475:J475),Pesos_Decisao!$B$6:$J$6))</f>
        <v/>
      </c>
      <c r="G475" s="4" t="str">
        <f>IF(Variaveis!A475="","",SUMPRODUCT(N(Variaveis!B475:J475),Pesos_Decisao!$B$7:$J$7))</f>
        <v/>
      </c>
      <c r="H475" s="4" t="str">
        <f>IF(Variaveis!A475="","",SUMPRODUCT(N(Variaveis!B475:J475),Pesos_Decisao!$B$8:$J$8))</f>
        <v/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tr">
        <f>IF(Variaveis!A476="","",Variaveis!A476)</f>
        <v/>
      </c>
      <c r="B476" s="4" t="str">
        <f>IF(Variaveis!A476="","",SUMPRODUCT(N(Variaveis!B476:J476),Pesos_Decisao!$B$2:$J$2))</f>
        <v/>
      </c>
      <c r="C476" s="4" t="str">
        <f>IF(Variaveis!A476="","",SUMPRODUCT(N(Variaveis!B476:J476),Pesos_Decisao!$B$3:$J$3))</f>
        <v/>
      </c>
      <c r="D476" s="4" t="str">
        <f>IF(Variaveis!A476="","",SUMPRODUCT(N(Variaveis!B476:J476),Pesos_Decisao!$B$4:$J$4))</f>
        <v/>
      </c>
      <c r="E476" s="4" t="str">
        <f>IF(Variaveis!A476="","",SUMPRODUCT(N(Variaveis!B476:J476),Pesos_Decisao!$B$5:$J$5))</f>
        <v/>
      </c>
      <c r="F476" s="4" t="str">
        <f>IF(Variaveis!A476="","",SUMPRODUCT(N(Variaveis!B476:J476),Pesos_Decisao!$B$6:$J$6))</f>
        <v/>
      </c>
      <c r="G476" s="4" t="str">
        <f>IF(Variaveis!A476="","",SUMPRODUCT(N(Variaveis!B476:J476),Pesos_Decisao!$B$7:$J$7))</f>
        <v/>
      </c>
      <c r="H476" s="4" t="str">
        <f>IF(Variaveis!A476="","",SUMPRODUCT(N(Variaveis!B476:J476),Pesos_Decisao!$B$8:$J$8))</f>
        <v/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tr">
        <f>IF(Variaveis!A477="","",Variaveis!A477)</f>
        <v/>
      </c>
      <c r="B477" s="4" t="str">
        <f>IF(Variaveis!A477="","",SUMPRODUCT(N(Variaveis!B477:J477),Pesos_Decisao!$B$2:$J$2))</f>
        <v/>
      </c>
      <c r="C477" s="4" t="str">
        <f>IF(Variaveis!A477="","",SUMPRODUCT(N(Variaveis!B477:J477),Pesos_Decisao!$B$3:$J$3))</f>
        <v/>
      </c>
      <c r="D477" s="4" t="str">
        <f>IF(Variaveis!A477="","",SUMPRODUCT(N(Variaveis!B477:J477),Pesos_Decisao!$B$4:$J$4))</f>
        <v/>
      </c>
      <c r="E477" s="4" t="str">
        <f>IF(Variaveis!A477="","",SUMPRODUCT(N(Variaveis!B477:J477),Pesos_Decisao!$B$5:$J$5))</f>
        <v/>
      </c>
      <c r="F477" s="4" t="str">
        <f>IF(Variaveis!A477="","",SUMPRODUCT(N(Variaveis!B477:J477),Pesos_Decisao!$B$6:$J$6))</f>
        <v/>
      </c>
      <c r="G477" s="4" t="str">
        <f>IF(Variaveis!A477="","",SUMPRODUCT(N(Variaveis!B477:J477),Pesos_Decisao!$B$7:$J$7))</f>
        <v/>
      </c>
      <c r="H477" s="4" t="str">
        <f>IF(Variaveis!A477="","",SUMPRODUCT(N(Variaveis!B477:J477),Pesos_Decisao!$B$8:$J$8))</f>
        <v/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tr">
        <f>IF(Variaveis!A478="","",Variaveis!A478)</f>
        <v/>
      </c>
      <c r="B478" s="4" t="str">
        <f>IF(Variaveis!A478="","",SUMPRODUCT(N(Variaveis!B478:J478),Pesos_Decisao!$B$2:$J$2))</f>
        <v/>
      </c>
      <c r="C478" s="4" t="str">
        <f>IF(Variaveis!A478="","",SUMPRODUCT(N(Variaveis!B478:J478),Pesos_Decisao!$B$3:$J$3))</f>
        <v/>
      </c>
      <c r="D478" s="4" t="str">
        <f>IF(Variaveis!A478="","",SUMPRODUCT(N(Variaveis!B478:J478),Pesos_Decisao!$B$4:$J$4))</f>
        <v/>
      </c>
      <c r="E478" s="4" t="str">
        <f>IF(Variaveis!A478="","",SUMPRODUCT(N(Variaveis!B478:J478),Pesos_Decisao!$B$5:$J$5))</f>
        <v/>
      </c>
      <c r="F478" s="4" t="str">
        <f>IF(Variaveis!A478="","",SUMPRODUCT(N(Variaveis!B478:J478),Pesos_Decisao!$B$6:$J$6))</f>
        <v/>
      </c>
      <c r="G478" s="4" t="str">
        <f>IF(Variaveis!A478="","",SUMPRODUCT(N(Variaveis!B478:J478),Pesos_Decisao!$B$7:$J$7))</f>
        <v/>
      </c>
      <c r="H478" s="4" t="str">
        <f>IF(Variaveis!A478="","",SUMPRODUCT(N(Variaveis!B478:J478),Pesos_Decisao!$B$8:$J$8))</f>
        <v/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tr">
        <f>IF(Variaveis!A479="","",Variaveis!A479)</f>
        <v/>
      </c>
      <c r="B479" s="4" t="str">
        <f>IF(Variaveis!A479="","",SUMPRODUCT(N(Variaveis!B479:J479),Pesos_Decisao!$B$2:$J$2))</f>
        <v/>
      </c>
      <c r="C479" s="4" t="str">
        <f>IF(Variaveis!A479="","",SUMPRODUCT(N(Variaveis!B479:J479),Pesos_Decisao!$B$3:$J$3))</f>
        <v/>
      </c>
      <c r="D479" s="4" t="str">
        <f>IF(Variaveis!A479="","",SUMPRODUCT(N(Variaveis!B479:J479),Pesos_Decisao!$B$4:$J$4))</f>
        <v/>
      </c>
      <c r="E479" s="4" t="str">
        <f>IF(Variaveis!A479="","",SUMPRODUCT(N(Variaveis!B479:J479),Pesos_Decisao!$B$5:$J$5))</f>
        <v/>
      </c>
      <c r="F479" s="4" t="str">
        <f>IF(Variaveis!A479="","",SUMPRODUCT(N(Variaveis!B479:J479),Pesos_Decisao!$B$6:$J$6))</f>
        <v/>
      </c>
      <c r="G479" s="4" t="str">
        <f>IF(Variaveis!A479="","",SUMPRODUCT(N(Variaveis!B479:J479),Pesos_Decisao!$B$7:$J$7))</f>
        <v/>
      </c>
      <c r="H479" s="4" t="str">
        <f>IF(Variaveis!A479="","",SUMPRODUCT(N(Variaveis!B479:J479),Pesos_Decisao!$B$8:$J$8))</f>
        <v/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tr">
        <f>IF(Variaveis!A480="","",Variaveis!A480)</f>
        <v/>
      </c>
      <c r="B480" s="4" t="str">
        <f>IF(Variaveis!A480="","",SUMPRODUCT(N(Variaveis!B480:J480),Pesos_Decisao!$B$2:$J$2))</f>
        <v/>
      </c>
      <c r="C480" s="4" t="str">
        <f>IF(Variaveis!A480="","",SUMPRODUCT(N(Variaveis!B480:J480),Pesos_Decisao!$B$3:$J$3))</f>
        <v/>
      </c>
      <c r="D480" s="4" t="str">
        <f>IF(Variaveis!A480="","",SUMPRODUCT(N(Variaveis!B480:J480),Pesos_Decisao!$B$4:$J$4))</f>
        <v/>
      </c>
      <c r="E480" s="4" t="str">
        <f>IF(Variaveis!A480="","",SUMPRODUCT(N(Variaveis!B480:J480),Pesos_Decisao!$B$5:$J$5))</f>
        <v/>
      </c>
      <c r="F480" s="4" t="str">
        <f>IF(Variaveis!A480="","",SUMPRODUCT(N(Variaveis!B480:J480),Pesos_Decisao!$B$6:$J$6))</f>
        <v/>
      </c>
      <c r="G480" s="4" t="str">
        <f>IF(Variaveis!A480="","",SUMPRODUCT(N(Variaveis!B480:J480),Pesos_Decisao!$B$7:$J$7))</f>
        <v/>
      </c>
      <c r="H480" s="4" t="str">
        <f>IF(Variaveis!A480="","",SUMPRODUCT(N(Variaveis!B480:J480),Pesos_Decisao!$B$8:$J$8))</f>
        <v/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tr">
        <f>IF(Variaveis!A481="","",Variaveis!A481)</f>
        <v/>
      </c>
      <c r="B481" s="4" t="str">
        <f>IF(Variaveis!A481="","",SUMPRODUCT(N(Variaveis!B481:J481),Pesos_Decisao!$B$2:$J$2))</f>
        <v/>
      </c>
      <c r="C481" s="4" t="str">
        <f>IF(Variaveis!A481="","",SUMPRODUCT(N(Variaveis!B481:J481),Pesos_Decisao!$B$3:$J$3))</f>
        <v/>
      </c>
      <c r="D481" s="4" t="str">
        <f>IF(Variaveis!A481="","",SUMPRODUCT(N(Variaveis!B481:J481),Pesos_Decisao!$B$4:$J$4))</f>
        <v/>
      </c>
      <c r="E481" s="4" t="str">
        <f>IF(Variaveis!A481="","",SUMPRODUCT(N(Variaveis!B481:J481),Pesos_Decisao!$B$5:$J$5))</f>
        <v/>
      </c>
      <c r="F481" s="4" t="str">
        <f>IF(Variaveis!A481="","",SUMPRODUCT(N(Variaveis!B481:J481),Pesos_Decisao!$B$6:$J$6))</f>
        <v/>
      </c>
      <c r="G481" s="4" t="str">
        <f>IF(Variaveis!A481="","",SUMPRODUCT(N(Variaveis!B481:J481),Pesos_Decisao!$B$7:$J$7))</f>
        <v/>
      </c>
      <c r="H481" s="4" t="str">
        <f>IF(Variaveis!A481="","",SUMPRODUCT(N(Variaveis!B481:J481),Pesos_Decisao!$B$8:$J$8))</f>
        <v/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tr">
        <f>IF(Variaveis!A482="","",Variaveis!A482)</f>
        <v/>
      </c>
      <c r="B482" s="4" t="str">
        <f>IF(Variaveis!A482="","",SUMPRODUCT(N(Variaveis!B482:J482),Pesos_Decisao!$B$2:$J$2))</f>
        <v/>
      </c>
      <c r="C482" s="4" t="str">
        <f>IF(Variaveis!A482="","",SUMPRODUCT(N(Variaveis!B482:J482),Pesos_Decisao!$B$3:$J$3))</f>
        <v/>
      </c>
      <c r="D482" s="4" t="str">
        <f>IF(Variaveis!A482="","",SUMPRODUCT(N(Variaveis!B482:J482),Pesos_Decisao!$B$4:$J$4))</f>
        <v/>
      </c>
      <c r="E482" s="4" t="str">
        <f>IF(Variaveis!A482="","",SUMPRODUCT(N(Variaveis!B482:J482),Pesos_Decisao!$B$5:$J$5))</f>
        <v/>
      </c>
      <c r="F482" s="4" t="str">
        <f>IF(Variaveis!A482="","",SUMPRODUCT(N(Variaveis!B482:J482),Pesos_Decisao!$B$6:$J$6))</f>
        <v/>
      </c>
      <c r="G482" s="4" t="str">
        <f>IF(Variaveis!A482="","",SUMPRODUCT(N(Variaveis!B482:J482),Pesos_Decisao!$B$7:$J$7))</f>
        <v/>
      </c>
      <c r="H482" s="4" t="str">
        <f>IF(Variaveis!A482="","",SUMPRODUCT(N(Variaveis!B482:J482),Pesos_Decisao!$B$8:$J$8))</f>
        <v/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tr">
        <f>IF(Variaveis!A483="","",Variaveis!A483)</f>
        <v/>
      </c>
      <c r="B483" s="4" t="str">
        <f>IF(Variaveis!A483="","",SUMPRODUCT(N(Variaveis!B483:J483),Pesos_Decisao!$B$2:$J$2))</f>
        <v/>
      </c>
      <c r="C483" s="4" t="str">
        <f>IF(Variaveis!A483="","",SUMPRODUCT(N(Variaveis!B483:J483),Pesos_Decisao!$B$3:$J$3))</f>
        <v/>
      </c>
      <c r="D483" s="4" t="str">
        <f>IF(Variaveis!A483="","",SUMPRODUCT(N(Variaveis!B483:J483),Pesos_Decisao!$B$4:$J$4))</f>
        <v/>
      </c>
      <c r="E483" s="4" t="str">
        <f>IF(Variaveis!A483="","",SUMPRODUCT(N(Variaveis!B483:J483),Pesos_Decisao!$B$5:$J$5))</f>
        <v/>
      </c>
      <c r="F483" s="4" t="str">
        <f>IF(Variaveis!A483="","",SUMPRODUCT(N(Variaveis!B483:J483),Pesos_Decisao!$B$6:$J$6))</f>
        <v/>
      </c>
      <c r="G483" s="4" t="str">
        <f>IF(Variaveis!A483="","",SUMPRODUCT(N(Variaveis!B483:J483),Pesos_Decisao!$B$7:$J$7))</f>
        <v/>
      </c>
      <c r="H483" s="4" t="str">
        <f>IF(Variaveis!A483="","",SUMPRODUCT(N(Variaveis!B483:J483),Pesos_Decisao!$B$8:$J$8))</f>
        <v/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tr">
        <f>IF(Variaveis!A484="","",Variaveis!A484)</f>
        <v/>
      </c>
      <c r="B484" s="4" t="str">
        <f>IF(Variaveis!A484="","",SUMPRODUCT(N(Variaveis!B484:J484),Pesos_Decisao!$B$2:$J$2))</f>
        <v/>
      </c>
      <c r="C484" s="4" t="str">
        <f>IF(Variaveis!A484="","",SUMPRODUCT(N(Variaveis!B484:J484),Pesos_Decisao!$B$3:$J$3))</f>
        <v/>
      </c>
      <c r="D484" s="4" t="str">
        <f>IF(Variaveis!A484="","",SUMPRODUCT(N(Variaveis!B484:J484),Pesos_Decisao!$B$4:$J$4))</f>
        <v/>
      </c>
      <c r="E484" s="4" t="str">
        <f>IF(Variaveis!A484="","",SUMPRODUCT(N(Variaveis!B484:J484),Pesos_Decisao!$B$5:$J$5))</f>
        <v/>
      </c>
      <c r="F484" s="4" t="str">
        <f>IF(Variaveis!A484="","",SUMPRODUCT(N(Variaveis!B484:J484),Pesos_Decisao!$B$6:$J$6))</f>
        <v/>
      </c>
      <c r="G484" s="4" t="str">
        <f>IF(Variaveis!A484="","",SUMPRODUCT(N(Variaveis!B484:J484),Pesos_Decisao!$B$7:$J$7))</f>
        <v/>
      </c>
      <c r="H484" s="4" t="str">
        <f>IF(Variaveis!A484="","",SUMPRODUCT(N(Variaveis!B484:J484),Pesos_Decisao!$B$8:$J$8))</f>
        <v/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tr">
        <f>IF(Variaveis!A485="","",Variaveis!A485)</f>
        <v/>
      </c>
      <c r="B485" s="4" t="str">
        <f>IF(Variaveis!A485="","",SUMPRODUCT(N(Variaveis!B485:J485),Pesos_Decisao!$B$2:$J$2))</f>
        <v/>
      </c>
      <c r="C485" s="4" t="str">
        <f>IF(Variaveis!A485="","",SUMPRODUCT(N(Variaveis!B485:J485),Pesos_Decisao!$B$3:$J$3))</f>
        <v/>
      </c>
      <c r="D485" s="4" t="str">
        <f>IF(Variaveis!A485="","",SUMPRODUCT(N(Variaveis!B485:J485),Pesos_Decisao!$B$4:$J$4))</f>
        <v/>
      </c>
      <c r="E485" s="4" t="str">
        <f>IF(Variaveis!A485="","",SUMPRODUCT(N(Variaveis!B485:J485),Pesos_Decisao!$B$5:$J$5))</f>
        <v/>
      </c>
      <c r="F485" s="4" t="str">
        <f>IF(Variaveis!A485="","",SUMPRODUCT(N(Variaveis!B485:J485),Pesos_Decisao!$B$6:$J$6))</f>
        <v/>
      </c>
      <c r="G485" s="4" t="str">
        <f>IF(Variaveis!A485="","",SUMPRODUCT(N(Variaveis!B485:J485),Pesos_Decisao!$B$7:$J$7))</f>
        <v/>
      </c>
      <c r="H485" s="4" t="str">
        <f>IF(Variaveis!A485="","",SUMPRODUCT(N(Variaveis!B485:J485),Pesos_Decisao!$B$8:$J$8))</f>
        <v/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tr">
        <f>IF(Variaveis!A486="","",Variaveis!A486)</f>
        <v/>
      </c>
      <c r="B486" s="4" t="str">
        <f>IF(Variaveis!A486="","",SUMPRODUCT(N(Variaveis!B486:J486),Pesos_Decisao!$B$2:$J$2))</f>
        <v/>
      </c>
      <c r="C486" s="4" t="str">
        <f>IF(Variaveis!A486="","",SUMPRODUCT(N(Variaveis!B486:J486),Pesos_Decisao!$B$3:$J$3))</f>
        <v/>
      </c>
      <c r="D486" s="4" t="str">
        <f>IF(Variaveis!A486="","",SUMPRODUCT(N(Variaveis!B486:J486),Pesos_Decisao!$B$4:$J$4))</f>
        <v/>
      </c>
      <c r="E486" s="4" t="str">
        <f>IF(Variaveis!A486="","",SUMPRODUCT(N(Variaveis!B486:J486),Pesos_Decisao!$B$5:$J$5))</f>
        <v/>
      </c>
      <c r="F486" s="4" t="str">
        <f>IF(Variaveis!A486="","",SUMPRODUCT(N(Variaveis!B486:J486),Pesos_Decisao!$B$6:$J$6))</f>
        <v/>
      </c>
      <c r="G486" s="4" t="str">
        <f>IF(Variaveis!A486="","",SUMPRODUCT(N(Variaveis!B486:J486),Pesos_Decisao!$B$7:$J$7))</f>
        <v/>
      </c>
      <c r="H486" s="4" t="str">
        <f>IF(Variaveis!A486="","",SUMPRODUCT(N(Variaveis!B486:J486),Pesos_Decisao!$B$8:$J$8))</f>
        <v/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tr">
        <f>IF(Variaveis!A487="","",Variaveis!A487)</f>
        <v/>
      </c>
      <c r="B487" s="4" t="str">
        <f>IF(Variaveis!A487="","",SUMPRODUCT(N(Variaveis!B487:J487),Pesos_Decisao!$B$2:$J$2))</f>
        <v/>
      </c>
      <c r="C487" s="4" t="str">
        <f>IF(Variaveis!A487="","",SUMPRODUCT(N(Variaveis!B487:J487),Pesos_Decisao!$B$3:$J$3))</f>
        <v/>
      </c>
      <c r="D487" s="4" t="str">
        <f>IF(Variaveis!A487="","",SUMPRODUCT(N(Variaveis!B487:J487),Pesos_Decisao!$B$4:$J$4))</f>
        <v/>
      </c>
      <c r="E487" s="4" t="str">
        <f>IF(Variaveis!A487="","",SUMPRODUCT(N(Variaveis!B487:J487),Pesos_Decisao!$B$5:$J$5))</f>
        <v/>
      </c>
      <c r="F487" s="4" t="str">
        <f>IF(Variaveis!A487="","",SUMPRODUCT(N(Variaveis!B487:J487),Pesos_Decisao!$B$6:$J$6))</f>
        <v/>
      </c>
      <c r="G487" s="4" t="str">
        <f>IF(Variaveis!A487="","",SUMPRODUCT(N(Variaveis!B487:J487),Pesos_Decisao!$B$7:$J$7))</f>
        <v/>
      </c>
      <c r="H487" s="4" t="str">
        <f>IF(Variaveis!A487="","",SUMPRODUCT(N(Variaveis!B487:J487),Pesos_Decisao!$B$8:$J$8))</f>
        <v/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tr">
        <f>IF(Variaveis!A488="","",Variaveis!A488)</f>
        <v/>
      </c>
      <c r="B488" s="4" t="str">
        <f>IF(Variaveis!A488="","",SUMPRODUCT(N(Variaveis!B488:J488),Pesos_Decisao!$B$2:$J$2))</f>
        <v/>
      </c>
      <c r="C488" s="4" t="str">
        <f>IF(Variaveis!A488="","",SUMPRODUCT(N(Variaveis!B488:J488),Pesos_Decisao!$B$3:$J$3))</f>
        <v/>
      </c>
      <c r="D488" s="4" t="str">
        <f>IF(Variaveis!A488="","",SUMPRODUCT(N(Variaveis!B488:J488),Pesos_Decisao!$B$4:$J$4))</f>
        <v/>
      </c>
      <c r="E488" s="4" t="str">
        <f>IF(Variaveis!A488="","",SUMPRODUCT(N(Variaveis!B488:J488),Pesos_Decisao!$B$5:$J$5))</f>
        <v/>
      </c>
      <c r="F488" s="4" t="str">
        <f>IF(Variaveis!A488="","",SUMPRODUCT(N(Variaveis!B488:J488),Pesos_Decisao!$B$6:$J$6))</f>
        <v/>
      </c>
      <c r="G488" s="4" t="str">
        <f>IF(Variaveis!A488="","",SUMPRODUCT(N(Variaveis!B488:J488),Pesos_Decisao!$B$7:$J$7))</f>
        <v/>
      </c>
      <c r="H488" s="4" t="str">
        <f>IF(Variaveis!A488="","",SUMPRODUCT(N(Variaveis!B488:J488),Pesos_Decisao!$B$8:$J$8))</f>
        <v/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tr">
        <f>IF(Variaveis!A489="","",Variaveis!A489)</f>
        <v/>
      </c>
      <c r="B489" s="4" t="str">
        <f>IF(Variaveis!A489="","",SUMPRODUCT(N(Variaveis!B489:J489),Pesos_Decisao!$B$2:$J$2))</f>
        <v/>
      </c>
      <c r="C489" s="4" t="str">
        <f>IF(Variaveis!A489="","",SUMPRODUCT(N(Variaveis!B489:J489),Pesos_Decisao!$B$3:$J$3))</f>
        <v/>
      </c>
      <c r="D489" s="4" t="str">
        <f>IF(Variaveis!A489="","",SUMPRODUCT(N(Variaveis!B489:J489),Pesos_Decisao!$B$4:$J$4))</f>
        <v/>
      </c>
      <c r="E489" s="4" t="str">
        <f>IF(Variaveis!A489="","",SUMPRODUCT(N(Variaveis!B489:J489),Pesos_Decisao!$B$5:$J$5))</f>
        <v/>
      </c>
      <c r="F489" s="4" t="str">
        <f>IF(Variaveis!A489="","",SUMPRODUCT(N(Variaveis!B489:J489),Pesos_Decisao!$B$6:$J$6))</f>
        <v/>
      </c>
      <c r="G489" s="4" t="str">
        <f>IF(Variaveis!A489="","",SUMPRODUCT(N(Variaveis!B489:J489),Pesos_Decisao!$B$7:$J$7))</f>
        <v/>
      </c>
      <c r="H489" s="4" t="str">
        <f>IF(Variaveis!A489="","",SUMPRODUCT(N(Variaveis!B489:J489),Pesos_Decisao!$B$8:$J$8))</f>
        <v/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tr">
        <f>IF(Variaveis!A490="","",Variaveis!A490)</f>
        <v/>
      </c>
      <c r="B490" s="4" t="str">
        <f>IF(Variaveis!A490="","",SUMPRODUCT(N(Variaveis!B490:J490),Pesos_Decisao!$B$2:$J$2))</f>
        <v/>
      </c>
      <c r="C490" s="4" t="str">
        <f>IF(Variaveis!A490="","",SUMPRODUCT(N(Variaveis!B490:J490),Pesos_Decisao!$B$3:$J$3))</f>
        <v/>
      </c>
      <c r="D490" s="4" t="str">
        <f>IF(Variaveis!A490="","",SUMPRODUCT(N(Variaveis!B490:J490),Pesos_Decisao!$B$4:$J$4))</f>
        <v/>
      </c>
      <c r="E490" s="4" t="str">
        <f>IF(Variaveis!A490="","",SUMPRODUCT(N(Variaveis!B490:J490),Pesos_Decisao!$B$5:$J$5))</f>
        <v/>
      </c>
      <c r="F490" s="4" t="str">
        <f>IF(Variaveis!A490="","",SUMPRODUCT(N(Variaveis!B490:J490),Pesos_Decisao!$B$6:$J$6))</f>
        <v/>
      </c>
      <c r="G490" s="4" t="str">
        <f>IF(Variaveis!A490="","",SUMPRODUCT(N(Variaveis!B490:J490),Pesos_Decisao!$B$7:$J$7))</f>
        <v/>
      </c>
      <c r="H490" s="4" t="str">
        <f>IF(Variaveis!A490="","",SUMPRODUCT(N(Variaveis!B490:J490),Pesos_Decisao!$B$8:$J$8))</f>
        <v/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tr">
        <f>IF(Variaveis!A491="","",Variaveis!A491)</f>
        <v/>
      </c>
      <c r="B491" s="4" t="str">
        <f>IF(Variaveis!A491="","",SUMPRODUCT(N(Variaveis!B491:J491),Pesos_Decisao!$B$2:$J$2))</f>
        <v/>
      </c>
      <c r="C491" s="4" t="str">
        <f>IF(Variaveis!A491="","",SUMPRODUCT(N(Variaveis!B491:J491),Pesos_Decisao!$B$3:$J$3))</f>
        <v/>
      </c>
      <c r="D491" s="4" t="str">
        <f>IF(Variaveis!A491="","",SUMPRODUCT(N(Variaveis!B491:J491),Pesos_Decisao!$B$4:$J$4))</f>
        <v/>
      </c>
      <c r="E491" s="4" t="str">
        <f>IF(Variaveis!A491="","",SUMPRODUCT(N(Variaveis!B491:J491),Pesos_Decisao!$B$5:$J$5))</f>
        <v/>
      </c>
      <c r="F491" s="4" t="str">
        <f>IF(Variaveis!A491="","",SUMPRODUCT(N(Variaveis!B491:J491),Pesos_Decisao!$B$6:$J$6))</f>
        <v/>
      </c>
      <c r="G491" s="4" t="str">
        <f>IF(Variaveis!A491="","",SUMPRODUCT(N(Variaveis!B491:J491),Pesos_Decisao!$B$7:$J$7))</f>
        <v/>
      </c>
      <c r="H491" s="4" t="str">
        <f>IF(Variaveis!A491="","",SUMPRODUCT(N(Variaveis!B491:J491),Pesos_Decisao!$B$8:$J$8))</f>
        <v/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tr">
        <f>IF(Variaveis!A492="","",Variaveis!A492)</f>
        <v/>
      </c>
      <c r="B492" s="4" t="str">
        <f>IF(Variaveis!A492="","",SUMPRODUCT(N(Variaveis!B492:J492),Pesos_Decisao!$B$2:$J$2))</f>
        <v/>
      </c>
      <c r="C492" s="4" t="str">
        <f>IF(Variaveis!A492="","",SUMPRODUCT(N(Variaveis!B492:J492),Pesos_Decisao!$B$3:$J$3))</f>
        <v/>
      </c>
      <c r="D492" s="4" t="str">
        <f>IF(Variaveis!A492="","",SUMPRODUCT(N(Variaveis!B492:J492),Pesos_Decisao!$B$4:$J$4))</f>
        <v/>
      </c>
      <c r="E492" s="4" t="str">
        <f>IF(Variaveis!A492="","",SUMPRODUCT(N(Variaveis!B492:J492),Pesos_Decisao!$B$5:$J$5))</f>
        <v/>
      </c>
      <c r="F492" s="4" t="str">
        <f>IF(Variaveis!A492="","",SUMPRODUCT(N(Variaveis!B492:J492),Pesos_Decisao!$B$6:$J$6))</f>
        <v/>
      </c>
      <c r="G492" s="4" t="str">
        <f>IF(Variaveis!A492="","",SUMPRODUCT(N(Variaveis!B492:J492),Pesos_Decisao!$B$7:$J$7))</f>
        <v/>
      </c>
      <c r="H492" s="4" t="str">
        <f>IF(Variaveis!A492="","",SUMPRODUCT(N(Variaveis!B492:J492),Pesos_Decisao!$B$8:$J$8))</f>
        <v/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tr">
        <f>IF(Variaveis!A493="","",Variaveis!A493)</f>
        <v/>
      </c>
      <c r="B493" s="4" t="str">
        <f>IF(Variaveis!A493="","",SUMPRODUCT(N(Variaveis!B493:J493),Pesos_Decisao!$B$2:$J$2))</f>
        <v/>
      </c>
      <c r="C493" s="4" t="str">
        <f>IF(Variaveis!A493="","",SUMPRODUCT(N(Variaveis!B493:J493),Pesos_Decisao!$B$3:$J$3))</f>
        <v/>
      </c>
      <c r="D493" s="4" t="str">
        <f>IF(Variaveis!A493="","",SUMPRODUCT(N(Variaveis!B493:J493),Pesos_Decisao!$B$4:$J$4))</f>
        <v/>
      </c>
      <c r="E493" s="4" t="str">
        <f>IF(Variaveis!A493="","",SUMPRODUCT(N(Variaveis!B493:J493),Pesos_Decisao!$B$5:$J$5))</f>
        <v/>
      </c>
      <c r="F493" s="4" t="str">
        <f>IF(Variaveis!A493="","",SUMPRODUCT(N(Variaveis!B493:J493),Pesos_Decisao!$B$6:$J$6))</f>
        <v/>
      </c>
      <c r="G493" s="4" t="str">
        <f>IF(Variaveis!A493="","",SUMPRODUCT(N(Variaveis!B493:J493),Pesos_Decisao!$B$7:$J$7))</f>
        <v/>
      </c>
      <c r="H493" s="4" t="str">
        <f>IF(Variaveis!A493="","",SUMPRODUCT(N(Variaveis!B493:J493),Pesos_Decisao!$B$8:$J$8))</f>
        <v/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tr">
        <f>IF(Variaveis!A494="","",Variaveis!A494)</f>
        <v/>
      </c>
      <c r="B494" s="4" t="str">
        <f>IF(Variaveis!A494="","",SUMPRODUCT(N(Variaveis!B494:J494),Pesos_Decisao!$B$2:$J$2))</f>
        <v/>
      </c>
      <c r="C494" s="4" t="str">
        <f>IF(Variaveis!A494="","",SUMPRODUCT(N(Variaveis!B494:J494),Pesos_Decisao!$B$3:$J$3))</f>
        <v/>
      </c>
      <c r="D494" s="4" t="str">
        <f>IF(Variaveis!A494="","",SUMPRODUCT(N(Variaveis!B494:J494),Pesos_Decisao!$B$4:$J$4))</f>
        <v/>
      </c>
      <c r="E494" s="4" t="str">
        <f>IF(Variaveis!A494="","",SUMPRODUCT(N(Variaveis!B494:J494),Pesos_Decisao!$B$5:$J$5))</f>
        <v/>
      </c>
      <c r="F494" s="4" t="str">
        <f>IF(Variaveis!A494="","",SUMPRODUCT(N(Variaveis!B494:J494),Pesos_Decisao!$B$6:$J$6))</f>
        <v/>
      </c>
      <c r="G494" s="4" t="str">
        <f>IF(Variaveis!A494="","",SUMPRODUCT(N(Variaveis!B494:J494),Pesos_Decisao!$B$7:$J$7))</f>
        <v/>
      </c>
      <c r="H494" s="4" t="str">
        <f>IF(Variaveis!A494="","",SUMPRODUCT(N(Variaveis!B494:J494),Pesos_Decisao!$B$8:$J$8))</f>
        <v/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tr">
        <f>IF(Variaveis!A495="","",Variaveis!A495)</f>
        <v/>
      </c>
      <c r="B495" s="4" t="str">
        <f>IF(Variaveis!A495="","",SUMPRODUCT(N(Variaveis!B495:J495),Pesos_Decisao!$B$2:$J$2))</f>
        <v/>
      </c>
      <c r="C495" s="4" t="str">
        <f>IF(Variaveis!A495="","",SUMPRODUCT(N(Variaveis!B495:J495),Pesos_Decisao!$B$3:$J$3))</f>
        <v/>
      </c>
      <c r="D495" s="4" t="str">
        <f>IF(Variaveis!A495="","",SUMPRODUCT(N(Variaveis!B495:J495),Pesos_Decisao!$B$4:$J$4))</f>
        <v/>
      </c>
      <c r="E495" s="4" t="str">
        <f>IF(Variaveis!A495="","",SUMPRODUCT(N(Variaveis!B495:J495),Pesos_Decisao!$B$5:$J$5))</f>
        <v/>
      </c>
      <c r="F495" s="4" t="str">
        <f>IF(Variaveis!A495="","",SUMPRODUCT(N(Variaveis!B495:J495),Pesos_Decisao!$B$6:$J$6))</f>
        <v/>
      </c>
      <c r="G495" s="4" t="str">
        <f>IF(Variaveis!A495="","",SUMPRODUCT(N(Variaveis!B495:J495),Pesos_Decisao!$B$7:$J$7))</f>
        <v/>
      </c>
      <c r="H495" s="4" t="str">
        <f>IF(Variaveis!A495="","",SUMPRODUCT(N(Variaveis!B495:J495),Pesos_Decisao!$B$8:$J$8))</f>
        <v/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tr">
        <f>IF(Variaveis!A496="","",Variaveis!A496)</f>
        <v/>
      </c>
      <c r="B496" s="4" t="str">
        <f>IF(Variaveis!A496="","",SUMPRODUCT(N(Variaveis!B496:J496),Pesos_Decisao!$B$2:$J$2))</f>
        <v/>
      </c>
      <c r="C496" s="4" t="str">
        <f>IF(Variaveis!A496="","",SUMPRODUCT(N(Variaveis!B496:J496),Pesos_Decisao!$B$3:$J$3))</f>
        <v/>
      </c>
      <c r="D496" s="4" t="str">
        <f>IF(Variaveis!A496="","",SUMPRODUCT(N(Variaveis!B496:J496),Pesos_Decisao!$B$4:$J$4))</f>
        <v/>
      </c>
      <c r="E496" s="4" t="str">
        <f>IF(Variaveis!A496="","",SUMPRODUCT(N(Variaveis!B496:J496),Pesos_Decisao!$B$5:$J$5))</f>
        <v/>
      </c>
      <c r="F496" s="4" t="str">
        <f>IF(Variaveis!A496="","",SUMPRODUCT(N(Variaveis!B496:J496),Pesos_Decisao!$B$6:$J$6))</f>
        <v/>
      </c>
      <c r="G496" s="4" t="str">
        <f>IF(Variaveis!A496="","",SUMPRODUCT(N(Variaveis!B496:J496),Pesos_Decisao!$B$7:$J$7))</f>
        <v/>
      </c>
      <c r="H496" s="4" t="str">
        <f>IF(Variaveis!A496="","",SUMPRODUCT(N(Variaveis!B496:J496),Pesos_Decisao!$B$8:$J$8))</f>
        <v/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tr">
        <f>IF(Variaveis!A497="","",Variaveis!A497)</f>
        <v/>
      </c>
      <c r="B497" s="4" t="str">
        <f>IF(Variaveis!A497="","",SUMPRODUCT(N(Variaveis!B497:J497),Pesos_Decisao!$B$2:$J$2))</f>
        <v/>
      </c>
      <c r="C497" s="4" t="str">
        <f>IF(Variaveis!A497="","",SUMPRODUCT(N(Variaveis!B497:J497),Pesos_Decisao!$B$3:$J$3))</f>
        <v/>
      </c>
      <c r="D497" s="4" t="str">
        <f>IF(Variaveis!A497="","",SUMPRODUCT(N(Variaveis!B497:J497),Pesos_Decisao!$B$4:$J$4))</f>
        <v/>
      </c>
      <c r="E497" s="4" t="str">
        <f>IF(Variaveis!A497="","",SUMPRODUCT(N(Variaveis!B497:J497),Pesos_Decisao!$B$5:$J$5))</f>
        <v/>
      </c>
      <c r="F497" s="4" t="str">
        <f>IF(Variaveis!A497="","",SUMPRODUCT(N(Variaveis!B497:J497),Pesos_Decisao!$B$6:$J$6))</f>
        <v/>
      </c>
      <c r="G497" s="4" t="str">
        <f>IF(Variaveis!A497="","",SUMPRODUCT(N(Variaveis!B497:J497),Pesos_Decisao!$B$7:$J$7))</f>
        <v/>
      </c>
      <c r="H497" s="4" t="str">
        <f>IF(Variaveis!A497="","",SUMPRODUCT(N(Variaveis!B497:J497),Pesos_Decisao!$B$8:$J$8))</f>
        <v/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tr">
        <f>IF(Variaveis!A498="","",Variaveis!A498)</f>
        <v/>
      </c>
      <c r="B498" s="4" t="str">
        <f>IF(Variaveis!A498="","",SUMPRODUCT(N(Variaveis!B498:J498),Pesos_Decisao!$B$2:$J$2))</f>
        <v/>
      </c>
      <c r="C498" s="4" t="str">
        <f>IF(Variaveis!A498="","",SUMPRODUCT(N(Variaveis!B498:J498),Pesos_Decisao!$B$3:$J$3))</f>
        <v/>
      </c>
      <c r="D498" s="4" t="str">
        <f>IF(Variaveis!A498="","",SUMPRODUCT(N(Variaveis!B498:J498),Pesos_Decisao!$B$4:$J$4))</f>
        <v/>
      </c>
      <c r="E498" s="4" t="str">
        <f>IF(Variaveis!A498="","",SUMPRODUCT(N(Variaveis!B498:J498),Pesos_Decisao!$B$5:$J$5))</f>
        <v/>
      </c>
      <c r="F498" s="4" t="str">
        <f>IF(Variaveis!A498="","",SUMPRODUCT(N(Variaveis!B498:J498),Pesos_Decisao!$B$6:$J$6))</f>
        <v/>
      </c>
      <c r="G498" s="4" t="str">
        <f>IF(Variaveis!A498="","",SUMPRODUCT(N(Variaveis!B498:J498),Pesos_Decisao!$B$7:$J$7))</f>
        <v/>
      </c>
      <c r="H498" s="4" t="str">
        <f>IF(Variaveis!A498="","",SUMPRODUCT(N(Variaveis!B498:J498),Pesos_Decisao!$B$8:$J$8))</f>
        <v/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tr">
        <f>IF(Variaveis!A499="","",Variaveis!A499)</f>
        <v/>
      </c>
      <c r="B499" s="4" t="str">
        <f>IF(Variaveis!A499="","",SUMPRODUCT(N(Variaveis!B499:J499),Pesos_Decisao!$B$2:$J$2))</f>
        <v/>
      </c>
      <c r="C499" s="4" t="str">
        <f>IF(Variaveis!A499="","",SUMPRODUCT(N(Variaveis!B499:J499),Pesos_Decisao!$B$3:$J$3))</f>
        <v/>
      </c>
      <c r="D499" s="4" t="str">
        <f>IF(Variaveis!A499="","",SUMPRODUCT(N(Variaveis!B499:J499),Pesos_Decisao!$B$4:$J$4))</f>
        <v/>
      </c>
      <c r="E499" s="4" t="str">
        <f>IF(Variaveis!A499="","",SUMPRODUCT(N(Variaveis!B499:J499),Pesos_Decisao!$B$5:$J$5))</f>
        <v/>
      </c>
      <c r="F499" s="4" t="str">
        <f>IF(Variaveis!A499="","",SUMPRODUCT(N(Variaveis!B499:J499),Pesos_Decisao!$B$6:$J$6))</f>
        <v/>
      </c>
      <c r="G499" s="4" t="str">
        <f>IF(Variaveis!A499="","",SUMPRODUCT(N(Variaveis!B499:J499),Pesos_Decisao!$B$7:$J$7))</f>
        <v/>
      </c>
      <c r="H499" s="4" t="str">
        <f>IF(Variaveis!A499="","",SUMPRODUCT(N(Variaveis!B499:J499),Pesos_Decisao!$B$8:$J$8))</f>
        <v/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tr">
        <f>IF(Variaveis!A500="","",Variaveis!A500)</f>
        <v/>
      </c>
      <c r="B500" s="4" t="str">
        <f>IF(Variaveis!A500="","",SUMPRODUCT(N(Variaveis!B500:J500),Pesos_Decisao!$B$2:$J$2))</f>
        <v/>
      </c>
      <c r="C500" s="4" t="str">
        <f>IF(Variaveis!A500="","",SUMPRODUCT(N(Variaveis!B500:J500),Pesos_Decisao!$B$3:$J$3))</f>
        <v/>
      </c>
      <c r="D500" s="4" t="str">
        <f>IF(Variaveis!A500="","",SUMPRODUCT(N(Variaveis!B500:J500),Pesos_Decisao!$B$4:$J$4))</f>
        <v/>
      </c>
      <c r="E500" s="4" t="str">
        <f>IF(Variaveis!A500="","",SUMPRODUCT(N(Variaveis!B500:J500),Pesos_Decisao!$B$5:$J$5))</f>
        <v/>
      </c>
      <c r="F500" s="4" t="str">
        <f>IF(Variaveis!A500="","",SUMPRODUCT(N(Variaveis!B500:J500),Pesos_Decisao!$B$6:$J$6))</f>
        <v/>
      </c>
      <c r="G500" s="4" t="str">
        <f>IF(Variaveis!A500="","",SUMPRODUCT(N(Variaveis!B500:J500),Pesos_Decisao!$B$7:$J$7))</f>
        <v/>
      </c>
      <c r="H500" s="4" t="str">
        <f>IF(Variaveis!A500="","",SUMPRODUCT(N(Variaveis!B500:J500),Pesos_Decisao!$B$8:$J$8))</f>
        <v/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tr">
        <f>IF(Variaveis!A501="","",Variaveis!A501)</f>
        <v/>
      </c>
      <c r="B501" s="4" t="str">
        <f>IF(Variaveis!A501="","",SUMPRODUCT(N(Variaveis!B501:J501),Pesos_Decisao!$B$2:$J$2))</f>
        <v/>
      </c>
      <c r="C501" s="4" t="str">
        <f>IF(Variaveis!A501="","",SUMPRODUCT(N(Variaveis!B501:J501),Pesos_Decisao!$B$3:$J$3))</f>
        <v/>
      </c>
      <c r="D501" s="4" t="str">
        <f>IF(Variaveis!A501="","",SUMPRODUCT(N(Variaveis!B501:J501),Pesos_Decisao!$B$4:$J$4))</f>
        <v/>
      </c>
      <c r="E501" s="4" t="str">
        <f>IF(Variaveis!A501="","",SUMPRODUCT(N(Variaveis!B501:J501),Pesos_Decisao!$B$5:$J$5))</f>
        <v/>
      </c>
      <c r="F501" s="4" t="str">
        <f>IF(Variaveis!A501="","",SUMPRODUCT(N(Variaveis!B501:J501),Pesos_Decisao!$B$6:$J$6))</f>
        <v/>
      </c>
      <c r="G501" s="4" t="str">
        <f>IF(Variaveis!A501="","",SUMPRODUCT(N(Variaveis!B501:J501),Pesos_Decisao!$B$7:$J$7))</f>
        <v/>
      </c>
      <c r="H501" s="4" t="str">
        <f>IF(Variaveis!A501="","",SUMPRODUCT(N(Variaveis!B501:J501),Pesos_Decisao!$B$8:$J$8))</f>
        <v/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0" customHeight="1">
      <c r="A502" s="11" t="s">
        <v>221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14.0"/>
    <col customWidth="1" min="5" max="5" width="26.0"/>
    <col customWidth="1" min="6" max="6" width="30.0"/>
  </cols>
  <sheetData>
    <row r="1" ht="30.0" customHeight="1">
      <c r="A1" s="2" t="s">
        <v>189</v>
      </c>
      <c r="B1" s="2" t="s">
        <v>211</v>
      </c>
      <c r="C1" s="2" t="s">
        <v>212</v>
      </c>
      <c r="D1" s="2" t="s">
        <v>213</v>
      </c>
      <c r="E1" s="2" t="s">
        <v>214</v>
      </c>
      <c r="F1" s="2" t="s">
        <v>215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30"/>
      <c r="B2" s="30"/>
      <c r="C2" s="30"/>
      <c r="D2" s="30"/>
      <c r="E2" s="30"/>
      <c r="F2" s="3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30"/>
      <c r="B3" s="30"/>
      <c r="C3" s="30"/>
      <c r="D3" s="30"/>
      <c r="E3" s="30"/>
      <c r="F3" s="3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0"/>
      <c r="B4" s="30"/>
      <c r="C4" s="30"/>
      <c r="D4" s="30"/>
      <c r="E4" s="30"/>
      <c r="F4" s="3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0"/>
      <c r="B5" s="30"/>
      <c r="C5" s="30"/>
      <c r="D5" s="30"/>
      <c r="E5" s="30"/>
      <c r="F5" s="3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0"/>
      <c r="B6" s="30"/>
      <c r="C6" s="30"/>
      <c r="D6" s="30"/>
      <c r="E6" s="30"/>
      <c r="F6" s="3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0"/>
      <c r="B7" s="30"/>
      <c r="C7" s="30"/>
      <c r="D7" s="30"/>
      <c r="E7" s="30"/>
      <c r="F7" s="3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0"/>
      <c r="B8" s="30"/>
      <c r="C8" s="30"/>
      <c r="D8" s="30"/>
      <c r="E8" s="30"/>
      <c r="F8" s="3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0"/>
      <c r="B9" s="30"/>
      <c r="C9" s="30"/>
      <c r="D9" s="30"/>
      <c r="E9" s="30"/>
      <c r="F9" s="3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0"/>
      <c r="B10" s="30"/>
      <c r="C10" s="30"/>
      <c r="D10" s="30"/>
      <c r="E10" s="30"/>
      <c r="F10" s="3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0"/>
      <c r="B11" s="30"/>
      <c r="C11" s="30"/>
      <c r="D11" s="30"/>
      <c r="E11" s="30"/>
      <c r="F11" s="3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0"/>
      <c r="B12" s="30"/>
      <c r="C12" s="30"/>
      <c r="D12" s="30"/>
      <c r="E12" s="30"/>
      <c r="F12" s="3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1" t="s">
        <v>216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0.0"/>
    <col customWidth="1" min="4" max="4" width="45.43"/>
    <col customWidth="1" min="5" max="5" width="81.57"/>
    <col customWidth="1" min="6" max="6" width="8.71"/>
  </cols>
  <sheetData>
    <row r="1" ht="30.0" customHeight="1">
      <c r="A1" s="2" t="s">
        <v>189</v>
      </c>
      <c r="B1" s="2" t="s">
        <v>217</v>
      </c>
      <c r="C1" s="2" t="s">
        <v>218</v>
      </c>
      <c r="D1" s="2" t="s">
        <v>219</v>
      </c>
      <c r="E1" s="2" t="s">
        <v>220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5" t="str">
        <f>IF(Pontuacao!A2="","",Pontuacao!A2)</f>
        <v>Sannara Freitas</v>
      </c>
      <c r="B2" s="26" t="str">
        <f t="array" ref="B2">IFERROR(IF(A2="","",INDEX(Pontuacao!$B$1:$H$1,MATCH(MAX(Pontuacao!B2:H2),Pontuacao!B2:H2,0))),"")</f>
        <v>Posicionar</v>
      </c>
      <c r="C2" s="29">
        <f>IF(A2="","",MAX(Pontuacao!B2:H2))</f>
        <v>3.25</v>
      </c>
      <c r="D2" s="26" t="str">
        <f t="shared" ref="D2:D500" si="1">IF(A2="","","Aguardando histórico (mín. ~50-100 casos)")</f>
        <v>Aguardando histórico (mín. ~50-100 casos)</v>
      </c>
      <c r="E2" s="26" t="str">
        <f t="shared" ref="E2:E500" si="2">IF(A2="","",CONCATENATE("Prioridade: ",B2," (score ",TEXT(C2,"0.0"),"). Maior aderência com o perfil atual dessa cliente."))</f>
        <v>Prioridade: Posicionar (score 3,3). Maior aderência com o perfil atual dessa cliente.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5" t="str">
        <f>IF(Pontuacao!A3="","",Pontuacao!A3)</f>
        <v>Marissa Lima </v>
      </c>
      <c r="B3" s="26" t="str">
        <f t="array" ref="B3">IFERROR(IF(A3="","",INDEX(Pontuacao!$B$1:$H$1,MATCH(MAX(Pontuacao!B3:H3),Pontuacao!B3:H3,0))),"")</f>
        <v>Esteira</v>
      </c>
      <c r="C3" s="29">
        <f>IF(A3="","",MAX(Pontuacao!B3:H3))</f>
        <v>3.55</v>
      </c>
      <c r="D3" s="26" t="str">
        <f t="shared" si="1"/>
        <v>Aguardando histórico (mín. ~50-100 casos)</v>
      </c>
      <c r="E3" s="26" t="str">
        <f t="shared" si="2"/>
        <v>Prioridade: Esteira (score 3,6). Maior aderência com o perfil atual dessa cliente.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5" t="str">
        <f>IF(Pontuacao!A4="","",Pontuacao!A4)</f>
        <v>Francisca ROSELI de Alcântara Madeiro</v>
      </c>
      <c r="B4" s="26" t="str">
        <f t="array" ref="B4">IFERROR(IF(A4="","",INDEX(Pontuacao!$B$1:$H$1,MATCH(MAX(Pontuacao!B4:H4),Pontuacao!B4:H4,0))),"")</f>
        <v>Esteira</v>
      </c>
      <c r="C4" s="29">
        <f>IF(A4="","",MAX(Pontuacao!B4:H4))</f>
        <v>2.2</v>
      </c>
      <c r="D4" s="26" t="str">
        <f t="shared" si="1"/>
        <v>Aguardando histórico (mín. ~50-100 casos)</v>
      </c>
      <c r="E4" s="26" t="str">
        <f t="shared" si="2"/>
        <v>Prioridade: Esteira (score 2,2). Maior aderência com o perfil atual dessa cliente.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5" t="str">
        <f>IF(Pontuacao!A5="","",Pontuacao!A5)</f>
        <v/>
      </c>
      <c r="B5" s="26" t="str">
        <f t="array" ref="B5">IFERROR(IF(A5="","",INDEX(Pontuacao!$B$1:$H$1,MATCH(MAX(Pontuacao!B5:H5),Pontuacao!B5:H5,0))),"")</f>
        <v/>
      </c>
      <c r="C5" s="29" t="str">
        <f>IF(A5="","",MAX(Pontuacao!B5:H5))</f>
        <v/>
      </c>
      <c r="D5" s="26" t="str">
        <f t="shared" si="1"/>
        <v/>
      </c>
      <c r="E5" s="26" t="str">
        <f t="shared" si="2"/>
        <v/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5" t="str">
        <f>IF(Pontuacao!A6="","",Pontuacao!A6)</f>
        <v/>
      </c>
      <c r="B6" s="26" t="str">
        <f t="array" ref="B6">IFERROR(IF(A6="","",INDEX(Pontuacao!$B$1:$H$1,MATCH(MAX(Pontuacao!B6:H6),Pontuacao!B6:H6,0))),"")</f>
        <v/>
      </c>
      <c r="C6" s="29" t="str">
        <f>IF(A6="","",MAX(Pontuacao!B6:H6))</f>
        <v/>
      </c>
      <c r="D6" s="26" t="str">
        <f t="shared" si="1"/>
        <v/>
      </c>
      <c r="E6" s="26" t="str">
        <f t="shared" si="2"/>
        <v/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5" t="str">
        <f>IF(Pontuacao!A7="","",Pontuacao!A7)</f>
        <v/>
      </c>
      <c r="B7" s="26" t="str">
        <f t="array" ref="B7">IFERROR(IF(A7="","",INDEX(Pontuacao!$B$1:$H$1,MATCH(MAX(Pontuacao!B7:H7),Pontuacao!B7:H7,0))),"")</f>
        <v/>
      </c>
      <c r="C7" s="29" t="str">
        <f>IF(A7="","",MAX(Pontuacao!B7:H7))</f>
        <v/>
      </c>
      <c r="D7" s="26" t="str">
        <f t="shared" si="1"/>
        <v/>
      </c>
      <c r="E7" s="26" t="str">
        <f t="shared" si="2"/>
        <v/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5" t="str">
        <f>IF(Pontuacao!A8="","",Pontuacao!A8)</f>
        <v/>
      </c>
      <c r="B8" s="26" t="str">
        <f t="array" ref="B8">IFERROR(IF(A8="","",INDEX(Pontuacao!$B$1:$H$1,MATCH(MAX(Pontuacao!B8:H8),Pontuacao!B8:H8,0))),"")</f>
        <v/>
      </c>
      <c r="C8" s="29" t="str">
        <f>IF(A8="","",MAX(Pontuacao!B8:H8))</f>
        <v/>
      </c>
      <c r="D8" s="26" t="str">
        <f t="shared" si="1"/>
        <v/>
      </c>
      <c r="E8" s="26" t="str">
        <f t="shared" si="2"/>
        <v/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5" t="str">
        <f>IF(Pontuacao!A9="","",Pontuacao!A9)</f>
        <v/>
      </c>
      <c r="B9" s="26" t="str">
        <f t="array" ref="B9">IFERROR(IF(A9="","",INDEX(Pontuacao!$B$1:$H$1,MATCH(MAX(Pontuacao!B9:H9),Pontuacao!B9:H9,0))),"")</f>
        <v/>
      </c>
      <c r="C9" s="29" t="str">
        <f>IF(A9="","",MAX(Pontuacao!B9:H9))</f>
        <v/>
      </c>
      <c r="D9" s="26" t="str">
        <f t="shared" si="1"/>
        <v/>
      </c>
      <c r="E9" s="26" t="str">
        <f t="shared" si="2"/>
        <v/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5" t="str">
        <f>IF(Pontuacao!A10="","",Pontuacao!A10)</f>
        <v/>
      </c>
      <c r="B10" s="26" t="str">
        <f t="array" ref="B10">IFERROR(IF(A10="","",INDEX(Pontuacao!$B$1:$H$1,MATCH(MAX(Pontuacao!B10:H10),Pontuacao!B10:H10,0))),"")</f>
        <v/>
      </c>
      <c r="C10" s="29" t="str">
        <f>IF(A10="","",MAX(Pontuacao!B10:H10))</f>
        <v/>
      </c>
      <c r="D10" s="26" t="str">
        <f t="shared" si="1"/>
        <v/>
      </c>
      <c r="E10" s="26" t="str">
        <f t="shared" si="2"/>
        <v/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5" t="str">
        <f>IF(Pontuacao!A11="","",Pontuacao!A11)</f>
        <v/>
      </c>
      <c r="B11" s="26" t="str">
        <f t="array" ref="B11">IFERROR(IF(A11="","",INDEX(Pontuacao!$B$1:$H$1,MATCH(MAX(Pontuacao!B11:H11),Pontuacao!B11:H11,0))),"")</f>
        <v/>
      </c>
      <c r="C11" s="29" t="str">
        <f>IF(A11="","",MAX(Pontuacao!B11:H11))</f>
        <v/>
      </c>
      <c r="D11" s="26" t="str">
        <f t="shared" si="1"/>
        <v/>
      </c>
      <c r="E11" s="26" t="str">
        <f t="shared" si="2"/>
        <v/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5" t="str">
        <f>IF(Pontuacao!A12="","",Pontuacao!A12)</f>
        <v/>
      </c>
      <c r="B12" s="26" t="str">
        <f t="array" ref="B12">IFERROR(IF(A12="","",INDEX(Pontuacao!$B$1:$H$1,MATCH(MAX(Pontuacao!B12:H12),Pontuacao!B12:H12,0))),"")</f>
        <v/>
      </c>
      <c r="C12" s="29" t="str">
        <f>IF(A12="","",MAX(Pontuacao!B12:H12))</f>
        <v/>
      </c>
      <c r="D12" s="26" t="str">
        <f t="shared" si="1"/>
        <v/>
      </c>
      <c r="E12" s="26" t="str">
        <f t="shared" si="2"/>
        <v/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5" t="str">
        <f>IF(Pontuacao!A13="","",Pontuacao!A13)</f>
        <v/>
      </c>
      <c r="B13" s="26" t="str">
        <f t="array" ref="B13">IFERROR(IF(A13="","",INDEX(Pontuacao!$B$1:$H$1,MATCH(MAX(Pontuacao!B13:H13),Pontuacao!B13:H13,0))),"")</f>
        <v/>
      </c>
      <c r="C13" s="29" t="str">
        <f>IF(A13="","",MAX(Pontuacao!B13:H13))</f>
        <v/>
      </c>
      <c r="D13" s="26" t="str">
        <f t="shared" si="1"/>
        <v/>
      </c>
      <c r="E13" s="26" t="str">
        <f t="shared" si="2"/>
        <v/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5" t="str">
        <f>IF(Pontuacao!A14="","",Pontuacao!A14)</f>
        <v/>
      </c>
      <c r="B14" s="26" t="str">
        <f t="array" ref="B14">IFERROR(IF(A14="","",INDEX(Pontuacao!$B$1:$H$1,MATCH(MAX(Pontuacao!B14:H14),Pontuacao!B14:H14,0))),"")</f>
        <v/>
      </c>
      <c r="C14" s="29" t="str">
        <f>IF(A14="","",MAX(Pontuacao!B14:H14))</f>
        <v/>
      </c>
      <c r="D14" s="26" t="str">
        <f t="shared" si="1"/>
        <v/>
      </c>
      <c r="E14" s="26" t="str">
        <f t="shared" si="2"/>
        <v/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5" t="str">
        <f>IF(Pontuacao!A15="","",Pontuacao!A15)</f>
        <v/>
      </c>
      <c r="B15" s="26" t="str">
        <f t="array" ref="B15">IFERROR(IF(A15="","",INDEX(Pontuacao!$B$1:$H$1,MATCH(MAX(Pontuacao!B15:H15),Pontuacao!B15:H15,0))),"")</f>
        <v/>
      </c>
      <c r="C15" s="29" t="str">
        <f>IF(A15="","",MAX(Pontuacao!B15:H15))</f>
        <v/>
      </c>
      <c r="D15" s="26" t="str">
        <f t="shared" si="1"/>
        <v/>
      </c>
      <c r="E15" s="26" t="str">
        <f t="shared" si="2"/>
        <v/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5" t="str">
        <f>IF(Pontuacao!A16="","",Pontuacao!A16)</f>
        <v/>
      </c>
      <c r="B16" s="26" t="str">
        <f t="array" ref="B16">IFERROR(IF(A16="","",INDEX(Pontuacao!$B$1:$H$1,MATCH(MAX(Pontuacao!B16:H16),Pontuacao!B16:H16,0))),"")</f>
        <v/>
      </c>
      <c r="C16" s="29" t="str">
        <f>IF(A16="","",MAX(Pontuacao!B16:H16))</f>
        <v/>
      </c>
      <c r="D16" s="26" t="str">
        <f t="shared" si="1"/>
        <v/>
      </c>
      <c r="E16" s="26" t="str">
        <f t="shared" si="2"/>
        <v/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5" t="str">
        <f>IF(Pontuacao!A17="","",Pontuacao!A17)</f>
        <v/>
      </c>
      <c r="B17" s="26" t="str">
        <f t="array" ref="B17">IFERROR(IF(A17="","",INDEX(Pontuacao!$B$1:$H$1,MATCH(MAX(Pontuacao!B17:H17),Pontuacao!B17:H17,0))),"")</f>
        <v/>
      </c>
      <c r="C17" s="29" t="str">
        <f>IF(A17="","",MAX(Pontuacao!B17:H17))</f>
        <v/>
      </c>
      <c r="D17" s="26" t="str">
        <f t="shared" si="1"/>
        <v/>
      </c>
      <c r="E17" s="26" t="str">
        <f t="shared" si="2"/>
        <v/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5" t="str">
        <f>IF(Pontuacao!A18="","",Pontuacao!A18)</f>
        <v/>
      </c>
      <c r="B18" s="26" t="str">
        <f t="array" ref="B18">IFERROR(IF(A18="","",INDEX(Pontuacao!$B$1:$H$1,MATCH(MAX(Pontuacao!B18:H18),Pontuacao!B18:H18,0))),"")</f>
        <v/>
      </c>
      <c r="C18" s="29" t="str">
        <f>IF(A18="","",MAX(Pontuacao!B18:H18))</f>
        <v/>
      </c>
      <c r="D18" s="26" t="str">
        <f t="shared" si="1"/>
        <v/>
      </c>
      <c r="E18" s="26" t="str">
        <f t="shared" si="2"/>
        <v/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5" t="str">
        <f>IF(Pontuacao!A19="","",Pontuacao!A19)</f>
        <v/>
      </c>
      <c r="B19" s="26" t="str">
        <f t="array" ref="B19">IFERROR(IF(A19="","",INDEX(Pontuacao!$B$1:$H$1,MATCH(MAX(Pontuacao!B19:H19),Pontuacao!B19:H19,0))),"")</f>
        <v/>
      </c>
      <c r="C19" s="29" t="str">
        <f>IF(A19="","",MAX(Pontuacao!B19:H19))</f>
        <v/>
      </c>
      <c r="D19" s="26" t="str">
        <f t="shared" si="1"/>
        <v/>
      </c>
      <c r="E19" s="26" t="str">
        <f t="shared" si="2"/>
        <v/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5" t="str">
        <f>IF(Pontuacao!A20="","",Pontuacao!A20)</f>
        <v/>
      </c>
      <c r="B20" s="26" t="str">
        <f t="array" ref="B20">IFERROR(IF(A20="","",INDEX(Pontuacao!$B$1:$H$1,MATCH(MAX(Pontuacao!B20:H20),Pontuacao!B20:H20,0))),"")</f>
        <v/>
      </c>
      <c r="C20" s="29" t="str">
        <f>IF(A20="","",MAX(Pontuacao!B20:H20))</f>
        <v/>
      </c>
      <c r="D20" s="26" t="str">
        <f t="shared" si="1"/>
        <v/>
      </c>
      <c r="E20" s="26" t="str">
        <f t="shared" si="2"/>
        <v/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5" t="str">
        <f>IF(Pontuacao!A21="","",Pontuacao!A21)</f>
        <v/>
      </c>
      <c r="B21" s="26" t="str">
        <f t="array" ref="B21">IFERROR(IF(A21="","",INDEX(Pontuacao!$B$1:$H$1,MATCH(MAX(Pontuacao!B21:H21),Pontuacao!B21:H21,0))),"")</f>
        <v/>
      </c>
      <c r="C21" s="29" t="str">
        <f>IF(A21="","",MAX(Pontuacao!B21:H21))</f>
        <v/>
      </c>
      <c r="D21" s="26" t="str">
        <f t="shared" si="1"/>
        <v/>
      </c>
      <c r="E21" s="26" t="str">
        <f t="shared" si="2"/>
        <v/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5" t="str">
        <f>IF(Pontuacao!A22="","",Pontuacao!A22)</f>
        <v/>
      </c>
      <c r="B22" s="26" t="str">
        <f t="array" ref="B22">IFERROR(IF(A22="","",INDEX(Pontuacao!$B$1:$H$1,MATCH(MAX(Pontuacao!B22:H22),Pontuacao!B22:H22,0))),"")</f>
        <v/>
      </c>
      <c r="C22" s="29" t="str">
        <f>IF(A22="","",MAX(Pontuacao!B22:H22))</f>
        <v/>
      </c>
      <c r="D22" s="26" t="str">
        <f t="shared" si="1"/>
        <v/>
      </c>
      <c r="E22" s="26" t="str">
        <f t="shared" si="2"/>
        <v/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5" t="str">
        <f>IF(Pontuacao!A23="","",Pontuacao!A23)</f>
        <v/>
      </c>
      <c r="B23" s="26" t="str">
        <f t="array" ref="B23">IFERROR(IF(A23="","",INDEX(Pontuacao!$B$1:$H$1,MATCH(MAX(Pontuacao!B23:H23),Pontuacao!B23:H23,0))),"")</f>
        <v/>
      </c>
      <c r="C23" s="29" t="str">
        <f>IF(A23="","",MAX(Pontuacao!B23:H23))</f>
        <v/>
      </c>
      <c r="D23" s="26" t="str">
        <f t="shared" si="1"/>
        <v/>
      </c>
      <c r="E23" s="26" t="str">
        <f t="shared" si="2"/>
        <v/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5" t="str">
        <f>IF(Pontuacao!A24="","",Pontuacao!A24)</f>
        <v/>
      </c>
      <c r="B24" s="26" t="str">
        <f t="array" ref="B24">IFERROR(IF(A24="","",INDEX(Pontuacao!$B$1:$H$1,MATCH(MAX(Pontuacao!B24:H24),Pontuacao!B24:H24,0))),"")</f>
        <v/>
      </c>
      <c r="C24" s="29" t="str">
        <f>IF(A24="","",MAX(Pontuacao!B24:H24))</f>
        <v/>
      </c>
      <c r="D24" s="26" t="str">
        <f t="shared" si="1"/>
        <v/>
      </c>
      <c r="E24" s="26" t="str">
        <f t="shared" si="2"/>
        <v/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25" t="str">
        <f>IF(Pontuacao!A25="","",Pontuacao!A25)</f>
        <v/>
      </c>
      <c r="B25" s="26" t="str">
        <f t="array" ref="B25">IFERROR(IF(A25="","",INDEX(Pontuacao!$B$1:$H$1,MATCH(MAX(Pontuacao!B25:H25),Pontuacao!B25:H25,0))),"")</f>
        <v/>
      </c>
      <c r="C25" s="29" t="str">
        <f>IF(A25="","",MAX(Pontuacao!B25:H25))</f>
        <v/>
      </c>
      <c r="D25" s="26" t="str">
        <f t="shared" si="1"/>
        <v/>
      </c>
      <c r="E25" s="26" t="str">
        <f t="shared" si="2"/>
        <v/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5" t="str">
        <f>IF(Pontuacao!A26="","",Pontuacao!A26)</f>
        <v/>
      </c>
      <c r="B26" s="26" t="str">
        <f t="array" ref="B26">IFERROR(IF(A26="","",INDEX(Pontuacao!$B$1:$H$1,MATCH(MAX(Pontuacao!B26:H26),Pontuacao!B26:H26,0))),"")</f>
        <v/>
      </c>
      <c r="C26" s="29" t="str">
        <f>IF(A26="","",MAX(Pontuacao!B26:H26))</f>
        <v/>
      </c>
      <c r="D26" s="26" t="str">
        <f t="shared" si="1"/>
        <v/>
      </c>
      <c r="E26" s="26" t="str">
        <f t="shared" si="2"/>
        <v/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5" t="str">
        <f>IF(Pontuacao!A27="","",Pontuacao!A27)</f>
        <v/>
      </c>
      <c r="B27" s="26" t="str">
        <f t="array" ref="B27">IFERROR(IF(A27="","",INDEX(Pontuacao!$B$1:$H$1,MATCH(MAX(Pontuacao!B27:H27),Pontuacao!B27:H27,0))),"")</f>
        <v/>
      </c>
      <c r="C27" s="29" t="str">
        <f>IF(A27="","",MAX(Pontuacao!B27:H27))</f>
        <v/>
      </c>
      <c r="D27" s="26" t="str">
        <f t="shared" si="1"/>
        <v/>
      </c>
      <c r="E27" s="26" t="str">
        <f t="shared" si="2"/>
        <v/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5" t="str">
        <f>IF(Pontuacao!A28="","",Pontuacao!A28)</f>
        <v/>
      </c>
      <c r="B28" s="26" t="str">
        <f t="array" ref="B28">IFERROR(IF(A28="","",INDEX(Pontuacao!$B$1:$H$1,MATCH(MAX(Pontuacao!B28:H28),Pontuacao!B28:H28,0))),"")</f>
        <v/>
      </c>
      <c r="C28" s="29" t="str">
        <f>IF(A28="","",MAX(Pontuacao!B28:H28))</f>
        <v/>
      </c>
      <c r="D28" s="26" t="str">
        <f t="shared" si="1"/>
        <v/>
      </c>
      <c r="E28" s="26" t="str">
        <f t="shared" si="2"/>
        <v/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5" t="str">
        <f>IF(Pontuacao!A29="","",Pontuacao!A29)</f>
        <v/>
      </c>
      <c r="B29" s="26" t="str">
        <f t="array" ref="B29">IFERROR(IF(A29="","",INDEX(Pontuacao!$B$1:$H$1,MATCH(MAX(Pontuacao!B29:H29),Pontuacao!B29:H29,0))),"")</f>
        <v/>
      </c>
      <c r="C29" s="29" t="str">
        <f>IF(A29="","",MAX(Pontuacao!B29:H29))</f>
        <v/>
      </c>
      <c r="D29" s="26" t="str">
        <f t="shared" si="1"/>
        <v/>
      </c>
      <c r="E29" s="26" t="str">
        <f t="shared" si="2"/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5" t="str">
        <f>IF(Pontuacao!A30="","",Pontuacao!A30)</f>
        <v/>
      </c>
      <c r="B30" s="26" t="str">
        <f t="array" ref="B30">IFERROR(IF(A30="","",INDEX(Pontuacao!$B$1:$H$1,MATCH(MAX(Pontuacao!B30:H30),Pontuacao!B30:H30,0))),"")</f>
        <v/>
      </c>
      <c r="C30" s="29" t="str">
        <f>IF(A30="","",MAX(Pontuacao!B30:H30))</f>
        <v/>
      </c>
      <c r="D30" s="26" t="str">
        <f t="shared" si="1"/>
        <v/>
      </c>
      <c r="E30" s="26" t="str">
        <f t="shared" si="2"/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25" t="str">
        <f>IF(Pontuacao!A31="","",Pontuacao!A31)</f>
        <v/>
      </c>
      <c r="B31" s="26" t="str">
        <f t="array" ref="B31">IFERROR(IF(A31="","",INDEX(Pontuacao!$B$1:$H$1,MATCH(MAX(Pontuacao!B31:H31),Pontuacao!B31:H31,0))),"")</f>
        <v/>
      </c>
      <c r="C31" s="29" t="str">
        <f>IF(A31="","",MAX(Pontuacao!B31:H31))</f>
        <v/>
      </c>
      <c r="D31" s="26" t="str">
        <f t="shared" si="1"/>
        <v/>
      </c>
      <c r="E31" s="26" t="str">
        <f t="shared" si="2"/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5" t="str">
        <f>IF(Pontuacao!A32="","",Pontuacao!A32)</f>
        <v/>
      </c>
      <c r="B32" s="26" t="str">
        <f t="array" ref="B32">IFERROR(IF(A32="","",INDEX(Pontuacao!$B$1:$H$1,MATCH(MAX(Pontuacao!B32:H32),Pontuacao!B32:H32,0))),"")</f>
        <v/>
      </c>
      <c r="C32" s="29" t="str">
        <f>IF(A32="","",MAX(Pontuacao!B32:H32))</f>
        <v/>
      </c>
      <c r="D32" s="26" t="str">
        <f t="shared" si="1"/>
        <v/>
      </c>
      <c r="E32" s="26" t="str">
        <f t="shared" si="2"/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5" t="str">
        <f>IF(Pontuacao!A33="","",Pontuacao!A33)</f>
        <v/>
      </c>
      <c r="B33" s="26" t="str">
        <f t="array" ref="B33">IFERROR(IF(A33="","",INDEX(Pontuacao!$B$1:$H$1,MATCH(MAX(Pontuacao!B33:H33),Pontuacao!B33:H33,0))),"")</f>
        <v/>
      </c>
      <c r="C33" s="29" t="str">
        <f>IF(A33="","",MAX(Pontuacao!B33:H33))</f>
        <v/>
      </c>
      <c r="D33" s="26" t="str">
        <f t="shared" si="1"/>
        <v/>
      </c>
      <c r="E33" s="26" t="str">
        <f t="shared" si="2"/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25" t="str">
        <f>IF(Pontuacao!A34="","",Pontuacao!A34)</f>
        <v/>
      </c>
      <c r="B34" s="26" t="str">
        <f t="array" ref="B34">IFERROR(IF(A34="","",INDEX(Pontuacao!$B$1:$H$1,MATCH(MAX(Pontuacao!B34:H34),Pontuacao!B34:H34,0))),"")</f>
        <v/>
      </c>
      <c r="C34" s="29" t="str">
        <f>IF(A34="","",MAX(Pontuacao!B34:H34))</f>
        <v/>
      </c>
      <c r="D34" s="26" t="str">
        <f t="shared" si="1"/>
        <v/>
      </c>
      <c r="E34" s="26" t="str">
        <f t="shared" si="2"/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25" t="str">
        <f>IF(Pontuacao!A35="","",Pontuacao!A35)</f>
        <v/>
      </c>
      <c r="B35" s="26" t="str">
        <f t="array" ref="B35">IFERROR(IF(A35="","",INDEX(Pontuacao!$B$1:$H$1,MATCH(MAX(Pontuacao!B35:H35),Pontuacao!B35:H35,0))),"")</f>
        <v/>
      </c>
      <c r="C35" s="29" t="str">
        <f>IF(A35="","",MAX(Pontuacao!B35:H35))</f>
        <v/>
      </c>
      <c r="D35" s="26" t="str">
        <f t="shared" si="1"/>
        <v/>
      </c>
      <c r="E35" s="26" t="str">
        <f t="shared" si="2"/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5" t="str">
        <f>IF(Pontuacao!A36="","",Pontuacao!A36)</f>
        <v/>
      </c>
      <c r="B36" s="26" t="str">
        <f t="array" ref="B36">IFERROR(IF(A36="","",INDEX(Pontuacao!$B$1:$H$1,MATCH(MAX(Pontuacao!B36:H36),Pontuacao!B36:H36,0))),"")</f>
        <v/>
      </c>
      <c r="C36" s="29" t="str">
        <f>IF(A36="","",MAX(Pontuacao!B36:H36))</f>
        <v/>
      </c>
      <c r="D36" s="26" t="str">
        <f t="shared" si="1"/>
        <v/>
      </c>
      <c r="E36" s="26" t="str">
        <f t="shared" si="2"/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5" t="str">
        <f>IF(Pontuacao!A37="","",Pontuacao!A37)</f>
        <v/>
      </c>
      <c r="B37" s="26" t="str">
        <f t="array" ref="B37">IFERROR(IF(A37="","",INDEX(Pontuacao!$B$1:$H$1,MATCH(MAX(Pontuacao!B37:H37),Pontuacao!B37:H37,0))),"")</f>
        <v/>
      </c>
      <c r="C37" s="29" t="str">
        <f>IF(A37="","",MAX(Pontuacao!B37:H37))</f>
        <v/>
      </c>
      <c r="D37" s="26" t="str">
        <f t="shared" si="1"/>
        <v/>
      </c>
      <c r="E37" s="26" t="str">
        <f t="shared" si="2"/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5" t="str">
        <f>IF(Pontuacao!A38="","",Pontuacao!A38)</f>
        <v/>
      </c>
      <c r="B38" s="26" t="str">
        <f t="array" ref="B38">IFERROR(IF(A38="","",INDEX(Pontuacao!$B$1:$H$1,MATCH(MAX(Pontuacao!B38:H38),Pontuacao!B38:H38,0))),"")</f>
        <v/>
      </c>
      <c r="C38" s="29" t="str">
        <f>IF(A38="","",MAX(Pontuacao!B38:H38))</f>
        <v/>
      </c>
      <c r="D38" s="26" t="str">
        <f t="shared" si="1"/>
        <v/>
      </c>
      <c r="E38" s="26" t="str">
        <f t="shared" si="2"/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5" t="str">
        <f>IF(Pontuacao!A39="","",Pontuacao!A39)</f>
        <v/>
      </c>
      <c r="B39" s="26" t="str">
        <f t="array" ref="B39">IFERROR(IF(A39="","",INDEX(Pontuacao!$B$1:$H$1,MATCH(MAX(Pontuacao!B39:H39),Pontuacao!B39:H39,0))),"")</f>
        <v/>
      </c>
      <c r="C39" s="29" t="str">
        <f>IF(A39="","",MAX(Pontuacao!B39:H39))</f>
        <v/>
      </c>
      <c r="D39" s="26" t="str">
        <f t="shared" si="1"/>
        <v/>
      </c>
      <c r="E39" s="26" t="str">
        <f t="shared" si="2"/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5" t="str">
        <f>IF(Pontuacao!A40="","",Pontuacao!A40)</f>
        <v/>
      </c>
      <c r="B40" s="26" t="str">
        <f t="array" ref="B40">IFERROR(IF(A40="","",INDEX(Pontuacao!$B$1:$H$1,MATCH(MAX(Pontuacao!B40:H40),Pontuacao!B40:H40,0))),"")</f>
        <v/>
      </c>
      <c r="C40" s="29" t="str">
        <f>IF(A40="","",MAX(Pontuacao!B40:H40))</f>
        <v/>
      </c>
      <c r="D40" s="26" t="str">
        <f t="shared" si="1"/>
        <v/>
      </c>
      <c r="E40" s="26" t="str">
        <f t="shared" si="2"/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25" t="str">
        <f>IF(Pontuacao!A41="","",Pontuacao!A41)</f>
        <v/>
      </c>
      <c r="B41" s="26" t="str">
        <f t="array" ref="B41">IFERROR(IF(A41="","",INDEX(Pontuacao!$B$1:$H$1,MATCH(MAX(Pontuacao!B41:H41),Pontuacao!B41:H41,0))),"")</f>
        <v/>
      </c>
      <c r="C41" s="29" t="str">
        <f>IF(A41="","",MAX(Pontuacao!B41:H41))</f>
        <v/>
      </c>
      <c r="D41" s="26" t="str">
        <f t="shared" si="1"/>
        <v/>
      </c>
      <c r="E41" s="26" t="str">
        <f t="shared" si="2"/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5" t="str">
        <f>IF(Pontuacao!A42="","",Pontuacao!A42)</f>
        <v/>
      </c>
      <c r="B42" s="26" t="str">
        <f t="array" ref="B42">IFERROR(IF(A42="","",INDEX(Pontuacao!$B$1:$H$1,MATCH(MAX(Pontuacao!B42:H42),Pontuacao!B42:H42,0))),"")</f>
        <v/>
      </c>
      <c r="C42" s="29" t="str">
        <f>IF(A42="","",MAX(Pontuacao!B42:H42))</f>
        <v/>
      </c>
      <c r="D42" s="26" t="str">
        <f t="shared" si="1"/>
        <v/>
      </c>
      <c r="E42" s="26" t="str">
        <f t="shared" si="2"/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5" t="str">
        <f>IF(Pontuacao!A43="","",Pontuacao!A43)</f>
        <v/>
      </c>
      <c r="B43" s="26" t="str">
        <f t="array" ref="B43">IFERROR(IF(A43="","",INDEX(Pontuacao!$B$1:$H$1,MATCH(MAX(Pontuacao!B43:H43),Pontuacao!B43:H43,0))),"")</f>
        <v/>
      </c>
      <c r="C43" s="29" t="str">
        <f>IF(A43="","",MAX(Pontuacao!B43:H43))</f>
        <v/>
      </c>
      <c r="D43" s="26" t="str">
        <f t="shared" si="1"/>
        <v/>
      </c>
      <c r="E43" s="26" t="str">
        <f t="shared" si="2"/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5" t="str">
        <f>IF(Pontuacao!A44="","",Pontuacao!A44)</f>
        <v/>
      </c>
      <c r="B44" s="26" t="str">
        <f t="array" ref="B44">IFERROR(IF(A44="","",INDEX(Pontuacao!$B$1:$H$1,MATCH(MAX(Pontuacao!B44:H44),Pontuacao!B44:H44,0))),"")</f>
        <v/>
      </c>
      <c r="C44" s="29" t="str">
        <f>IF(A44="","",MAX(Pontuacao!B44:H44))</f>
        <v/>
      </c>
      <c r="D44" s="26" t="str">
        <f t="shared" si="1"/>
        <v/>
      </c>
      <c r="E44" s="26" t="str">
        <f t="shared" si="2"/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5" t="str">
        <f>IF(Pontuacao!A45="","",Pontuacao!A45)</f>
        <v/>
      </c>
      <c r="B45" s="26" t="str">
        <f t="array" ref="B45">IFERROR(IF(A45="","",INDEX(Pontuacao!$B$1:$H$1,MATCH(MAX(Pontuacao!B45:H45),Pontuacao!B45:H45,0))),"")</f>
        <v/>
      </c>
      <c r="C45" s="29" t="str">
        <f>IF(A45="","",MAX(Pontuacao!B45:H45))</f>
        <v/>
      </c>
      <c r="D45" s="26" t="str">
        <f t="shared" si="1"/>
        <v/>
      </c>
      <c r="E45" s="26" t="str">
        <f t="shared" si="2"/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5" t="str">
        <f>IF(Pontuacao!A46="","",Pontuacao!A46)</f>
        <v/>
      </c>
      <c r="B46" s="26" t="str">
        <f t="array" ref="B46">IFERROR(IF(A46="","",INDEX(Pontuacao!$B$1:$H$1,MATCH(MAX(Pontuacao!B46:H46),Pontuacao!B46:H46,0))),"")</f>
        <v/>
      </c>
      <c r="C46" s="29" t="str">
        <f>IF(A46="","",MAX(Pontuacao!B46:H46))</f>
        <v/>
      </c>
      <c r="D46" s="26" t="str">
        <f t="shared" si="1"/>
        <v/>
      </c>
      <c r="E46" s="26" t="str">
        <f t="shared" si="2"/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5" t="str">
        <f>IF(Pontuacao!A47="","",Pontuacao!A47)</f>
        <v/>
      </c>
      <c r="B47" s="26" t="str">
        <f t="array" ref="B47">IFERROR(IF(A47="","",INDEX(Pontuacao!$B$1:$H$1,MATCH(MAX(Pontuacao!B47:H47),Pontuacao!B47:H47,0))),"")</f>
        <v/>
      </c>
      <c r="C47" s="29" t="str">
        <f>IF(A47="","",MAX(Pontuacao!B47:H47))</f>
        <v/>
      </c>
      <c r="D47" s="26" t="str">
        <f t="shared" si="1"/>
        <v/>
      </c>
      <c r="E47" s="26" t="str">
        <f t="shared" si="2"/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5" t="str">
        <f>IF(Pontuacao!A48="","",Pontuacao!A48)</f>
        <v/>
      </c>
      <c r="B48" s="26" t="str">
        <f t="array" ref="B48">IFERROR(IF(A48="","",INDEX(Pontuacao!$B$1:$H$1,MATCH(MAX(Pontuacao!B48:H48),Pontuacao!B48:H48,0))),"")</f>
        <v/>
      </c>
      <c r="C48" s="29" t="str">
        <f>IF(A48="","",MAX(Pontuacao!B48:H48))</f>
        <v/>
      </c>
      <c r="D48" s="26" t="str">
        <f t="shared" si="1"/>
        <v/>
      </c>
      <c r="E48" s="26" t="str">
        <f t="shared" si="2"/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5" t="str">
        <f>IF(Pontuacao!A49="","",Pontuacao!A49)</f>
        <v/>
      </c>
      <c r="B49" s="26" t="str">
        <f t="array" ref="B49">IFERROR(IF(A49="","",INDEX(Pontuacao!$B$1:$H$1,MATCH(MAX(Pontuacao!B49:H49),Pontuacao!B49:H49,0))),"")</f>
        <v/>
      </c>
      <c r="C49" s="29" t="str">
        <f>IF(A49="","",MAX(Pontuacao!B49:H49))</f>
        <v/>
      </c>
      <c r="D49" s="26" t="str">
        <f t="shared" si="1"/>
        <v/>
      </c>
      <c r="E49" s="26" t="str">
        <f t="shared" si="2"/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5" t="str">
        <f>IF(Pontuacao!A50="","",Pontuacao!A50)</f>
        <v/>
      </c>
      <c r="B50" s="26" t="str">
        <f t="array" ref="B50">IFERROR(IF(A50="","",INDEX(Pontuacao!$B$1:$H$1,MATCH(MAX(Pontuacao!B50:H50),Pontuacao!B50:H50,0))),"")</f>
        <v/>
      </c>
      <c r="C50" s="29" t="str">
        <f>IF(A50="","",MAX(Pontuacao!B50:H50))</f>
        <v/>
      </c>
      <c r="D50" s="26" t="str">
        <f t="shared" si="1"/>
        <v/>
      </c>
      <c r="E50" s="26" t="str">
        <f t="shared" si="2"/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5" t="str">
        <f>IF(Pontuacao!A51="","",Pontuacao!A51)</f>
        <v/>
      </c>
      <c r="B51" s="26" t="str">
        <f t="array" ref="B51">IFERROR(IF(A51="","",INDEX(Pontuacao!$B$1:$H$1,MATCH(MAX(Pontuacao!B51:H51),Pontuacao!B51:H51,0))),"")</f>
        <v/>
      </c>
      <c r="C51" s="29" t="str">
        <f>IF(A51="","",MAX(Pontuacao!B51:H51))</f>
        <v/>
      </c>
      <c r="D51" s="26" t="str">
        <f t="shared" si="1"/>
        <v/>
      </c>
      <c r="E51" s="26" t="str">
        <f t="shared" si="2"/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5" t="str">
        <f>IF(Pontuacao!A52="","",Pontuacao!A52)</f>
        <v/>
      </c>
      <c r="B52" s="26" t="str">
        <f t="array" ref="B52">IFERROR(IF(A52="","",INDEX(Pontuacao!$B$1:$H$1,MATCH(MAX(Pontuacao!B52:H52),Pontuacao!B52:H52,0))),"")</f>
        <v/>
      </c>
      <c r="C52" s="29" t="str">
        <f>IF(A52="","",MAX(Pontuacao!B52:H52))</f>
        <v/>
      </c>
      <c r="D52" s="26" t="str">
        <f t="shared" si="1"/>
        <v/>
      </c>
      <c r="E52" s="26" t="str">
        <f t="shared" si="2"/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5" t="str">
        <f>IF(Pontuacao!A53="","",Pontuacao!A53)</f>
        <v/>
      </c>
      <c r="B53" s="26" t="str">
        <f t="array" ref="B53">IFERROR(IF(A53="","",INDEX(Pontuacao!$B$1:$H$1,MATCH(MAX(Pontuacao!B53:H53),Pontuacao!B53:H53,0))),"")</f>
        <v/>
      </c>
      <c r="C53" s="29" t="str">
        <f>IF(A53="","",MAX(Pontuacao!B53:H53))</f>
        <v/>
      </c>
      <c r="D53" s="26" t="str">
        <f t="shared" si="1"/>
        <v/>
      </c>
      <c r="E53" s="26" t="str">
        <f t="shared" si="2"/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5" t="str">
        <f>IF(Pontuacao!A54="","",Pontuacao!A54)</f>
        <v/>
      </c>
      <c r="B54" s="26" t="str">
        <f t="array" ref="B54">IFERROR(IF(A54="","",INDEX(Pontuacao!$B$1:$H$1,MATCH(MAX(Pontuacao!B54:H54),Pontuacao!B54:H54,0))),"")</f>
        <v/>
      </c>
      <c r="C54" s="29" t="str">
        <f>IF(A54="","",MAX(Pontuacao!B54:H54))</f>
        <v/>
      </c>
      <c r="D54" s="26" t="str">
        <f t="shared" si="1"/>
        <v/>
      </c>
      <c r="E54" s="26" t="str">
        <f t="shared" si="2"/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5" t="str">
        <f>IF(Pontuacao!A55="","",Pontuacao!A55)</f>
        <v/>
      </c>
      <c r="B55" s="26" t="str">
        <f t="array" ref="B55">IFERROR(IF(A55="","",INDEX(Pontuacao!$B$1:$H$1,MATCH(MAX(Pontuacao!B55:H55),Pontuacao!B55:H55,0))),"")</f>
        <v/>
      </c>
      <c r="C55" s="29" t="str">
        <f>IF(A55="","",MAX(Pontuacao!B55:H55))</f>
        <v/>
      </c>
      <c r="D55" s="26" t="str">
        <f t="shared" si="1"/>
        <v/>
      </c>
      <c r="E55" s="26" t="str">
        <f t="shared" si="2"/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5" t="str">
        <f>IF(Pontuacao!A56="","",Pontuacao!A56)</f>
        <v/>
      </c>
      <c r="B56" s="26" t="str">
        <f t="array" ref="B56">IFERROR(IF(A56="","",INDEX(Pontuacao!$B$1:$H$1,MATCH(MAX(Pontuacao!B56:H56),Pontuacao!B56:H56,0))),"")</f>
        <v/>
      </c>
      <c r="C56" s="29" t="str">
        <f>IF(A56="","",MAX(Pontuacao!B56:H56))</f>
        <v/>
      </c>
      <c r="D56" s="26" t="str">
        <f t="shared" si="1"/>
        <v/>
      </c>
      <c r="E56" s="26" t="str">
        <f t="shared" si="2"/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5" t="str">
        <f>IF(Pontuacao!A57="","",Pontuacao!A57)</f>
        <v/>
      </c>
      <c r="B57" s="26" t="str">
        <f t="array" ref="B57">IFERROR(IF(A57="","",INDEX(Pontuacao!$B$1:$H$1,MATCH(MAX(Pontuacao!B57:H57),Pontuacao!B57:H57,0))),"")</f>
        <v/>
      </c>
      <c r="C57" s="29" t="str">
        <f>IF(A57="","",MAX(Pontuacao!B57:H57))</f>
        <v/>
      </c>
      <c r="D57" s="26" t="str">
        <f t="shared" si="1"/>
        <v/>
      </c>
      <c r="E57" s="26" t="str">
        <f t="shared" si="2"/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5" t="str">
        <f>IF(Pontuacao!A58="","",Pontuacao!A58)</f>
        <v/>
      </c>
      <c r="B58" s="26" t="str">
        <f t="array" ref="B58">IFERROR(IF(A58="","",INDEX(Pontuacao!$B$1:$H$1,MATCH(MAX(Pontuacao!B58:H58),Pontuacao!B58:H58,0))),"")</f>
        <v/>
      </c>
      <c r="C58" s="29" t="str">
        <f>IF(A58="","",MAX(Pontuacao!B58:H58))</f>
        <v/>
      </c>
      <c r="D58" s="26" t="str">
        <f t="shared" si="1"/>
        <v/>
      </c>
      <c r="E58" s="26" t="str">
        <f t="shared" si="2"/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5" t="str">
        <f>IF(Pontuacao!A59="","",Pontuacao!A59)</f>
        <v/>
      </c>
      <c r="B59" s="26" t="str">
        <f t="array" ref="B59">IFERROR(IF(A59="","",INDEX(Pontuacao!$B$1:$H$1,MATCH(MAX(Pontuacao!B59:H59),Pontuacao!B59:H59,0))),"")</f>
        <v/>
      </c>
      <c r="C59" s="29" t="str">
        <f>IF(A59="","",MAX(Pontuacao!B59:H59))</f>
        <v/>
      </c>
      <c r="D59" s="26" t="str">
        <f t="shared" si="1"/>
        <v/>
      </c>
      <c r="E59" s="26" t="str">
        <f t="shared" si="2"/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5" t="str">
        <f>IF(Pontuacao!A60="","",Pontuacao!A60)</f>
        <v/>
      </c>
      <c r="B60" s="26" t="str">
        <f t="array" ref="B60">IFERROR(IF(A60="","",INDEX(Pontuacao!$B$1:$H$1,MATCH(MAX(Pontuacao!B60:H60),Pontuacao!B60:H60,0))),"")</f>
        <v/>
      </c>
      <c r="C60" s="29" t="str">
        <f>IF(A60="","",MAX(Pontuacao!B60:H60))</f>
        <v/>
      </c>
      <c r="D60" s="26" t="str">
        <f t="shared" si="1"/>
        <v/>
      </c>
      <c r="E60" s="26" t="str">
        <f t="shared" si="2"/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5" t="str">
        <f>IF(Pontuacao!A61="","",Pontuacao!A61)</f>
        <v/>
      </c>
      <c r="B61" s="26" t="str">
        <f t="array" ref="B61">IFERROR(IF(A61="","",INDEX(Pontuacao!$B$1:$H$1,MATCH(MAX(Pontuacao!B61:H61),Pontuacao!B61:H61,0))),"")</f>
        <v/>
      </c>
      <c r="C61" s="29" t="str">
        <f>IF(A61="","",MAX(Pontuacao!B61:H61))</f>
        <v/>
      </c>
      <c r="D61" s="26" t="str">
        <f t="shared" si="1"/>
        <v/>
      </c>
      <c r="E61" s="26" t="str">
        <f t="shared" si="2"/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5" t="str">
        <f>IF(Pontuacao!A62="","",Pontuacao!A62)</f>
        <v/>
      </c>
      <c r="B62" s="26" t="str">
        <f t="array" ref="B62">IFERROR(IF(A62="","",INDEX(Pontuacao!$B$1:$H$1,MATCH(MAX(Pontuacao!B62:H62),Pontuacao!B62:H62,0))),"")</f>
        <v/>
      </c>
      <c r="C62" s="29" t="str">
        <f>IF(A62="","",MAX(Pontuacao!B62:H62))</f>
        <v/>
      </c>
      <c r="D62" s="26" t="str">
        <f t="shared" si="1"/>
        <v/>
      </c>
      <c r="E62" s="26" t="str">
        <f t="shared" si="2"/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5" t="str">
        <f>IF(Pontuacao!A63="","",Pontuacao!A63)</f>
        <v/>
      </c>
      <c r="B63" s="26" t="str">
        <f t="array" ref="B63">IFERROR(IF(A63="","",INDEX(Pontuacao!$B$1:$H$1,MATCH(MAX(Pontuacao!B63:H63),Pontuacao!B63:H63,0))),"")</f>
        <v/>
      </c>
      <c r="C63" s="29" t="str">
        <f>IF(A63="","",MAX(Pontuacao!B63:H63))</f>
        <v/>
      </c>
      <c r="D63" s="26" t="str">
        <f t="shared" si="1"/>
        <v/>
      </c>
      <c r="E63" s="26" t="str">
        <f t="shared" si="2"/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5" t="str">
        <f>IF(Pontuacao!A64="","",Pontuacao!A64)</f>
        <v/>
      </c>
      <c r="B64" s="26" t="str">
        <f t="array" ref="B64">IFERROR(IF(A64="","",INDEX(Pontuacao!$B$1:$H$1,MATCH(MAX(Pontuacao!B64:H64),Pontuacao!B64:H64,0))),"")</f>
        <v/>
      </c>
      <c r="C64" s="29" t="str">
        <f>IF(A64="","",MAX(Pontuacao!B64:H64))</f>
        <v/>
      </c>
      <c r="D64" s="26" t="str">
        <f t="shared" si="1"/>
        <v/>
      </c>
      <c r="E64" s="26" t="str">
        <f t="shared" si="2"/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5" t="str">
        <f>IF(Pontuacao!A65="","",Pontuacao!A65)</f>
        <v/>
      </c>
      <c r="B65" s="26" t="str">
        <f t="array" ref="B65">IFERROR(IF(A65="","",INDEX(Pontuacao!$B$1:$H$1,MATCH(MAX(Pontuacao!B65:H65),Pontuacao!B65:H65,0))),"")</f>
        <v/>
      </c>
      <c r="C65" s="29" t="str">
        <f>IF(A65="","",MAX(Pontuacao!B65:H65))</f>
        <v/>
      </c>
      <c r="D65" s="26" t="str">
        <f t="shared" si="1"/>
        <v/>
      </c>
      <c r="E65" s="26" t="str">
        <f t="shared" si="2"/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5" t="str">
        <f>IF(Pontuacao!A66="","",Pontuacao!A66)</f>
        <v/>
      </c>
      <c r="B66" s="26" t="str">
        <f t="array" ref="B66">IFERROR(IF(A66="","",INDEX(Pontuacao!$B$1:$H$1,MATCH(MAX(Pontuacao!B66:H66),Pontuacao!B66:H66,0))),"")</f>
        <v/>
      </c>
      <c r="C66" s="29" t="str">
        <f>IF(A66="","",MAX(Pontuacao!B66:H66))</f>
        <v/>
      </c>
      <c r="D66" s="26" t="str">
        <f t="shared" si="1"/>
        <v/>
      </c>
      <c r="E66" s="26" t="str">
        <f t="shared" si="2"/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5" t="str">
        <f>IF(Pontuacao!A67="","",Pontuacao!A67)</f>
        <v/>
      </c>
      <c r="B67" s="26" t="str">
        <f t="array" ref="B67">IFERROR(IF(A67="","",INDEX(Pontuacao!$B$1:$H$1,MATCH(MAX(Pontuacao!B67:H67),Pontuacao!B67:H67,0))),"")</f>
        <v/>
      </c>
      <c r="C67" s="29" t="str">
        <f>IF(A67="","",MAX(Pontuacao!B67:H67))</f>
        <v/>
      </c>
      <c r="D67" s="26" t="str">
        <f t="shared" si="1"/>
        <v/>
      </c>
      <c r="E67" s="26" t="str">
        <f t="shared" si="2"/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5" t="str">
        <f>IF(Pontuacao!A68="","",Pontuacao!A68)</f>
        <v/>
      </c>
      <c r="B68" s="26" t="str">
        <f t="array" ref="B68">IFERROR(IF(A68="","",INDEX(Pontuacao!$B$1:$H$1,MATCH(MAX(Pontuacao!B68:H68),Pontuacao!B68:H68,0))),"")</f>
        <v/>
      </c>
      <c r="C68" s="29" t="str">
        <f>IF(A68="","",MAX(Pontuacao!B68:H68))</f>
        <v/>
      </c>
      <c r="D68" s="26" t="str">
        <f t="shared" si="1"/>
        <v/>
      </c>
      <c r="E68" s="26" t="str">
        <f t="shared" si="2"/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5" t="str">
        <f>IF(Pontuacao!A69="","",Pontuacao!A69)</f>
        <v/>
      </c>
      <c r="B69" s="26" t="str">
        <f t="array" ref="B69">IFERROR(IF(A69="","",INDEX(Pontuacao!$B$1:$H$1,MATCH(MAX(Pontuacao!B69:H69),Pontuacao!B69:H69,0))),"")</f>
        <v/>
      </c>
      <c r="C69" s="29" t="str">
        <f>IF(A69="","",MAX(Pontuacao!B69:H69))</f>
        <v/>
      </c>
      <c r="D69" s="26" t="str">
        <f t="shared" si="1"/>
        <v/>
      </c>
      <c r="E69" s="26" t="str">
        <f t="shared" si="2"/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5" t="str">
        <f>IF(Pontuacao!A70="","",Pontuacao!A70)</f>
        <v/>
      </c>
      <c r="B70" s="26" t="str">
        <f t="array" ref="B70">IFERROR(IF(A70="","",INDEX(Pontuacao!$B$1:$H$1,MATCH(MAX(Pontuacao!B70:H70),Pontuacao!B70:H70,0))),"")</f>
        <v/>
      </c>
      <c r="C70" s="29" t="str">
        <f>IF(A70="","",MAX(Pontuacao!B70:H70))</f>
        <v/>
      </c>
      <c r="D70" s="26" t="str">
        <f t="shared" si="1"/>
        <v/>
      </c>
      <c r="E70" s="26" t="str">
        <f t="shared" si="2"/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5" t="str">
        <f>IF(Pontuacao!A71="","",Pontuacao!A71)</f>
        <v/>
      </c>
      <c r="B71" s="26" t="str">
        <f t="array" ref="B71">IFERROR(IF(A71="","",INDEX(Pontuacao!$B$1:$H$1,MATCH(MAX(Pontuacao!B71:H71),Pontuacao!B71:H71,0))),"")</f>
        <v/>
      </c>
      <c r="C71" s="29" t="str">
        <f>IF(A71="","",MAX(Pontuacao!B71:H71))</f>
        <v/>
      </c>
      <c r="D71" s="26" t="str">
        <f t="shared" si="1"/>
        <v/>
      </c>
      <c r="E71" s="26" t="str">
        <f t="shared" si="2"/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5" t="str">
        <f>IF(Pontuacao!A72="","",Pontuacao!A72)</f>
        <v/>
      </c>
      <c r="B72" s="26" t="str">
        <f t="array" ref="B72">IFERROR(IF(A72="","",INDEX(Pontuacao!$B$1:$H$1,MATCH(MAX(Pontuacao!B72:H72),Pontuacao!B72:H72,0))),"")</f>
        <v/>
      </c>
      <c r="C72" s="29" t="str">
        <f>IF(A72="","",MAX(Pontuacao!B72:H72))</f>
        <v/>
      </c>
      <c r="D72" s="26" t="str">
        <f t="shared" si="1"/>
        <v/>
      </c>
      <c r="E72" s="26" t="str">
        <f t="shared" si="2"/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5" t="str">
        <f>IF(Pontuacao!A73="","",Pontuacao!A73)</f>
        <v/>
      </c>
      <c r="B73" s="26" t="str">
        <f t="array" ref="B73">IFERROR(IF(A73="","",INDEX(Pontuacao!$B$1:$H$1,MATCH(MAX(Pontuacao!B73:H73),Pontuacao!B73:H73,0))),"")</f>
        <v/>
      </c>
      <c r="C73" s="29" t="str">
        <f>IF(A73="","",MAX(Pontuacao!B73:H73))</f>
        <v/>
      </c>
      <c r="D73" s="26" t="str">
        <f t="shared" si="1"/>
        <v/>
      </c>
      <c r="E73" s="26" t="str">
        <f t="shared" si="2"/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5" t="str">
        <f>IF(Pontuacao!A74="","",Pontuacao!A74)</f>
        <v/>
      </c>
      <c r="B74" s="26" t="str">
        <f t="array" ref="B74">IFERROR(IF(A74="","",INDEX(Pontuacao!$B$1:$H$1,MATCH(MAX(Pontuacao!B74:H74),Pontuacao!B74:H74,0))),"")</f>
        <v/>
      </c>
      <c r="C74" s="29" t="str">
        <f>IF(A74="","",MAX(Pontuacao!B74:H74))</f>
        <v/>
      </c>
      <c r="D74" s="26" t="str">
        <f t="shared" si="1"/>
        <v/>
      </c>
      <c r="E74" s="26" t="str">
        <f t="shared" si="2"/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5" t="str">
        <f>IF(Pontuacao!A75="","",Pontuacao!A75)</f>
        <v/>
      </c>
      <c r="B75" s="26" t="str">
        <f t="array" ref="B75">IFERROR(IF(A75="","",INDEX(Pontuacao!$B$1:$H$1,MATCH(MAX(Pontuacao!B75:H75),Pontuacao!B75:H75,0))),"")</f>
        <v/>
      </c>
      <c r="C75" s="29" t="str">
        <f>IF(A75="","",MAX(Pontuacao!B75:H75))</f>
        <v/>
      </c>
      <c r="D75" s="26" t="str">
        <f t="shared" si="1"/>
        <v/>
      </c>
      <c r="E75" s="26" t="str">
        <f t="shared" si="2"/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5" t="str">
        <f>IF(Pontuacao!A76="","",Pontuacao!A76)</f>
        <v/>
      </c>
      <c r="B76" s="26" t="str">
        <f t="array" ref="B76">IFERROR(IF(A76="","",INDEX(Pontuacao!$B$1:$H$1,MATCH(MAX(Pontuacao!B76:H76),Pontuacao!B76:H76,0))),"")</f>
        <v/>
      </c>
      <c r="C76" s="29" t="str">
        <f>IF(A76="","",MAX(Pontuacao!B76:H76))</f>
        <v/>
      </c>
      <c r="D76" s="26" t="str">
        <f t="shared" si="1"/>
        <v/>
      </c>
      <c r="E76" s="26" t="str">
        <f t="shared" si="2"/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5" t="str">
        <f>IF(Pontuacao!A77="","",Pontuacao!A77)</f>
        <v/>
      </c>
      <c r="B77" s="26" t="str">
        <f t="array" ref="B77">IFERROR(IF(A77="","",INDEX(Pontuacao!$B$1:$H$1,MATCH(MAX(Pontuacao!B77:H77),Pontuacao!B77:H77,0))),"")</f>
        <v/>
      </c>
      <c r="C77" s="29" t="str">
        <f>IF(A77="","",MAX(Pontuacao!B77:H77))</f>
        <v/>
      </c>
      <c r="D77" s="26" t="str">
        <f t="shared" si="1"/>
        <v/>
      </c>
      <c r="E77" s="26" t="str">
        <f t="shared" si="2"/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5" t="str">
        <f>IF(Pontuacao!A78="","",Pontuacao!A78)</f>
        <v/>
      </c>
      <c r="B78" s="26" t="str">
        <f t="array" ref="B78">IFERROR(IF(A78="","",INDEX(Pontuacao!$B$1:$H$1,MATCH(MAX(Pontuacao!B78:H78),Pontuacao!B78:H78,0))),"")</f>
        <v/>
      </c>
      <c r="C78" s="29" t="str">
        <f>IF(A78="","",MAX(Pontuacao!B78:H78))</f>
        <v/>
      </c>
      <c r="D78" s="26" t="str">
        <f t="shared" si="1"/>
        <v/>
      </c>
      <c r="E78" s="26" t="str">
        <f t="shared" si="2"/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5" t="str">
        <f>IF(Pontuacao!A79="","",Pontuacao!A79)</f>
        <v/>
      </c>
      <c r="B79" s="26" t="str">
        <f t="array" ref="B79">IFERROR(IF(A79="","",INDEX(Pontuacao!$B$1:$H$1,MATCH(MAX(Pontuacao!B79:H79),Pontuacao!B79:H79,0))),"")</f>
        <v/>
      </c>
      <c r="C79" s="29" t="str">
        <f>IF(A79="","",MAX(Pontuacao!B79:H79))</f>
        <v/>
      </c>
      <c r="D79" s="26" t="str">
        <f t="shared" si="1"/>
        <v/>
      </c>
      <c r="E79" s="26" t="str">
        <f t="shared" si="2"/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5" t="str">
        <f>IF(Pontuacao!A80="","",Pontuacao!A80)</f>
        <v/>
      </c>
      <c r="B80" s="26" t="str">
        <f t="array" ref="B80">IFERROR(IF(A80="","",INDEX(Pontuacao!$B$1:$H$1,MATCH(MAX(Pontuacao!B80:H80),Pontuacao!B80:H80,0))),"")</f>
        <v/>
      </c>
      <c r="C80" s="29" t="str">
        <f>IF(A80="","",MAX(Pontuacao!B80:H80))</f>
        <v/>
      </c>
      <c r="D80" s="26" t="str">
        <f t="shared" si="1"/>
        <v/>
      </c>
      <c r="E80" s="26" t="str">
        <f t="shared" si="2"/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5" t="str">
        <f>IF(Pontuacao!A81="","",Pontuacao!A81)</f>
        <v/>
      </c>
      <c r="B81" s="26" t="str">
        <f t="array" ref="B81">IFERROR(IF(A81="","",INDEX(Pontuacao!$B$1:$H$1,MATCH(MAX(Pontuacao!B81:H81),Pontuacao!B81:H81,0))),"")</f>
        <v/>
      </c>
      <c r="C81" s="29" t="str">
        <f>IF(A81="","",MAX(Pontuacao!B81:H81))</f>
        <v/>
      </c>
      <c r="D81" s="26" t="str">
        <f t="shared" si="1"/>
        <v/>
      </c>
      <c r="E81" s="26" t="str">
        <f t="shared" si="2"/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5" t="str">
        <f>IF(Pontuacao!A82="","",Pontuacao!A82)</f>
        <v/>
      </c>
      <c r="B82" s="26" t="str">
        <f t="array" ref="B82">IFERROR(IF(A82="","",INDEX(Pontuacao!$B$1:$H$1,MATCH(MAX(Pontuacao!B82:H82),Pontuacao!B82:H82,0))),"")</f>
        <v/>
      </c>
      <c r="C82" s="29" t="str">
        <f>IF(A82="","",MAX(Pontuacao!B82:H82))</f>
        <v/>
      </c>
      <c r="D82" s="26" t="str">
        <f t="shared" si="1"/>
        <v/>
      </c>
      <c r="E82" s="26" t="str">
        <f t="shared" si="2"/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5" t="str">
        <f>IF(Pontuacao!A83="","",Pontuacao!A83)</f>
        <v/>
      </c>
      <c r="B83" s="26" t="str">
        <f t="array" ref="B83">IFERROR(IF(A83="","",INDEX(Pontuacao!$B$1:$H$1,MATCH(MAX(Pontuacao!B83:H83),Pontuacao!B83:H83,0))),"")</f>
        <v/>
      </c>
      <c r="C83" s="29" t="str">
        <f>IF(A83="","",MAX(Pontuacao!B83:H83))</f>
        <v/>
      </c>
      <c r="D83" s="26" t="str">
        <f t="shared" si="1"/>
        <v/>
      </c>
      <c r="E83" s="26" t="str">
        <f t="shared" si="2"/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5" t="str">
        <f>IF(Pontuacao!A84="","",Pontuacao!A84)</f>
        <v/>
      </c>
      <c r="B84" s="26" t="str">
        <f t="array" ref="B84">IFERROR(IF(A84="","",INDEX(Pontuacao!$B$1:$H$1,MATCH(MAX(Pontuacao!B84:H84),Pontuacao!B84:H84,0))),"")</f>
        <v/>
      </c>
      <c r="C84" s="29" t="str">
        <f>IF(A84="","",MAX(Pontuacao!B84:H84))</f>
        <v/>
      </c>
      <c r="D84" s="26" t="str">
        <f t="shared" si="1"/>
        <v/>
      </c>
      <c r="E84" s="26" t="str">
        <f t="shared" si="2"/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5" t="str">
        <f>IF(Pontuacao!A85="","",Pontuacao!A85)</f>
        <v/>
      </c>
      <c r="B85" s="26" t="str">
        <f t="array" ref="B85">IFERROR(IF(A85="","",INDEX(Pontuacao!$B$1:$H$1,MATCH(MAX(Pontuacao!B85:H85),Pontuacao!B85:H85,0))),"")</f>
        <v/>
      </c>
      <c r="C85" s="29" t="str">
        <f>IF(A85="","",MAX(Pontuacao!B85:H85))</f>
        <v/>
      </c>
      <c r="D85" s="26" t="str">
        <f t="shared" si="1"/>
        <v/>
      </c>
      <c r="E85" s="26" t="str">
        <f t="shared" si="2"/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5" t="str">
        <f>IF(Pontuacao!A86="","",Pontuacao!A86)</f>
        <v/>
      </c>
      <c r="B86" s="26" t="str">
        <f t="array" ref="B86">IFERROR(IF(A86="","",INDEX(Pontuacao!$B$1:$H$1,MATCH(MAX(Pontuacao!B86:H86),Pontuacao!B86:H86,0))),"")</f>
        <v/>
      </c>
      <c r="C86" s="29" t="str">
        <f>IF(A86="","",MAX(Pontuacao!B86:H86))</f>
        <v/>
      </c>
      <c r="D86" s="26" t="str">
        <f t="shared" si="1"/>
        <v/>
      </c>
      <c r="E86" s="26" t="str">
        <f t="shared" si="2"/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5" t="str">
        <f>IF(Pontuacao!A87="","",Pontuacao!A87)</f>
        <v/>
      </c>
      <c r="B87" s="26" t="str">
        <f t="array" ref="B87">IFERROR(IF(A87="","",INDEX(Pontuacao!$B$1:$H$1,MATCH(MAX(Pontuacao!B87:H87),Pontuacao!B87:H87,0))),"")</f>
        <v/>
      </c>
      <c r="C87" s="29" t="str">
        <f>IF(A87="","",MAX(Pontuacao!B87:H87))</f>
        <v/>
      </c>
      <c r="D87" s="26" t="str">
        <f t="shared" si="1"/>
        <v/>
      </c>
      <c r="E87" s="26" t="str">
        <f t="shared" si="2"/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5" t="str">
        <f>IF(Pontuacao!A88="","",Pontuacao!A88)</f>
        <v/>
      </c>
      <c r="B88" s="26" t="str">
        <f t="array" ref="B88">IFERROR(IF(A88="","",INDEX(Pontuacao!$B$1:$H$1,MATCH(MAX(Pontuacao!B88:H88),Pontuacao!B88:H88,0))),"")</f>
        <v/>
      </c>
      <c r="C88" s="29" t="str">
        <f>IF(A88="","",MAX(Pontuacao!B88:H88))</f>
        <v/>
      </c>
      <c r="D88" s="26" t="str">
        <f t="shared" si="1"/>
        <v/>
      </c>
      <c r="E88" s="26" t="str">
        <f t="shared" si="2"/>
        <v/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5" t="str">
        <f>IF(Pontuacao!A89="","",Pontuacao!A89)</f>
        <v/>
      </c>
      <c r="B89" s="26" t="str">
        <f t="array" ref="B89">IFERROR(IF(A89="","",INDEX(Pontuacao!$B$1:$H$1,MATCH(MAX(Pontuacao!B89:H89),Pontuacao!B89:H89,0))),"")</f>
        <v/>
      </c>
      <c r="C89" s="29" t="str">
        <f>IF(A89="","",MAX(Pontuacao!B89:H89))</f>
        <v/>
      </c>
      <c r="D89" s="26" t="str">
        <f t="shared" si="1"/>
        <v/>
      </c>
      <c r="E89" s="26" t="str">
        <f t="shared" si="2"/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5" t="str">
        <f>IF(Pontuacao!A90="","",Pontuacao!A90)</f>
        <v/>
      </c>
      <c r="B90" s="26" t="str">
        <f t="array" ref="B90">IFERROR(IF(A90="","",INDEX(Pontuacao!$B$1:$H$1,MATCH(MAX(Pontuacao!B90:H90),Pontuacao!B90:H90,0))),"")</f>
        <v/>
      </c>
      <c r="C90" s="29" t="str">
        <f>IF(A90="","",MAX(Pontuacao!B90:H90))</f>
        <v/>
      </c>
      <c r="D90" s="26" t="str">
        <f t="shared" si="1"/>
        <v/>
      </c>
      <c r="E90" s="26" t="str">
        <f t="shared" si="2"/>
        <v/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5" t="str">
        <f>IF(Pontuacao!A91="","",Pontuacao!A91)</f>
        <v/>
      </c>
      <c r="B91" s="26" t="str">
        <f t="array" ref="B91">IFERROR(IF(A91="","",INDEX(Pontuacao!$B$1:$H$1,MATCH(MAX(Pontuacao!B91:H91),Pontuacao!B91:H91,0))),"")</f>
        <v/>
      </c>
      <c r="C91" s="29" t="str">
        <f>IF(A91="","",MAX(Pontuacao!B91:H91))</f>
        <v/>
      </c>
      <c r="D91" s="26" t="str">
        <f t="shared" si="1"/>
        <v/>
      </c>
      <c r="E91" s="26" t="str">
        <f t="shared" si="2"/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5" t="str">
        <f>IF(Pontuacao!A92="","",Pontuacao!A92)</f>
        <v/>
      </c>
      <c r="B92" s="26" t="str">
        <f t="array" ref="B92">IFERROR(IF(A92="","",INDEX(Pontuacao!$B$1:$H$1,MATCH(MAX(Pontuacao!B92:H92),Pontuacao!B92:H92,0))),"")</f>
        <v/>
      </c>
      <c r="C92" s="29" t="str">
        <f>IF(A92="","",MAX(Pontuacao!B92:H92))</f>
        <v/>
      </c>
      <c r="D92" s="26" t="str">
        <f t="shared" si="1"/>
        <v/>
      </c>
      <c r="E92" s="26" t="str">
        <f t="shared" si="2"/>
        <v/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5" t="str">
        <f>IF(Pontuacao!A93="","",Pontuacao!A93)</f>
        <v/>
      </c>
      <c r="B93" s="26" t="str">
        <f t="array" ref="B93">IFERROR(IF(A93="","",INDEX(Pontuacao!$B$1:$H$1,MATCH(MAX(Pontuacao!B93:H93),Pontuacao!B93:H93,0))),"")</f>
        <v/>
      </c>
      <c r="C93" s="29" t="str">
        <f>IF(A93="","",MAX(Pontuacao!B93:H93))</f>
        <v/>
      </c>
      <c r="D93" s="26" t="str">
        <f t="shared" si="1"/>
        <v/>
      </c>
      <c r="E93" s="26" t="str">
        <f t="shared" si="2"/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5" t="str">
        <f>IF(Pontuacao!A94="","",Pontuacao!A94)</f>
        <v/>
      </c>
      <c r="B94" s="26" t="str">
        <f t="array" ref="B94">IFERROR(IF(A94="","",INDEX(Pontuacao!$B$1:$H$1,MATCH(MAX(Pontuacao!B94:H94),Pontuacao!B94:H94,0))),"")</f>
        <v/>
      </c>
      <c r="C94" s="29" t="str">
        <f>IF(A94="","",MAX(Pontuacao!B94:H94))</f>
        <v/>
      </c>
      <c r="D94" s="26" t="str">
        <f t="shared" si="1"/>
        <v/>
      </c>
      <c r="E94" s="26" t="str">
        <f t="shared" si="2"/>
        <v/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5" t="str">
        <f>IF(Pontuacao!A95="","",Pontuacao!A95)</f>
        <v/>
      </c>
      <c r="B95" s="26" t="str">
        <f t="array" ref="B95">IFERROR(IF(A95="","",INDEX(Pontuacao!$B$1:$H$1,MATCH(MAX(Pontuacao!B95:H95),Pontuacao!B95:H95,0))),"")</f>
        <v/>
      </c>
      <c r="C95" s="29" t="str">
        <f>IF(A95="","",MAX(Pontuacao!B95:H95))</f>
        <v/>
      </c>
      <c r="D95" s="26" t="str">
        <f t="shared" si="1"/>
        <v/>
      </c>
      <c r="E95" s="26" t="str">
        <f t="shared" si="2"/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5" t="str">
        <f>IF(Pontuacao!A96="","",Pontuacao!A96)</f>
        <v/>
      </c>
      <c r="B96" s="26" t="str">
        <f t="array" ref="B96">IFERROR(IF(A96="","",INDEX(Pontuacao!$B$1:$H$1,MATCH(MAX(Pontuacao!B96:H96),Pontuacao!B96:H96,0))),"")</f>
        <v/>
      </c>
      <c r="C96" s="29" t="str">
        <f>IF(A96="","",MAX(Pontuacao!B96:H96))</f>
        <v/>
      </c>
      <c r="D96" s="26" t="str">
        <f t="shared" si="1"/>
        <v/>
      </c>
      <c r="E96" s="26" t="str">
        <f t="shared" si="2"/>
        <v/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5" t="str">
        <f>IF(Pontuacao!A97="","",Pontuacao!A97)</f>
        <v/>
      </c>
      <c r="B97" s="26" t="str">
        <f t="array" ref="B97">IFERROR(IF(A97="","",INDEX(Pontuacao!$B$1:$H$1,MATCH(MAX(Pontuacao!B97:H97),Pontuacao!B97:H97,0))),"")</f>
        <v/>
      </c>
      <c r="C97" s="29" t="str">
        <f>IF(A97="","",MAX(Pontuacao!B97:H97))</f>
        <v/>
      </c>
      <c r="D97" s="26" t="str">
        <f t="shared" si="1"/>
        <v/>
      </c>
      <c r="E97" s="26" t="str">
        <f t="shared" si="2"/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5" t="str">
        <f>IF(Pontuacao!A98="","",Pontuacao!A98)</f>
        <v/>
      </c>
      <c r="B98" s="26" t="str">
        <f t="array" ref="B98">IFERROR(IF(A98="","",INDEX(Pontuacao!$B$1:$H$1,MATCH(MAX(Pontuacao!B98:H98),Pontuacao!B98:H98,0))),"")</f>
        <v/>
      </c>
      <c r="C98" s="29" t="str">
        <f>IF(A98="","",MAX(Pontuacao!B98:H98))</f>
        <v/>
      </c>
      <c r="D98" s="26" t="str">
        <f t="shared" si="1"/>
        <v/>
      </c>
      <c r="E98" s="26" t="str">
        <f t="shared" si="2"/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5" t="str">
        <f>IF(Pontuacao!A99="","",Pontuacao!A99)</f>
        <v/>
      </c>
      <c r="B99" s="26" t="str">
        <f t="array" ref="B99">IFERROR(IF(A99="","",INDEX(Pontuacao!$B$1:$H$1,MATCH(MAX(Pontuacao!B99:H99),Pontuacao!B99:H99,0))),"")</f>
        <v/>
      </c>
      <c r="C99" s="29" t="str">
        <f>IF(A99="","",MAX(Pontuacao!B99:H99))</f>
        <v/>
      </c>
      <c r="D99" s="26" t="str">
        <f t="shared" si="1"/>
        <v/>
      </c>
      <c r="E99" s="26" t="str">
        <f t="shared" si="2"/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5" t="str">
        <f>IF(Pontuacao!A100="","",Pontuacao!A100)</f>
        <v/>
      </c>
      <c r="B100" s="26" t="str">
        <f t="array" ref="B100">IFERROR(IF(A100="","",INDEX(Pontuacao!$B$1:$H$1,MATCH(MAX(Pontuacao!B100:H100),Pontuacao!B100:H100,0))),"")</f>
        <v/>
      </c>
      <c r="C100" s="29" t="str">
        <f>IF(A100="","",MAX(Pontuacao!B100:H100))</f>
        <v/>
      </c>
      <c r="D100" s="26" t="str">
        <f t="shared" si="1"/>
        <v/>
      </c>
      <c r="E100" s="26" t="str">
        <f t="shared" si="2"/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5" t="str">
        <f>IF(Pontuacao!A101="","",Pontuacao!A101)</f>
        <v/>
      </c>
      <c r="B101" s="26" t="str">
        <f t="array" ref="B101">IFERROR(IF(A101="","",INDEX(Pontuacao!$B$1:$H$1,MATCH(MAX(Pontuacao!B101:H101),Pontuacao!B101:H101,0))),"")</f>
        <v/>
      </c>
      <c r="C101" s="29" t="str">
        <f>IF(A101="","",MAX(Pontuacao!B101:H101))</f>
        <v/>
      </c>
      <c r="D101" s="26" t="str">
        <f t="shared" si="1"/>
        <v/>
      </c>
      <c r="E101" s="26" t="str">
        <f t="shared" si="2"/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5" t="str">
        <f>IF(Pontuacao!A102="","",Pontuacao!A102)</f>
        <v/>
      </c>
      <c r="B102" s="26" t="str">
        <f t="array" ref="B102">IFERROR(IF(A102="","",INDEX(Pontuacao!$B$1:$H$1,MATCH(MAX(Pontuacao!B102:H102),Pontuacao!B102:H102,0))),"")</f>
        <v/>
      </c>
      <c r="C102" s="29" t="str">
        <f>IF(A102="","",MAX(Pontuacao!B102:H102))</f>
        <v/>
      </c>
      <c r="D102" s="26" t="str">
        <f t="shared" si="1"/>
        <v/>
      </c>
      <c r="E102" s="26" t="str">
        <f t="shared" si="2"/>
        <v/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5" t="str">
        <f>IF(Pontuacao!A103="","",Pontuacao!A103)</f>
        <v/>
      </c>
      <c r="B103" s="26" t="str">
        <f t="array" ref="B103">IFERROR(IF(A103="","",INDEX(Pontuacao!$B$1:$H$1,MATCH(MAX(Pontuacao!B103:H103),Pontuacao!B103:H103,0))),"")</f>
        <v/>
      </c>
      <c r="C103" s="29" t="str">
        <f>IF(A103="","",MAX(Pontuacao!B103:H103))</f>
        <v/>
      </c>
      <c r="D103" s="26" t="str">
        <f t="shared" si="1"/>
        <v/>
      </c>
      <c r="E103" s="26" t="str">
        <f t="shared" si="2"/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5" t="str">
        <f>IF(Pontuacao!A104="","",Pontuacao!A104)</f>
        <v/>
      </c>
      <c r="B104" s="26" t="str">
        <f t="array" ref="B104">IFERROR(IF(A104="","",INDEX(Pontuacao!$B$1:$H$1,MATCH(MAX(Pontuacao!B104:H104),Pontuacao!B104:H104,0))),"")</f>
        <v/>
      </c>
      <c r="C104" s="29" t="str">
        <f>IF(A104="","",MAX(Pontuacao!B104:H104))</f>
        <v/>
      </c>
      <c r="D104" s="26" t="str">
        <f t="shared" si="1"/>
        <v/>
      </c>
      <c r="E104" s="26" t="str">
        <f t="shared" si="2"/>
        <v/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5" t="str">
        <f>IF(Pontuacao!A105="","",Pontuacao!A105)</f>
        <v/>
      </c>
      <c r="B105" s="26" t="str">
        <f t="array" ref="B105">IFERROR(IF(A105="","",INDEX(Pontuacao!$B$1:$H$1,MATCH(MAX(Pontuacao!B105:H105),Pontuacao!B105:H105,0))),"")</f>
        <v/>
      </c>
      <c r="C105" s="29" t="str">
        <f>IF(A105="","",MAX(Pontuacao!B105:H105))</f>
        <v/>
      </c>
      <c r="D105" s="26" t="str">
        <f t="shared" si="1"/>
        <v/>
      </c>
      <c r="E105" s="26" t="str">
        <f t="shared" si="2"/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5" t="str">
        <f>IF(Pontuacao!A106="","",Pontuacao!A106)</f>
        <v/>
      </c>
      <c r="B106" s="26" t="str">
        <f t="array" ref="B106">IFERROR(IF(A106="","",INDEX(Pontuacao!$B$1:$H$1,MATCH(MAX(Pontuacao!B106:H106),Pontuacao!B106:H106,0))),"")</f>
        <v/>
      </c>
      <c r="C106" s="29" t="str">
        <f>IF(A106="","",MAX(Pontuacao!B106:H106))</f>
        <v/>
      </c>
      <c r="D106" s="26" t="str">
        <f t="shared" si="1"/>
        <v/>
      </c>
      <c r="E106" s="26" t="str">
        <f t="shared" si="2"/>
        <v/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5" t="str">
        <f>IF(Pontuacao!A107="","",Pontuacao!A107)</f>
        <v/>
      </c>
      <c r="B107" s="26" t="str">
        <f t="array" ref="B107">IFERROR(IF(A107="","",INDEX(Pontuacao!$B$1:$H$1,MATCH(MAX(Pontuacao!B107:H107),Pontuacao!B107:H107,0))),"")</f>
        <v/>
      </c>
      <c r="C107" s="29" t="str">
        <f>IF(A107="","",MAX(Pontuacao!B107:H107))</f>
        <v/>
      </c>
      <c r="D107" s="26" t="str">
        <f t="shared" si="1"/>
        <v/>
      </c>
      <c r="E107" s="26" t="str">
        <f t="shared" si="2"/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5" t="str">
        <f>IF(Pontuacao!A108="","",Pontuacao!A108)</f>
        <v/>
      </c>
      <c r="B108" s="26" t="str">
        <f t="array" ref="B108">IFERROR(IF(A108="","",INDEX(Pontuacao!$B$1:$H$1,MATCH(MAX(Pontuacao!B108:H108),Pontuacao!B108:H108,0))),"")</f>
        <v/>
      </c>
      <c r="C108" s="29" t="str">
        <f>IF(A108="","",MAX(Pontuacao!B108:H108))</f>
        <v/>
      </c>
      <c r="D108" s="26" t="str">
        <f t="shared" si="1"/>
        <v/>
      </c>
      <c r="E108" s="26" t="str">
        <f t="shared" si="2"/>
        <v/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5" t="str">
        <f>IF(Pontuacao!A109="","",Pontuacao!A109)</f>
        <v/>
      </c>
      <c r="B109" s="26" t="str">
        <f t="array" ref="B109">IFERROR(IF(A109="","",INDEX(Pontuacao!$B$1:$H$1,MATCH(MAX(Pontuacao!B109:H109),Pontuacao!B109:H109,0))),"")</f>
        <v/>
      </c>
      <c r="C109" s="29" t="str">
        <f>IF(A109="","",MAX(Pontuacao!B109:H109))</f>
        <v/>
      </c>
      <c r="D109" s="26" t="str">
        <f t="shared" si="1"/>
        <v/>
      </c>
      <c r="E109" s="26" t="str">
        <f t="shared" si="2"/>
        <v/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5" t="str">
        <f>IF(Pontuacao!A110="","",Pontuacao!A110)</f>
        <v/>
      </c>
      <c r="B110" s="26" t="str">
        <f t="array" ref="B110">IFERROR(IF(A110="","",INDEX(Pontuacao!$B$1:$H$1,MATCH(MAX(Pontuacao!B110:H110),Pontuacao!B110:H110,0))),"")</f>
        <v/>
      </c>
      <c r="C110" s="29" t="str">
        <f>IF(A110="","",MAX(Pontuacao!B110:H110))</f>
        <v/>
      </c>
      <c r="D110" s="26" t="str">
        <f t="shared" si="1"/>
        <v/>
      </c>
      <c r="E110" s="26" t="str">
        <f t="shared" si="2"/>
        <v/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5" t="str">
        <f>IF(Pontuacao!A111="","",Pontuacao!A111)</f>
        <v/>
      </c>
      <c r="B111" s="26" t="str">
        <f t="array" ref="B111">IFERROR(IF(A111="","",INDEX(Pontuacao!$B$1:$H$1,MATCH(MAX(Pontuacao!B111:H111),Pontuacao!B111:H111,0))),"")</f>
        <v/>
      </c>
      <c r="C111" s="29" t="str">
        <f>IF(A111="","",MAX(Pontuacao!B111:H111))</f>
        <v/>
      </c>
      <c r="D111" s="26" t="str">
        <f t="shared" si="1"/>
        <v/>
      </c>
      <c r="E111" s="26" t="str">
        <f t="shared" si="2"/>
        <v/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5" t="str">
        <f>IF(Pontuacao!A112="","",Pontuacao!A112)</f>
        <v/>
      </c>
      <c r="B112" s="26" t="str">
        <f t="array" ref="B112">IFERROR(IF(A112="","",INDEX(Pontuacao!$B$1:$H$1,MATCH(MAX(Pontuacao!B112:H112),Pontuacao!B112:H112,0))),"")</f>
        <v/>
      </c>
      <c r="C112" s="29" t="str">
        <f>IF(A112="","",MAX(Pontuacao!B112:H112))</f>
        <v/>
      </c>
      <c r="D112" s="26" t="str">
        <f t="shared" si="1"/>
        <v/>
      </c>
      <c r="E112" s="26" t="str">
        <f t="shared" si="2"/>
        <v/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5" t="str">
        <f>IF(Pontuacao!A113="","",Pontuacao!A113)</f>
        <v/>
      </c>
      <c r="B113" s="26" t="str">
        <f t="array" ref="B113">IFERROR(IF(A113="","",INDEX(Pontuacao!$B$1:$H$1,MATCH(MAX(Pontuacao!B113:H113),Pontuacao!B113:H113,0))),"")</f>
        <v/>
      </c>
      <c r="C113" s="29" t="str">
        <f>IF(A113="","",MAX(Pontuacao!B113:H113))</f>
        <v/>
      </c>
      <c r="D113" s="26" t="str">
        <f t="shared" si="1"/>
        <v/>
      </c>
      <c r="E113" s="26" t="str">
        <f t="shared" si="2"/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5" t="str">
        <f>IF(Pontuacao!A114="","",Pontuacao!A114)</f>
        <v/>
      </c>
      <c r="B114" s="26" t="str">
        <f t="array" ref="B114">IFERROR(IF(A114="","",INDEX(Pontuacao!$B$1:$H$1,MATCH(MAX(Pontuacao!B114:H114),Pontuacao!B114:H114,0))),"")</f>
        <v/>
      </c>
      <c r="C114" s="29" t="str">
        <f>IF(A114="","",MAX(Pontuacao!B114:H114))</f>
        <v/>
      </c>
      <c r="D114" s="26" t="str">
        <f t="shared" si="1"/>
        <v/>
      </c>
      <c r="E114" s="26" t="str">
        <f t="shared" si="2"/>
        <v/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25" t="str">
        <f>IF(Pontuacao!A115="","",Pontuacao!A115)</f>
        <v/>
      </c>
      <c r="B115" s="26" t="str">
        <f t="array" ref="B115">IFERROR(IF(A115="","",INDEX(Pontuacao!$B$1:$H$1,MATCH(MAX(Pontuacao!B115:H115),Pontuacao!B115:H115,0))),"")</f>
        <v/>
      </c>
      <c r="C115" s="29" t="str">
        <f>IF(A115="","",MAX(Pontuacao!B115:H115))</f>
        <v/>
      </c>
      <c r="D115" s="26" t="str">
        <f t="shared" si="1"/>
        <v/>
      </c>
      <c r="E115" s="26" t="str">
        <f t="shared" si="2"/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25" t="str">
        <f>IF(Pontuacao!A116="","",Pontuacao!A116)</f>
        <v/>
      </c>
      <c r="B116" s="26" t="str">
        <f t="array" ref="B116">IFERROR(IF(A116="","",INDEX(Pontuacao!$B$1:$H$1,MATCH(MAX(Pontuacao!B116:H116),Pontuacao!B116:H116,0))),"")</f>
        <v/>
      </c>
      <c r="C116" s="29" t="str">
        <f>IF(A116="","",MAX(Pontuacao!B116:H116))</f>
        <v/>
      </c>
      <c r="D116" s="26" t="str">
        <f t="shared" si="1"/>
        <v/>
      </c>
      <c r="E116" s="26" t="str">
        <f t="shared" si="2"/>
        <v/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25" t="str">
        <f>IF(Pontuacao!A117="","",Pontuacao!A117)</f>
        <v/>
      </c>
      <c r="B117" s="26" t="str">
        <f t="array" ref="B117">IFERROR(IF(A117="","",INDEX(Pontuacao!$B$1:$H$1,MATCH(MAX(Pontuacao!B117:H117),Pontuacao!B117:H117,0))),"")</f>
        <v/>
      </c>
      <c r="C117" s="29" t="str">
        <f>IF(A117="","",MAX(Pontuacao!B117:H117))</f>
        <v/>
      </c>
      <c r="D117" s="26" t="str">
        <f t="shared" si="1"/>
        <v/>
      </c>
      <c r="E117" s="26" t="str">
        <f t="shared" si="2"/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25" t="str">
        <f>IF(Pontuacao!A118="","",Pontuacao!A118)</f>
        <v/>
      </c>
      <c r="B118" s="26" t="str">
        <f t="array" ref="B118">IFERROR(IF(A118="","",INDEX(Pontuacao!$B$1:$H$1,MATCH(MAX(Pontuacao!B118:H118),Pontuacao!B118:H118,0))),"")</f>
        <v/>
      </c>
      <c r="C118" s="29" t="str">
        <f>IF(A118="","",MAX(Pontuacao!B118:H118))</f>
        <v/>
      </c>
      <c r="D118" s="26" t="str">
        <f t="shared" si="1"/>
        <v/>
      </c>
      <c r="E118" s="26" t="str">
        <f t="shared" si="2"/>
        <v/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25" t="str">
        <f>IF(Pontuacao!A119="","",Pontuacao!A119)</f>
        <v/>
      </c>
      <c r="B119" s="26" t="str">
        <f t="array" ref="B119">IFERROR(IF(A119="","",INDEX(Pontuacao!$B$1:$H$1,MATCH(MAX(Pontuacao!B119:H119),Pontuacao!B119:H119,0))),"")</f>
        <v/>
      </c>
      <c r="C119" s="29" t="str">
        <f>IF(A119="","",MAX(Pontuacao!B119:H119))</f>
        <v/>
      </c>
      <c r="D119" s="26" t="str">
        <f t="shared" si="1"/>
        <v/>
      </c>
      <c r="E119" s="26" t="str">
        <f t="shared" si="2"/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25" t="str">
        <f>IF(Pontuacao!A120="","",Pontuacao!A120)</f>
        <v/>
      </c>
      <c r="B120" s="26" t="str">
        <f t="array" ref="B120">IFERROR(IF(A120="","",INDEX(Pontuacao!$B$1:$H$1,MATCH(MAX(Pontuacao!B120:H120),Pontuacao!B120:H120,0))),"")</f>
        <v/>
      </c>
      <c r="C120" s="29" t="str">
        <f>IF(A120="","",MAX(Pontuacao!B120:H120))</f>
        <v/>
      </c>
      <c r="D120" s="26" t="str">
        <f t="shared" si="1"/>
        <v/>
      </c>
      <c r="E120" s="26" t="str">
        <f t="shared" si="2"/>
        <v/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5" t="str">
        <f>IF(Pontuacao!A121="","",Pontuacao!A121)</f>
        <v/>
      </c>
      <c r="B121" s="26" t="str">
        <f t="array" ref="B121">IFERROR(IF(A121="","",INDEX(Pontuacao!$B$1:$H$1,MATCH(MAX(Pontuacao!B121:H121),Pontuacao!B121:H121,0))),"")</f>
        <v/>
      </c>
      <c r="C121" s="29" t="str">
        <f>IF(A121="","",MAX(Pontuacao!B121:H121))</f>
        <v/>
      </c>
      <c r="D121" s="26" t="str">
        <f t="shared" si="1"/>
        <v/>
      </c>
      <c r="E121" s="26" t="str">
        <f t="shared" si="2"/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5" t="str">
        <f>IF(Pontuacao!A122="","",Pontuacao!A122)</f>
        <v/>
      </c>
      <c r="B122" s="26" t="str">
        <f t="array" ref="B122">IFERROR(IF(A122="","",INDEX(Pontuacao!$B$1:$H$1,MATCH(MAX(Pontuacao!B122:H122),Pontuacao!B122:H122,0))),"")</f>
        <v/>
      </c>
      <c r="C122" s="29" t="str">
        <f>IF(A122="","",MAX(Pontuacao!B122:H122))</f>
        <v/>
      </c>
      <c r="D122" s="26" t="str">
        <f t="shared" si="1"/>
        <v/>
      </c>
      <c r="E122" s="26" t="str">
        <f t="shared" si="2"/>
        <v/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5" t="str">
        <f>IF(Pontuacao!A123="","",Pontuacao!A123)</f>
        <v/>
      </c>
      <c r="B123" s="26" t="str">
        <f t="array" ref="B123">IFERROR(IF(A123="","",INDEX(Pontuacao!$B$1:$H$1,MATCH(MAX(Pontuacao!B123:H123),Pontuacao!B123:H123,0))),"")</f>
        <v/>
      </c>
      <c r="C123" s="29" t="str">
        <f>IF(A123="","",MAX(Pontuacao!B123:H123))</f>
        <v/>
      </c>
      <c r="D123" s="26" t="str">
        <f t="shared" si="1"/>
        <v/>
      </c>
      <c r="E123" s="26" t="str">
        <f t="shared" si="2"/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5" t="str">
        <f>IF(Pontuacao!A124="","",Pontuacao!A124)</f>
        <v/>
      </c>
      <c r="B124" s="26" t="str">
        <f t="array" ref="B124">IFERROR(IF(A124="","",INDEX(Pontuacao!$B$1:$H$1,MATCH(MAX(Pontuacao!B124:H124),Pontuacao!B124:H124,0))),"")</f>
        <v/>
      </c>
      <c r="C124" s="29" t="str">
        <f>IF(A124="","",MAX(Pontuacao!B124:H124))</f>
        <v/>
      </c>
      <c r="D124" s="26" t="str">
        <f t="shared" si="1"/>
        <v/>
      </c>
      <c r="E124" s="26" t="str">
        <f t="shared" si="2"/>
        <v/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5" t="str">
        <f>IF(Pontuacao!A125="","",Pontuacao!A125)</f>
        <v/>
      </c>
      <c r="B125" s="26" t="str">
        <f t="array" ref="B125">IFERROR(IF(A125="","",INDEX(Pontuacao!$B$1:$H$1,MATCH(MAX(Pontuacao!B125:H125),Pontuacao!B125:H125,0))),"")</f>
        <v/>
      </c>
      <c r="C125" s="29" t="str">
        <f>IF(A125="","",MAX(Pontuacao!B125:H125))</f>
        <v/>
      </c>
      <c r="D125" s="26" t="str">
        <f t="shared" si="1"/>
        <v/>
      </c>
      <c r="E125" s="26" t="str">
        <f t="shared" si="2"/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5" t="str">
        <f>IF(Pontuacao!A126="","",Pontuacao!A126)</f>
        <v/>
      </c>
      <c r="B126" s="26" t="str">
        <f t="array" ref="B126">IFERROR(IF(A126="","",INDEX(Pontuacao!$B$1:$H$1,MATCH(MAX(Pontuacao!B126:H126),Pontuacao!B126:H126,0))),"")</f>
        <v/>
      </c>
      <c r="C126" s="29" t="str">
        <f>IF(A126="","",MAX(Pontuacao!B126:H126))</f>
        <v/>
      </c>
      <c r="D126" s="26" t="str">
        <f t="shared" si="1"/>
        <v/>
      </c>
      <c r="E126" s="26" t="str">
        <f t="shared" si="2"/>
        <v/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5" t="str">
        <f>IF(Pontuacao!A127="","",Pontuacao!A127)</f>
        <v/>
      </c>
      <c r="B127" s="26" t="str">
        <f t="array" ref="B127">IFERROR(IF(A127="","",INDEX(Pontuacao!$B$1:$H$1,MATCH(MAX(Pontuacao!B127:H127),Pontuacao!B127:H127,0))),"")</f>
        <v/>
      </c>
      <c r="C127" s="29" t="str">
        <f>IF(A127="","",MAX(Pontuacao!B127:H127))</f>
        <v/>
      </c>
      <c r="D127" s="26" t="str">
        <f t="shared" si="1"/>
        <v/>
      </c>
      <c r="E127" s="26" t="str">
        <f t="shared" si="2"/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5" t="str">
        <f>IF(Pontuacao!A128="","",Pontuacao!A128)</f>
        <v/>
      </c>
      <c r="B128" s="26" t="str">
        <f t="array" ref="B128">IFERROR(IF(A128="","",INDEX(Pontuacao!$B$1:$H$1,MATCH(MAX(Pontuacao!B128:H128),Pontuacao!B128:H128,0))),"")</f>
        <v/>
      </c>
      <c r="C128" s="29" t="str">
        <f>IF(A128="","",MAX(Pontuacao!B128:H128))</f>
        <v/>
      </c>
      <c r="D128" s="26" t="str">
        <f t="shared" si="1"/>
        <v/>
      </c>
      <c r="E128" s="26" t="str">
        <f t="shared" si="2"/>
        <v/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25" t="str">
        <f>IF(Pontuacao!A129="","",Pontuacao!A129)</f>
        <v/>
      </c>
      <c r="B129" s="26" t="str">
        <f t="array" ref="B129">IFERROR(IF(A129="","",INDEX(Pontuacao!$B$1:$H$1,MATCH(MAX(Pontuacao!B129:H129),Pontuacao!B129:H129,0))),"")</f>
        <v/>
      </c>
      <c r="C129" s="29" t="str">
        <f>IF(A129="","",MAX(Pontuacao!B129:H129))</f>
        <v/>
      </c>
      <c r="D129" s="26" t="str">
        <f t="shared" si="1"/>
        <v/>
      </c>
      <c r="E129" s="26" t="str">
        <f t="shared" si="2"/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25" t="str">
        <f>IF(Pontuacao!A130="","",Pontuacao!A130)</f>
        <v/>
      </c>
      <c r="B130" s="26" t="str">
        <f t="array" ref="B130">IFERROR(IF(A130="","",INDEX(Pontuacao!$B$1:$H$1,MATCH(MAX(Pontuacao!B130:H130),Pontuacao!B130:H130,0))),"")</f>
        <v/>
      </c>
      <c r="C130" s="29" t="str">
        <f>IF(A130="","",MAX(Pontuacao!B130:H130))</f>
        <v/>
      </c>
      <c r="D130" s="26" t="str">
        <f t="shared" si="1"/>
        <v/>
      </c>
      <c r="E130" s="26" t="str">
        <f t="shared" si="2"/>
        <v/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5" t="str">
        <f>IF(Pontuacao!A131="","",Pontuacao!A131)</f>
        <v/>
      </c>
      <c r="B131" s="26" t="str">
        <f t="array" ref="B131">IFERROR(IF(A131="","",INDEX(Pontuacao!$B$1:$H$1,MATCH(MAX(Pontuacao!B131:H131),Pontuacao!B131:H131,0))),"")</f>
        <v/>
      </c>
      <c r="C131" s="29" t="str">
        <f>IF(A131="","",MAX(Pontuacao!B131:H131))</f>
        <v/>
      </c>
      <c r="D131" s="26" t="str">
        <f t="shared" si="1"/>
        <v/>
      </c>
      <c r="E131" s="26" t="str">
        <f t="shared" si="2"/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5" t="str">
        <f>IF(Pontuacao!A132="","",Pontuacao!A132)</f>
        <v/>
      </c>
      <c r="B132" s="26" t="str">
        <f t="array" ref="B132">IFERROR(IF(A132="","",INDEX(Pontuacao!$B$1:$H$1,MATCH(MAX(Pontuacao!B132:H132),Pontuacao!B132:H132,0))),"")</f>
        <v/>
      </c>
      <c r="C132" s="29" t="str">
        <f>IF(A132="","",MAX(Pontuacao!B132:H132))</f>
        <v/>
      </c>
      <c r="D132" s="26" t="str">
        <f t="shared" si="1"/>
        <v/>
      </c>
      <c r="E132" s="26" t="str">
        <f t="shared" si="2"/>
        <v/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5" t="str">
        <f>IF(Pontuacao!A133="","",Pontuacao!A133)</f>
        <v/>
      </c>
      <c r="B133" s="26" t="str">
        <f t="array" ref="B133">IFERROR(IF(A133="","",INDEX(Pontuacao!$B$1:$H$1,MATCH(MAX(Pontuacao!B133:H133),Pontuacao!B133:H133,0))),"")</f>
        <v/>
      </c>
      <c r="C133" s="29" t="str">
        <f>IF(A133="","",MAX(Pontuacao!B133:H133))</f>
        <v/>
      </c>
      <c r="D133" s="26" t="str">
        <f t="shared" si="1"/>
        <v/>
      </c>
      <c r="E133" s="26" t="str">
        <f t="shared" si="2"/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25" t="str">
        <f>IF(Pontuacao!A134="","",Pontuacao!A134)</f>
        <v/>
      </c>
      <c r="B134" s="26" t="str">
        <f t="array" ref="B134">IFERROR(IF(A134="","",INDEX(Pontuacao!$B$1:$H$1,MATCH(MAX(Pontuacao!B134:H134),Pontuacao!B134:H134,0))),"")</f>
        <v/>
      </c>
      <c r="C134" s="29" t="str">
        <f>IF(A134="","",MAX(Pontuacao!B134:H134))</f>
        <v/>
      </c>
      <c r="D134" s="26" t="str">
        <f t="shared" si="1"/>
        <v/>
      </c>
      <c r="E134" s="26" t="str">
        <f t="shared" si="2"/>
        <v/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5" t="str">
        <f>IF(Pontuacao!A135="","",Pontuacao!A135)</f>
        <v/>
      </c>
      <c r="B135" s="26" t="str">
        <f t="array" ref="B135">IFERROR(IF(A135="","",INDEX(Pontuacao!$B$1:$H$1,MATCH(MAX(Pontuacao!B135:H135),Pontuacao!B135:H135,0))),"")</f>
        <v/>
      </c>
      <c r="C135" s="29" t="str">
        <f>IF(A135="","",MAX(Pontuacao!B135:H135))</f>
        <v/>
      </c>
      <c r="D135" s="26" t="str">
        <f t="shared" si="1"/>
        <v/>
      </c>
      <c r="E135" s="26" t="str">
        <f t="shared" si="2"/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25" t="str">
        <f>IF(Pontuacao!A136="","",Pontuacao!A136)</f>
        <v/>
      </c>
      <c r="B136" s="26" t="str">
        <f t="array" ref="B136">IFERROR(IF(A136="","",INDEX(Pontuacao!$B$1:$H$1,MATCH(MAX(Pontuacao!B136:H136),Pontuacao!B136:H136,0))),"")</f>
        <v/>
      </c>
      <c r="C136" s="29" t="str">
        <f>IF(A136="","",MAX(Pontuacao!B136:H136))</f>
        <v/>
      </c>
      <c r="D136" s="26" t="str">
        <f t="shared" si="1"/>
        <v/>
      </c>
      <c r="E136" s="26" t="str">
        <f t="shared" si="2"/>
        <v/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25" t="str">
        <f>IF(Pontuacao!A137="","",Pontuacao!A137)</f>
        <v/>
      </c>
      <c r="B137" s="26" t="str">
        <f t="array" ref="B137">IFERROR(IF(A137="","",INDEX(Pontuacao!$B$1:$H$1,MATCH(MAX(Pontuacao!B137:H137),Pontuacao!B137:H137,0))),"")</f>
        <v/>
      </c>
      <c r="C137" s="29" t="str">
        <f>IF(A137="","",MAX(Pontuacao!B137:H137))</f>
        <v/>
      </c>
      <c r="D137" s="26" t="str">
        <f t="shared" si="1"/>
        <v/>
      </c>
      <c r="E137" s="26" t="str">
        <f t="shared" si="2"/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25" t="str">
        <f>IF(Pontuacao!A138="","",Pontuacao!A138)</f>
        <v/>
      </c>
      <c r="B138" s="26" t="str">
        <f t="array" ref="B138">IFERROR(IF(A138="","",INDEX(Pontuacao!$B$1:$H$1,MATCH(MAX(Pontuacao!B138:H138),Pontuacao!B138:H138,0))),"")</f>
        <v/>
      </c>
      <c r="C138" s="29" t="str">
        <f>IF(A138="","",MAX(Pontuacao!B138:H138))</f>
        <v/>
      </c>
      <c r="D138" s="26" t="str">
        <f t="shared" si="1"/>
        <v/>
      </c>
      <c r="E138" s="26" t="str">
        <f t="shared" si="2"/>
        <v/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25" t="str">
        <f>IF(Pontuacao!A139="","",Pontuacao!A139)</f>
        <v/>
      </c>
      <c r="B139" s="26" t="str">
        <f t="array" ref="B139">IFERROR(IF(A139="","",INDEX(Pontuacao!$B$1:$H$1,MATCH(MAX(Pontuacao!B139:H139),Pontuacao!B139:H139,0))),"")</f>
        <v/>
      </c>
      <c r="C139" s="29" t="str">
        <f>IF(A139="","",MAX(Pontuacao!B139:H139))</f>
        <v/>
      </c>
      <c r="D139" s="26" t="str">
        <f t="shared" si="1"/>
        <v/>
      </c>
      <c r="E139" s="26" t="str">
        <f t="shared" si="2"/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25" t="str">
        <f>IF(Pontuacao!A140="","",Pontuacao!A140)</f>
        <v/>
      </c>
      <c r="B140" s="26" t="str">
        <f t="array" ref="B140">IFERROR(IF(A140="","",INDEX(Pontuacao!$B$1:$H$1,MATCH(MAX(Pontuacao!B140:H140),Pontuacao!B140:H140,0))),"")</f>
        <v/>
      </c>
      <c r="C140" s="29" t="str">
        <f>IF(A140="","",MAX(Pontuacao!B140:H140))</f>
        <v/>
      </c>
      <c r="D140" s="26" t="str">
        <f t="shared" si="1"/>
        <v/>
      </c>
      <c r="E140" s="26" t="str">
        <f t="shared" si="2"/>
        <v/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5" t="str">
        <f>IF(Pontuacao!A141="","",Pontuacao!A141)</f>
        <v/>
      </c>
      <c r="B141" s="26" t="str">
        <f t="array" ref="B141">IFERROR(IF(A141="","",INDEX(Pontuacao!$B$1:$H$1,MATCH(MAX(Pontuacao!B141:H141),Pontuacao!B141:H141,0))),"")</f>
        <v/>
      </c>
      <c r="C141" s="29" t="str">
        <f>IF(A141="","",MAX(Pontuacao!B141:H141))</f>
        <v/>
      </c>
      <c r="D141" s="26" t="str">
        <f t="shared" si="1"/>
        <v/>
      </c>
      <c r="E141" s="26" t="str">
        <f t="shared" si="2"/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5" t="str">
        <f>IF(Pontuacao!A142="","",Pontuacao!A142)</f>
        <v/>
      </c>
      <c r="B142" s="26" t="str">
        <f t="array" ref="B142">IFERROR(IF(A142="","",INDEX(Pontuacao!$B$1:$H$1,MATCH(MAX(Pontuacao!B142:H142),Pontuacao!B142:H142,0))),"")</f>
        <v/>
      </c>
      <c r="C142" s="29" t="str">
        <f>IF(A142="","",MAX(Pontuacao!B142:H142))</f>
        <v/>
      </c>
      <c r="D142" s="26" t="str">
        <f t="shared" si="1"/>
        <v/>
      </c>
      <c r="E142" s="26" t="str">
        <f t="shared" si="2"/>
        <v/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5" t="str">
        <f>IF(Pontuacao!A143="","",Pontuacao!A143)</f>
        <v/>
      </c>
      <c r="B143" s="26" t="str">
        <f t="array" ref="B143">IFERROR(IF(A143="","",INDEX(Pontuacao!$B$1:$H$1,MATCH(MAX(Pontuacao!B143:H143),Pontuacao!B143:H143,0))),"")</f>
        <v/>
      </c>
      <c r="C143" s="29" t="str">
        <f>IF(A143="","",MAX(Pontuacao!B143:H143))</f>
        <v/>
      </c>
      <c r="D143" s="26" t="str">
        <f t="shared" si="1"/>
        <v/>
      </c>
      <c r="E143" s="26" t="str">
        <f t="shared" si="2"/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25" t="str">
        <f>IF(Pontuacao!A144="","",Pontuacao!A144)</f>
        <v/>
      </c>
      <c r="B144" s="26" t="str">
        <f t="array" ref="B144">IFERROR(IF(A144="","",INDEX(Pontuacao!$B$1:$H$1,MATCH(MAX(Pontuacao!B144:H144),Pontuacao!B144:H144,0))),"")</f>
        <v/>
      </c>
      <c r="C144" s="29" t="str">
        <f>IF(A144="","",MAX(Pontuacao!B144:H144))</f>
        <v/>
      </c>
      <c r="D144" s="26" t="str">
        <f t="shared" si="1"/>
        <v/>
      </c>
      <c r="E144" s="26" t="str">
        <f t="shared" si="2"/>
        <v/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25" t="str">
        <f>IF(Pontuacao!A145="","",Pontuacao!A145)</f>
        <v/>
      </c>
      <c r="B145" s="26" t="str">
        <f t="array" ref="B145">IFERROR(IF(A145="","",INDEX(Pontuacao!$B$1:$H$1,MATCH(MAX(Pontuacao!B145:H145),Pontuacao!B145:H145,0))),"")</f>
        <v/>
      </c>
      <c r="C145" s="29" t="str">
        <f>IF(A145="","",MAX(Pontuacao!B145:H145))</f>
        <v/>
      </c>
      <c r="D145" s="26" t="str">
        <f t="shared" si="1"/>
        <v/>
      </c>
      <c r="E145" s="26" t="str">
        <f t="shared" si="2"/>
        <v/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25" t="str">
        <f>IF(Pontuacao!A146="","",Pontuacao!A146)</f>
        <v/>
      </c>
      <c r="B146" s="26" t="str">
        <f t="array" ref="B146">IFERROR(IF(A146="","",INDEX(Pontuacao!$B$1:$H$1,MATCH(MAX(Pontuacao!B146:H146),Pontuacao!B146:H146,0))),"")</f>
        <v/>
      </c>
      <c r="C146" s="29" t="str">
        <f>IF(A146="","",MAX(Pontuacao!B146:H146))</f>
        <v/>
      </c>
      <c r="D146" s="26" t="str">
        <f t="shared" si="1"/>
        <v/>
      </c>
      <c r="E146" s="26" t="str">
        <f t="shared" si="2"/>
        <v/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25" t="str">
        <f>IF(Pontuacao!A147="","",Pontuacao!A147)</f>
        <v/>
      </c>
      <c r="B147" s="26" t="str">
        <f t="array" ref="B147">IFERROR(IF(A147="","",INDEX(Pontuacao!$B$1:$H$1,MATCH(MAX(Pontuacao!B147:H147),Pontuacao!B147:H147,0))),"")</f>
        <v/>
      </c>
      <c r="C147" s="29" t="str">
        <f>IF(A147="","",MAX(Pontuacao!B147:H147))</f>
        <v/>
      </c>
      <c r="D147" s="26" t="str">
        <f t="shared" si="1"/>
        <v/>
      </c>
      <c r="E147" s="26" t="str">
        <f t="shared" si="2"/>
        <v/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25" t="str">
        <f>IF(Pontuacao!A148="","",Pontuacao!A148)</f>
        <v/>
      </c>
      <c r="B148" s="26" t="str">
        <f t="array" ref="B148">IFERROR(IF(A148="","",INDEX(Pontuacao!$B$1:$H$1,MATCH(MAX(Pontuacao!B148:H148),Pontuacao!B148:H148,0))),"")</f>
        <v/>
      </c>
      <c r="C148" s="29" t="str">
        <f>IF(A148="","",MAX(Pontuacao!B148:H148))</f>
        <v/>
      </c>
      <c r="D148" s="26" t="str">
        <f t="shared" si="1"/>
        <v/>
      </c>
      <c r="E148" s="26" t="str">
        <f t="shared" si="2"/>
        <v/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25" t="str">
        <f>IF(Pontuacao!A149="","",Pontuacao!A149)</f>
        <v/>
      </c>
      <c r="B149" s="26" t="str">
        <f t="array" ref="B149">IFERROR(IF(A149="","",INDEX(Pontuacao!$B$1:$H$1,MATCH(MAX(Pontuacao!B149:H149),Pontuacao!B149:H149,0))),"")</f>
        <v/>
      </c>
      <c r="C149" s="29" t="str">
        <f>IF(A149="","",MAX(Pontuacao!B149:H149))</f>
        <v/>
      </c>
      <c r="D149" s="26" t="str">
        <f t="shared" si="1"/>
        <v/>
      </c>
      <c r="E149" s="26" t="str">
        <f t="shared" si="2"/>
        <v/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25" t="str">
        <f>IF(Pontuacao!A150="","",Pontuacao!A150)</f>
        <v/>
      </c>
      <c r="B150" s="26" t="str">
        <f t="array" ref="B150">IFERROR(IF(A150="","",INDEX(Pontuacao!$B$1:$H$1,MATCH(MAX(Pontuacao!B150:H150),Pontuacao!B150:H150,0))),"")</f>
        <v/>
      </c>
      <c r="C150" s="29" t="str">
        <f>IF(A150="","",MAX(Pontuacao!B150:H150))</f>
        <v/>
      </c>
      <c r="D150" s="26" t="str">
        <f t="shared" si="1"/>
        <v/>
      </c>
      <c r="E150" s="26" t="str">
        <f t="shared" si="2"/>
        <v/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25" t="str">
        <f>IF(Pontuacao!A151="","",Pontuacao!A151)</f>
        <v/>
      </c>
      <c r="B151" s="26" t="str">
        <f t="array" ref="B151">IFERROR(IF(A151="","",INDEX(Pontuacao!$B$1:$H$1,MATCH(MAX(Pontuacao!B151:H151),Pontuacao!B151:H151,0))),"")</f>
        <v/>
      </c>
      <c r="C151" s="29" t="str">
        <f>IF(A151="","",MAX(Pontuacao!B151:H151))</f>
        <v/>
      </c>
      <c r="D151" s="26" t="str">
        <f t="shared" si="1"/>
        <v/>
      </c>
      <c r="E151" s="26" t="str">
        <f t="shared" si="2"/>
        <v/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25" t="str">
        <f>IF(Pontuacao!A152="","",Pontuacao!A152)</f>
        <v/>
      </c>
      <c r="B152" s="26" t="str">
        <f t="array" ref="B152">IFERROR(IF(A152="","",INDEX(Pontuacao!$B$1:$H$1,MATCH(MAX(Pontuacao!B152:H152),Pontuacao!B152:H152,0))),"")</f>
        <v/>
      </c>
      <c r="C152" s="29" t="str">
        <f>IF(A152="","",MAX(Pontuacao!B152:H152))</f>
        <v/>
      </c>
      <c r="D152" s="26" t="str">
        <f t="shared" si="1"/>
        <v/>
      </c>
      <c r="E152" s="26" t="str">
        <f t="shared" si="2"/>
        <v/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25" t="str">
        <f>IF(Pontuacao!A153="","",Pontuacao!A153)</f>
        <v/>
      </c>
      <c r="B153" s="26" t="str">
        <f t="array" ref="B153">IFERROR(IF(A153="","",INDEX(Pontuacao!$B$1:$H$1,MATCH(MAX(Pontuacao!B153:H153),Pontuacao!B153:H153,0))),"")</f>
        <v/>
      </c>
      <c r="C153" s="29" t="str">
        <f>IF(A153="","",MAX(Pontuacao!B153:H153))</f>
        <v/>
      </c>
      <c r="D153" s="26" t="str">
        <f t="shared" si="1"/>
        <v/>
      </c>
      <c r="E153" s="26" t="str">
        <f t="shared" si="2"/>
        <v/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25" t="str">
        <f>IF(Pontuacao!A154="","",Pontuacao!A154)</f>
        <v/>
      </c>
      <c r="B154" s="26" t="str">
        <f t="array" ref="B154">IFERROR(IF(A154="","",INDEX(Pontuacao!$B$1:$H$1,MATCH(MAX(Pontuacao!B154:H154),Pontuacao!B154:H154,0))),"")</f>
        <v/>
      </c>
      <c r="C154" s="29" t="str">
        <f>IF(A154="","",MAX(Pontuacao!B154:H154))</f>
        <v/>
      </c>
      <c r="D154" s="26" t="str">
        <f t="shared" si="1"/>
        <v/>
      </c>
      <c r="E154" s="26" t="str">
        <f t="shared" si="2"/>
        <v/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25" t="str">
        <f>IF(Pontuacao!A155="","",Pontuacao!A155)</f>
        <v/>
      </c>
      <c r="B155" s="26" t="str">
        <f t="array" ref="B155">IFERROR(IF(A155="","",INDEX(Pontuacao!$B$1:$H$1,MATCH(MAX(Pontuacao!B155:H155),Pontuacao!B155:H155,0))),"")</f>
        <v/>
      </c>
      <c r="C155" s="29" t="str">
        <f>IF(A155="","",MAX(Pontuacao!B155:H155))</f>
        <v/>
      </c>
      <c r="D155" s="26" t="str">
        <f t="shared" si="1"/>
        <v/>
      </c>
      <c r="E155" s="26" t="str">
        <f t="shared" si="2"/>
        <v/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25" t="str">
        <f>IF(Pontuacao!A156="","",Pontuacao!A156)</f>
        <v/>
      </c>
      <c r="B156" s="26" t="str">
        <f t="array" ref="B156">IFERROR(IF(A156="","",INDEX(Pontuacao!$B$1:$H$1,MATCH(MAX(Pontuacao!B156:H156),Pontuacao!B156:H156,0))),"")</f>
        <v/>
      </c>
      <c r="C156" s="29" t="str">
        <f>IF(A156="","",MAX(Pontuacao!B156:H156))</f>
        <v/>
      </c>
      <c r="D156" s="26" t="str">
        <f t="shared" si="1"/>
        <v/>
      </c>
      <c r="E156" s="26" t="str">
        <f t="shared" si="2"/>
        <v/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25" t="str">
        <f>IF(Pontuacao!A157="","",Pontuacao!A157)</f>
        <v/>
      </c>
      <c r="B157" s="26" t="str">
        <f t="array" ref="B157">IFERROR(IF(A157="","",INDEX(Pontuacao!$B$1:$H$1,MATCH(MAX(Pontuacao!B157:H157),Pontuacao!B157:H157,0))),"")</f>
        <v/>
      </c>
      <c r="C157" s="29" t="str">
        <f>IF(A157="","",MAX(Pontuacao!B157:H157))</f>
        <v/>
      </c>
      <c r="D157" s="26" t="str">
        <f t="shared" si="1"/>
        <v/>
      </c>
      <c r="E157" s="26" t="str">
        <f t="shared" si="2"/>
        <v/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25" t="str">
        <f>IF(Pontuacao!A158="","",Pontuacao!A158)</f>
        <v/>
      </c>
      <c r="B158" s="26" t="str">
        <f t="array" ref="B158">IFERROR(IF(A158="","",INDEX(Pontuacao!$B$1:$H$1,MATCH(MAX(Pontuacao!B158:H158),Pontuacao!B158:H158,0))),"")</f>
        <v/>
      </c>
      <c r="C158" s="29" t="str">
        <f>IF(A158="","",MAX(Pontuacao!B158:H158))</f>
        <v/>
      </c>
      <c r="D158" s="26" t="str">
        <f t="shared" si="1"/>
        <v/>
      </c>
      <c r="E158" s="26" t="str">
        <f t="shared" si="2"/>
        <v/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25" t="str">
        <f>IF(Pontuacao!A159="","",Pontuacao!A159)</f>
        <v/>
      </c>
      <c r="B159" s="26" t="str">
        <f t="array" ref="B159">IFERROR(IF(A159="","",INDEX(Pontuacao!$B$1:$H$1,MATCH(MAX(Pontuacao!B159:H159),Pontuacao!B159:H159,0))),"")</f>
        <v/>
      </c>
      <c r="C159" s="29" t="str">
        <f>IF(A159="","",MAX(Pontuacao!B159:H159))</f>
        <v/>
      </c>
      <c r="D159" s="26" t="str">
        <f t="shared" si="1"/>
        <v/>
      </c>
      <c r="E159" s="26" t="str">
        <f t="shared" si="2"/>
        <v/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25" t="str">
        <f>IF(Pontuacao!A160="","",Pontuacao!A160)</f>
        <v/>
      </c>
      <c r="B160" s="26" t="str">
        <f t="array" ref="B160">IFERROR(IF(A160="","",INDEX(Pontuacao!$B$1:$H$1,MATCH(MAX(Pontuacao!B160:H160),Pontuacao!B160:H160,0))),"")</f>
        <v/>
      </c>
      <c r="C160" s="29" t="str">
        <f>IF(A160="","",MAX(Pontuacao!B160:H160))</f>
        <v/>
      </c>
      <c r="D160" s="26" t="str">
        <f t="shared" si="1"/>
        <v/>
      </c>
      <c r="E160" s="26" t="str">
        <f t="shared" si="2"/>
        <v/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25" t="str">
        <f>IF(Pontuacao!A161="","",Pontuacao!A161)</f>
        <v/>
      </c>
      <c r="B161" s="26" t="str">
        <f t="array" ref="B161">IFERROR(IF(A161="","",INDEX(Pontuacao!$B$1:$H$1,MATCH(MAX(Pontuacao!B161:H161),Pontuacao!B161:H161,0))),"")</f>
        <v/>
      </c>
      <c r="C161" s="29" t="str">
        <f>IF(A161="","",MAX(Pontuacao!B161:H161))</f>
        <v/>
      </c>
      <c r="D161" s="26" t="str">
        <f t="shared" si="1"/>
        <v/>
      </c>
      <c r="E161" s="26" t="str">
        <f t="shared" si="2"/>
        <v/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25" t="str">
        <f>IF(Pontuacao!A162="","",Pontuacao!A162)</f>
        <v/>
      </c>
      <c r="B162" s="26" t="str">
        <f t="array" ref="B162">IFERROR(IF(A162="","",INDEX(Pontuacao!$B$1:$H$1,MATCH(MAX(Pontuacao!B162:H162),Pontuacao!B162:H162,0))),"")</f>
        <v/>
      </c>
      <c r="C162" s="29" t="str">
        <f>IF(A162="","",MAX(Pontuacao!B162:H162))</f>
        <v/>
      </c>
      <c r="D162" s="26" t="str">
        <f t="shared" si="1"/>
        <v/>
      </c>
      <c r="E162" s="26" t="str">
        <f t="shared" si="2"/>
        <v/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25" t="str">
        <f>IF(Pontuacao!A163="","",Pontuacao!A163)</f>
        <v/>
      </c>
      <c r="B163" s="26" t="str">
        <f t="array" ref="B163">IFERROR(IF(A163="","",INDEX(Pontuacao!$B$1:$H$1,MATCH(MAX(Pontuacao!B163:H163),Pontuacao!B163:H163,0))),"")</f>
        <v/>
      </c>
      <c r="C163" s="29" t="str">
        <f>IF(A163="","",MAX(Pontuacao!B163:H163))</f>
        <v/>
      </c>
      <c r="D163" s="26" t="str">
        <f t="shared" si="1"/>
        <v/>
      </c>
      <c r="E163" s="26" t="str">
        <f t="shared" si="2"/>
        <v/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25" t="str">
        <f>IF(Pontuacao!A164="","",Pontuacao!A164)</f>
        <v/>
      </c>
      <c r="B164" s="26" t="str">
        <f t="array" ref="B164">IFERROR(IF(A164="","",INDEX(Pontuacao!$B$1:$H$1,MATCH(MAX(Pontuacao!B164:H164),Pontuacao!B164:H164,0))),"")</f>
        <v/>
      </c>
      <c r="C164" s="29" t="str">
        <f>IF(A164="","",MAX(Pontuacao!B164:H164))</f>
        <v/>
      </c>
      <c r="D164" s="26" t="str">
        <f t="shared" si="1"/>
        <v/>
      </c>
      <c r="E164" s="26" t="str">
        <f t="shared" si="2"/>
        <v/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25" t="str">
        <f>IF(Pontuacao!A165="","",Pontuacao!A165)</f>
        <v/>
      </c>
      <c r="B165" s="26" t="str">
        <f t="array" ref="B165">IFERROR(IF(A165="","",INDEX(Pontuacao!$B$1:$H$1,MATCH(MAX(Pontuacao!B165:H165),Pontuacao!B165:H165,0))),"")</f>
        <v/>
      </c>
      <c r="C165" s="29" t="str">
        <f>IF(A165="","",MAX(Pontuacao!B165:H165))</f>
        <v/>
      </c>
      <c r="D165" s="26" t="str">
        <f t="shared" si="1"/>
        <v/>
      </c>
      <c r="E165" s="26" t="str">
        <f t="shared" si="2"/>
        <v/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25" t="str">
        <f>IF(Pontuacao!A166="","",Pontuacao!A166)</f>
        <v/>
      </c>
      <c r="B166" s="26" t="str">
        <f t="array" ref="B166">IFERROR(IF(A166="","",INDEX(Pontuacao!$B$1:$H$1,MATCH(MAX(Pontuacao!B166:H166),Pontuacao!B166:H166,0))),"")</f>
        <v/>
      </c>
      <c r="C166" s="29" t="str">
        <f>IF(A166="","",MAX(Pontuacao!B166:H166))</f>
        <v/>
      </c>
      <c r="D166" s="26" t="str">
        <f t="shared" si="1"/>
        <v/>
      </c>
      <c r="E166" s="26" t="str">
        <f t="shared" si="2"/>
        <v/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25" t="str">
        <f>IF(Pontuacao!A167="","",Pontuacao!A167)</f>
        <v/>
      </c>
      <c r="B167" s="26" t="str">
        <f t="array" ref="B167">IFERROR(IF(A167="","",INDEX(Pontuacao!$B$1:$H$1,MATCH(MAX(Pontuacao!B167:H167),Pontuacao!B167:H167,0))),"")</f>
        <v/>
      </c>
      <c r="C167" s="29" t="str">
        <f>IF(A167="","",MAX(Pontuacao!B167:H167))</f>
        <v/>
      </c>
      <c r="D167" s="26" t="str">
        <f t="shared" si="1"/>
        <v/>
      </c>
      <c r="E167" s="26" t="str">
        <f t="shared" si="2"/>
        <v/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25" t="str">
        <f>IF(Pontuacao!A168="","",Pontuacao!A168)</f>
        <v/>
      </c>
      <c r="B168" s="26" t="str">
        <f t="array" ref="B168">IFERROR(IF(A168="","",INDEX(Pontuacao!$B$1:$H$1,MATCH(MAX(Pontuacao!B168:H168),Pontuacao!B168:H168,0))),"")</f>
        <v/>
      </c>
      <c r="C168" s="29" t="str">
        <f>IF(A168="","",MAX(Pontuacao!B168:H168))</f>
        <v/>
      </c>
      <c r="D168" s="26" t="str">
        <f t="shared" si="1"/>
        <v/>
      </c>
      <c r="E168" s="26" t="str">
        <f t="shared" si="2"/>
        <v/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25" t="str">
        <f>IF(Pontuacao!A169="","",Pontuacao!A169)</f>
        <v/>
      </c>
      <c r="B169" s="26" t="str">
        <f t="array" ref="B169">IFERROR(IF(A169="","",INDEX(Pontuacao!$B$1:$H$1,MATCH(MAX(Pontuacao!B169:H169),Pontuacao!B169:H169,0))),"")</f>
        <v/>
      </c>
      <c r="C169" s="29" t="str">
        <f>IF(A169="","",MAX(Pontuacao!B169:H169))</f>
        <v/>
      </c>
      <c r="D169" s="26" t="str">
        <f t="shared" si="1"/>
        <v/>
      </c>
      <c r="E169" s="26" t="str">
        <f t="shared" si="2"/>
        <v/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25" t="str">
        <f>IF(Pontuacao!A170="","",Pontuacao!A170)</f>
        <v/>
      </c>
      <c r="B170" s="26" t="str">
        <f t="array" ref="B170">IFERROR(IF(A170="","",INDEX(Pontuacao!$B$1:$H$1,MATCH(MAX(Pontuacao!B170:H170),Pontuacao!B170:H170,0))),"")</f>
        <v/>
      </c>
      <c r="C170" s="29" t="str">
        <f>IF(A170="","",MAX(Pontuacao!B170:H170))</f>
        <v/>
      </c>
      <c r="D170" s="26" t="str">
        <f t="shared" si="1"/>
        <v/>
      </c>
      <c r="E170" s="26" t="str">
        <f t="shared" si="2"/>
        <v/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25" t="str">
        <f>IF(Pontuacao!A171="","",Pontuacao!A171)</f>
        <v/>
      </c>
      <c r="B171" s="26" t="str">
        <f t="array" ref="B171">IFERROR(IF(A171="","",INDEX(Pontuacao!$B$1:$H$1,MATCH(MAX(Pontuacao!B171:H171),Pontuacao!B171:H171,0))),"")</f>
        <v/>
      </c>
      <c r="C171" s="29" t="str">
        <f>IF(A171="","",MAX(Pontuacao!B171:H171))</f>
        <v/>
      </c>
      <c r="D171" s="26" t="str">
        <f t="shared" si="1"/>
        <v/>
      </c>
      <c r="E171" s="26" t="str">
        <f t="shared" si="2"/>
        <v/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25" t="str">
        <f>IF(Pontuacao!A172="","",Pontuacao!A172)</f>
        <v/>
      </c>
      <c r="B172" s="26" t="str">
        <f t="array" ref="B172">IFERROR(IF(A172="","",INDEX(Pontuacao!$B$1:$H$1,MATCH(MAX(Pontuacao!B172:H172),Pontuacao!B172:H172,0))),"")</f>
        <v/>
      </c>
      <c r="C172" s="29" t="str">
        <f>IF(A172="","",MAX(Pontuacao!B172:H172))</f>
        <v/>
      </c>
      <c r="D172" s="26" t="str">
        <f t="shared" si="1"/>
        <v/>
      </c>
      <c r="E172" s="26" t="str">
        <f t="shared" si="2"/>
        <v/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25" t="str">
        <f>IF(Pontuacao!A173="","",Pontuacao!A173)</f>
        <v/>
      </c>
      <c r="B173" s="26" t="str">
        <f t="array" ref="B173">IFERROR(IF(A173="","",INDEX(Pontuacao!$B$1:$H$1,MATCH(MAX(Pontuacao!B173:H173),Pontuacao!B173:H173,0))),"")</f>
        <v/>
      </c>
      <c r="C173" s="29" t="str">
        <f>IF(A173="","",MAX(Pontuacao!B173:H173))</f>
        <v/>
      </c>
      <c r="D173" s="26" t="str">
        <f t="shared" si="1"/>
        <v/>
      </c>
      <c r="E173" s="26" t="str">
        <f t="shared" si="2"/>
        <v/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25" t="str">
        <f>IF(Pontuacao!A174="","",Pontuacao!A174)</f>
        <v/>
      </c>
      <c r="B174" s="26" t="str">
        <f t="array" ref="B174">IFERROR(IF(A174="","",INDEX(Pontuacao!$B$1:$H$1,MATCH(MAX(Pontuacao!B174:H174),Pontuacao!B174:H174,0))),"")</f>
        <v/>
      </c>
      <c r="C174" s="29" t="str">
        <f>IF(A174="","",MAX(Pontuacao!B174:H174))</f>
        <v/>
      </c>
      <c r="D174" s="26" t="str">
        <f t="shared" si="1"/>
        <v/>
      </c>
      <c r="E174" s="26" t="str">
        <f t="shared" si="2"/>
        <v/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25" t="str">
        <f>IF(Pontuacao!A175="","",Pontuacao!A175)</f>
        <v/>
      </c>
      <c r="B175" s="26" t="str">
        <f t="array" ref="B175">IFERROR(IF(A175="","",INDEX(Pontuacao!$B$1:$H$1,MATCH(MAX(Pontuacao!B175:H175),Pontuacao!B175:H175,0))),"")</f>
        <v/>
      </c>
      <c r="C175" s="29" t="str">
        <f>IF(A175="","",MAX(Pontuacao!B175:H175))</f>
        <v/>
      </c>
      <c r="D175" s="26" t="str">
        <f t="shared" si="1"/>
        <v/>
      </c>
      <c r="E175" s="26" t="str">
        <f t="shared" si="2"/>
        <v/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25" t="str">
        <f>IF(Pontuacao!A176="","",Pontuacao!A176)</f>
        <v/>
      </c>
      <c r="B176" s="26" t="str">
        <f t="array" ref="B176">IFERROR(IF(A176="","",INDEX(Pontuacao!$B$1:$H$1,MATCH(MAX(Pontuacao!B176:H176),Pontuacao!B176:H176,0))),"")</f>
        <v/>
      </c>
      <c r="C176" s="29" t="str">
        <f>IF(A176="","",MAX(Pontuacao!B176:H176))</f>
        <v/>
      </c>
      <c r="D176" s="26" t="str">
        <f t="shared" si="1"/>
        <v/>
      </c>
      <c r="E176" s="26" t="str">
        <f t="shared" si="2"/>
        <v/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25" t="str">
        <f>IF(Pontuacao!A177="","",Pontuacao!A177)</f>
        <v/>
      </c>
      <c r="B177" s="26" t="str">
        <f t="array" ref="B177">IFERROR(IF(A177="","",INDEX(Pontuacao!$B$1:$H$1,MATCH(MAX(Pontuacao!B177:H177),Pontuacao!B177:H177,0))),"")</f>
        <v/>
      </c>
      <c r="C177" s="29" t="str">
        <f>IF(A177="","",MAX(Pontuacao!B177:H177))</f>
        <v/>
      </c>
      <c r="D177" s="26" t="str">
        <f t="shared" si="1"/>
        <v/>
      </c>
      <c r="E177" s="26" t="str">
        <f t="shared" si="2"/>
        <v/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25" t="str">
        <f>IF(Pontuacao!A178="","",Pontuacao!A178)</f>
        <v/>
      </c>
      <c r="B178" s="26" t="str">
        <f t="array" ref="B178">IFERROR(IF(A178="","",INDEX(Pontuacao!$B$1:$H$1,MATCH(MAX(Pontuacao!B178:H178),Pontuacao!B178:H178,0))),"")</f>
        <v/>
      </c>
      <c r="C178" s="29" t="str">
        <f>IF(A178="","",MAX(Pontuacao!B178:H178))</f>
        <v/>
      </c>
      <c r="D178" s="26" t="str">
        <f t="shared" si="1"/>
        <v/>
      </c>
      <c r="E178" s="26" t="str">
        <f t="shared" si="2"/>
        <v/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25" t="str">
        <f>IF(Pontuacao!A179="","",Pontuacao!A179)</f>
        <v/>
      </c>
      <c r="B179" s="26" t="str">
        <f t="array" ref="B179">IFERROR(IF(A179="","",INDEX(Pontuacao!$B$1:$H$1,MATCH(MAX(Pontuacao!B179:H179),Pontuacao!B179:H179,0))),"")</f>
        <v/>
      </c>
      <c r="C179" s="29" t="str">
        <f>IF(A179="","",MAX(Pontuacao!B179:H179))</f>
        <v/>
      </c>
      <c r="D179" s="26" t="str">
        <f t="shared" si="1"/>
        <v/>
      </c>
      <c r="E179" s="26" t="str">
        <f t="shared" si="2"/>
        <v/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25" t="str">
        <f>IF(Pontuacao!A180="","",Pontuacao!A180)</f>
        <v/>
      </c>
      <c r="B180" s="26" t="str">
        <f t="array" ref="B180">IFERROR(IF(A180="","",INDEX(Pontuacao!$B$1:$H$1,MATCH(MAX(Pontuacao!B180:H180),Pontuacao!B180:H180,0))),"")</f>
        <v/>
      </c>
      <c r="C180" s="29" t="str">
        <f>IF(A180="","",MAX(Pontuacao!B180:H180))</f>
        <v/>
      </c>
      <c r="D180" s="26" t="str">
        <f t="shared" si="1"/>
        <v/>
      </c>
      <c r="E180" s="26" t="str">
        <f t="shared" si="2"/>
        <v/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25" t="str">
        <f>IF(Pontuacao!A181="","",Pontuacao!A181)</f>
        <v/>
      </c>
      <c r="B181" s="26" t="str">
        <f t="array" ref="B181">IFERROR(IF(A181="","",INDEX(Pontuacao!$B$1:$H$1,MATCH(MAX(Pontuacao!B181:H181),Pontuacao!B181:H181,0))),"")</f>
        <v/>
      </c>
      <c r="C181" s="29" t="str">
        <f>IF(A181="","",MAX(Pontuacao!B181:H181))</f>
        <v/>
      </c>
      <c r="D181" s="26" t="str">
        <f t="shared" si="1"/>
        <v/>
      </c>
      <c r="E181" s="26" t="str">
        <f t="shared" si="2"/>
        <v/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25" t="str">
        <f>IF(Pontuacao!A182="","",Pontuacao!A182)</f>
        <v/>
      </c>
      <c r="B182" s="26" t="str">
        <f t="array" ref="B182">IFERROR(IF(A182="","",INDEX(Pontuacao!$B$1:$H$1,MATCH(MAX(Pontuacao!B182:H182),Pontuacao!B182:H182,0))),"")</f>
        <v/>
      </c>
      <c r="C182" s="29" t="str">
        <f>IF(A182="","",MAX(Pontuacao!B182:H182))</f>
        <v/>
      </c>
      <c r="D182" s="26" t="str">
        <f t="shared" si="1"/>
        <v/>
      </c>
      <c r="E182" s="26" t="str">
        <f t="shared" si="2"/>
        <v/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25" t="str">
        <f>IF(Pontuacao!A183="","",Pontuacao!A183)</f>
        <v/>
      </c>
      <c r="B183" s="26" t="str">
        <f t="array" ref="B183">IFERROR(IF(A183="","",INDEX(Pontuacao!$B$1:$H$1,MATCH(MAX(Pontuacao!B183:H183),Pontuacao!B183:H183,0))),"")</f>
        <v/>
      </c>
      <c r="C183" s="29" t="str">
        <f>IF(A183="","",MAX(Pontuacao!B183:H183))</f>
        <v/>
      </c>
      <c r="D183" s="26" t="str">
        <f t="shared" si="1"/>
        <v/>
      </c>
      <c r="E183" s="26" t="str">
        <f t="shared" si="2"/>
        <v/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25" t="str">
        <f>IF(Pontuacao!A184="","",Pontuacao!A184)</f>
        <v/>
      </c>
      <c r="B184" s="26" t="str">
        <f t="array" ref="B184">IFERROR(IF(A184="","",INDEX(Pontuacao!$B$1:$H$1,MATCH(MAX(Pontuacao!B184:H184),Pontuacao!B184:H184,0))),"")</f>
        <v/>
      </c>
      <c r="C184" s="29" t="str">
        <f>IF(A184="","",MAX(Pontuacao!B184:H184))</f>
        <v/>
      </c>
      <c r="D184" s="26" t="str">
        <f t="shared" si="1"/>
        <v/>
      </c>
      <c r="E184" s="26" t="str">
        <f t="shared" si="2"/>
        <v/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25" t="str">
        <f>IF(Pontuacao!A185="","",Pontuacao!A185)</f>
        <v/>
      </c>
      <c r="B185" s="26" t="str">
        <f t="array" ref="B185">IFERROR(IF(A185="","",INDEX(Pontuacao!$B$1:$H$1,MATCH(MAX(Pontuacao!B185:H185),Pontuacao!B185:H185,0))),"")</f>
        <v/>
      </c>
      <c r="C185" s="29" t="str">
        <f>IF(A185="","",MAX(Pontuacao!B185:H185))</f>
        <v/>
      </c>
      <c r="D185" s="26" t="str">
        <f t="shared" si="1"/>
        <v/>
      </c>
      <c r="E185" s="26" t="str">
        <f t="shared" si="2"/>
        <v/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25" t="str">
        <f>IF(Pontuacao!A186="","",Pontuacao!A186)</f>
        <v/>
      </c>
      <c r="B186" s="26" t="str">
        <f t="array" ref="B186">IFERROR(IF(A186="","",INDEX(Pontuacao!$B$1:$H$1,MATCH(MAX(Pontuacao!B186:H186),Pontuacao!B186:H186,0))),"")</f>
        <v/>
      </c>
      <c r="C186" s="29" t="str">
        <f>IF(A186="","",MAX(Pontuacao!B186:H186))</f>
        <v/>
      </c>
      <c r="D186" s="26" t="str">
        <f t="shared" si="1"/>
        <v/>
      </c>
      <c r="E186" s="26" t="str">
        <f t="shared" si="2"/>
        <v/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25" t="str">
        <f>IF(Pontuacao!A187="","",Pontuacao!A187)</f>
        <v/>
      </c>
      <c r="B187" s="26" t="str">
        <f t="array" ref="B187">IFERROR(IF(A187="","",INDEX(Pontuacao!$B$1:$H$1,MATCH(MAX(Pontuacao!B187:H187),Pontuacao!B187:H187,0))),"")</f>
        <v/>
      </c>
      <c r="C187" s="29" t="str">
        <f>IF(A187="","",MAX(Pontuacao!B187:H187))</f>
        <v/>
      </c>
      <c r="D187" s="26" t="str">
        <f t="shared" si="1"/>
        <v/>
      </c>
      <c r="E187" s="26" t="str">
        <f t="shared" si="2"/>
        <v/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25" t="str">
        <f>IF(Pontuacao!A188="","",Pontuacao!A188)</f>
        <v/>
      </c>
      <c r="B188" s="26" t="str">
        <f t="array" ref="B188">IFERROR(IF(A188="","",INDEX(Pontuacao!$B$1:$H$1,MATCH(MAX(Pontuacao!B188:H188),Pontuacao!B188:H188,0))),"")</f>
        <v/>
      </c>
      <c r="C188" s="29" t="str">
        <f>IF(A188="","",MAX(Pontuacao!B188:H188))</f>
        <v/>
      </c>
      <c r="D188" s="26" t="str">
        <f t="shared" si="1"/>
        <v/>
      </c>
      <c r="E188" s="26" t="str">
        <f t="shared" si="2"/>
        <v/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25" t="str">
        <f>IF(Pontuacao!A189="","",Pontuacao!A189)</f>
        <v/>
      </c>
      <c r="B189" s="26" t="str">
        <f t="array" ref="B189">IFERROR(IF(A189="","",INDEX(Pontuacao!$B$1:$H$1,MATCH(MAX(Pontuacao!B189:H189),Pontuacao!B189:H189,0))),"")</f>
        <v/>
      </c>
      <c r="C189" s="29" t="str">
        <f>IF(A189="","",MAX(Pontuacao!B189:H189))</f>
        <v/>
      </c>
      <c r="D189" s="26" t="str">
        <f t="shared" si="1"/>
        <v/>
      </c>
      <c r="E189" s="26" t="str">
        <f t="shared" si="2"/>
        <v/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25" t="str">
        <f>IF(Pontuacao!A190="","",Pontuacao!A190)</f>
        <v/>
      </c>
      <c r="B190" s="26" t="str">
        <f t="array" ref="B190">IFERROR(IF(A190="","",INDEX(Pontuacao!$B$1:$H$1,MATCH(MAX(Pontuacao!B190:H190),Pontuacao!B190:H190,0))),"")</f>
        <v/>
      </c>
      <c r="C190" s="29" t="str">
        <f>IF(A190="","",MAX(Pontuacao!B190:H190))</f>
        <v/>
      </c>
      <c r="D190" s="26" t="str">
        <f t="shared" si="1"/>
        <v/>
      </c>
      <c r="E190" s="26" t="str">
        <f t="shared" si="2"/>
        <v/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25" t="str">
        <f>IF(Pontuacao!A191="","",Pontuacao!A191)</f>
        <v/>
      </c>
      <c r="B191" s="26" t="str">
        <f t="array" ref="B191">IFERROR(IF(A191="","",INDEX(Pontuacao!$B$1:$H$1,MATCH(MAX(Pontuacao!B191:H191),Pontuacao!B191:H191,0))),"")</f>
        <v/>
      </c>
      <c r="C191" s="29" t="str">
        <f>IF(A191="","",MAX(Pontuacao!B191:H191))</f>
        <v/>
      </c>
      <c r="D191" s="26" t="str">
        <f t="shared" si="1"/>
        <v/>
      </c>
      <c r="E191" s="26" t="str">
        <f t="shared" si="2"/>
        <v/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25" t="str">
        <f>IF(Pontuacao!A192="","",Pontuacao!A192)</f>
        <v/>
      </c>
      <c r="B192" s="26" t="str">
        <f t="array" ref="B192">IFERROR(IF(A192="","",INDEX(Pontuacao!$B$1:$H$1,MATCH(MAX(Pontuacao!B192:H192),Pontuacao!B192:H192,0))),"")</f>
        <v/>
      </c>
      <c r="C192" s="29" t="str">
        <f>IF(A192="","",MAX(Pontuacao!B192:H192))</f>
        <v/>
      </c>
      <c r="D192" s="26" t="str">
        <f t="shared" si="1"/>
        <v/>
      </c>
      <c r="E192" s="26" t="str">
        <f t="shared" si="2"/>
        <v/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25" t="str">
        <f>IF(Pontuacao!A193="","",Pontuacao!A193)</f>
        <v/>
      </c>
      <c r="B193" s="26" t="str">
        <f t="array" ref="B193">IFERROR(IF(A193="","",INDEX(Pontuacao!$B$1:$H$1,MATCH(MAX(Pontuacao!B193:H193),Pontuacao!B193:H193,0))),"")</f>
        <v/>
      </c>
      <c r="C193" s="29" t="str">
        <f>IF(A193="","",MAX(Pontuacao!B193:H193))</f>
        <v/>
      </c>
      <c r="D193" s="26" t="str">
        <f t="shared" si="1"/>
        <v/>
      </c>
      <c r="E193" s="26" t="str">
        <f t="shared" si="2"/>
        <v/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25" t="str">
        <f>IF(Pontuacao!A194="","",Pontuacao!A194)</f>
        <v/>
      </c>
      <c r="B194" s="26" t="str">
        <f t="array" ref="B194">IFERROR(IF(A194="","",INDEX(Pontuacao!$B$1:$H$1,MATCH(MAX(Pontuacao!B194:H194),Pontuacao!B194:H194,0))),"")</f>
        <v/>
      </c>
      <c r="C194" s="29" t="str">
        <f>IF(A194="","",MAX(Pontuacao!B194:H194))</f>
        <v/>
      </c>
      <c r="D194" s="26" t="str">
        <f t="shared" si="1"/>
        <v/>
      </c>
      <c r="E194" s="26" t="str">
        <f t="shared" si="2"/>
        <v/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25" t="str">
        <f>IF(Pontuacao!A195="","",Pontuacao!A195)</f>
        <v/>
      </c>
      <c r="B195" s="26" t="str">
        <f t="array" ref="B195">IFERROR(IF(A195="","",INDEX(Pontuacao!$B$1:$H$1,MATCH(MAX(Pontuacao!B195:H195),Pontuacao!B195:H195,0))),"")</f>
        <v/>
      </c>
      <c r="C195" s="29" t="str">
        <f>IF(A195="","",MAX(Pontuacao!B195:H195))</f>
        <v/>
      </c>
      <c r="D195" s="26" t="str">
        <f t="shared" si="1"/>
        <v/>
      </c>
      <c r="E195" s="26" t="str">
        <f t="shared" si="2"/>
        <v/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25" t="str">
        <f>IF(Pontuacao!A196="","",Pontuacao!A196)</f>
        <v/>
      </c>
      <c r="B196" s="26" t="str">
        <f t="array" ref="B196">IFERROR(IF(A196="","",INDEX(Pontuacao!$B$1:$H$1,MATCH(MAX(Pontuacao!B196:H196),Pontuacao!B196:H196,0))),"")</f>
        <v/>
      </c>
      <c r="C196" s="29" t="str">
        <f>IF(A196="","",MAX(Pontuacao!B196:H196))</f>
        <v/>
      </c>
      <c r="D196" s="26" t="str">
        <f t="shared" si="1"/>
        <v/>
      </c>
      <c r="E196" s="26" t="str">
        <f t="shared" si="2"/>
        <v/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25" t="str">
        <f>IF(Pontuacao!A197="","",Pontuacao!A197)</f>
        <v/>
      </c>
      <c r="B197" s="26" t="str">
        <f t="array" ref="B197">IFERROR(IF(A197="","",INDEX(Pontuacao!$B$1:$H$1,MATCH(MAX(Pontuacao!B197:H197),Pontuacao!B197:H197,0))),"")</f>
        <v/>
      </c>
      <c r="C197" s="29" t="str">
        <f>IF(A197="","",MAX(Pontuacao!B197:H197))</f>
        <v/>
      </c>
      <c r="D197" s="26" t="str">
        <f t="shared" si="1"/>
        <v/>
      </c>
      <c r="E197" s="26" t="str">
        <f t="shared" si="2"/>
        <v/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25" t="str">
        <f>IF(Pontuacao!A198="","",Pontuacao!A198)</f>
        <v/>
      </c>
      <c r="B198" s="26" t="str">
        <f t="array" ref="B198">IFERROR(IF(A198="","",INDEX(Pontuacao!$B$1:$H$1,MATCH(MAX(Pontuacao!B198:H198),Pontuacao!B198:H198,0))),"")</f>
        <v/>
      </c>
      <c r="C198" s="29" t="str">
        <f>IF(A198="","",MAX(Pontuacao!B198:H198))</f>
        <v/>
      </c>
      <c r="D198" s="26" t="str">
        <f t="shared" si="1"/>
        <v/>
      </c>
      <c r="E198" s="26" t="str">
        <f t="shared" si="2"/>
        <v/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25" t="str">
        <f>IF(Pontuacao!A199="","",Pontuacao!A199)</f>
        <v/>
      </c>
      <c r="B199" s="26" t="str">
        <f t="array" ref="B199">IFERROR(IF(A199="","",INDEX(Pontuacao!$B$1:$H$1,MATCH(MAX(Pontuacao!B199:H199),Pontuacao!B199:H199,0))),"")</f>
        <v/>
      </c>
      <c r="C199" s="29" t="str">
        <f>IF(A199="","",MAX(Pontuacao!B199:H199))</f>
        <v/>
      </c>
      <c r="D199" s="26" t="str">
        <f t="shared" si="1"/>
        <v/>
      </c>
      <c r="E199" s="26" t="str">
        <f t="shared" si="2"/>
        <v/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25" t="str">
        <f>IF(Pontuacao!A200="","",Pontuacao!A200)</f>
        <v/>
      </c>
      <c r="B200" s="26" t="str">
        <f t="array" ref="B200">IFERROR(IF(A200="","",INDEX(Pontuacao!$B$1:$H$1,MATCH(MAX(Pontuacao!B200:H200),Pontuacao!B200:H200,0))),"")</f>
        <v/>
      </c>
      <c r="C200" s="29" t="str">
        <f>IF(A200="","",MAX(Pontuacao!B200:H200))</f>
        <v/>
      </c>
      <c r="D200" s="26" t="str">
        <f t="shared" si="1"/>
        <v/>
      </c>
      <c r="E200" s="26" t="str">
        <f t="shared" si="2"/>
        <v/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25" t="str">
        <f>IF(Pontuacao!A201="","",Pontuacao!A201)</f>
        <v/>
      </c>
      <c r="B201" s="26" t="str">
        <f t="array" ref="B201">IFERROR(IF(A201="","",INDEX(Pontuacao!$B$1:$H$1,MATCH(MAX(Pontuacao!B201:H201),Pontuacao!B201:H201,0))),"")</f>
        <v/>
      </c>
      <c r="C201" s="29" t="str">
        <f>IF(A201="","",MAX(Pontuacao!B201:H201))</f>
        <v/>
      </c>
      <c r="D201" s="26" t="str">
        <f t="shared" si="1"/>
        <v/>
      </c>
      <c r="E201" s="26" t="str">
        <f t="shared" si="2"/>
        <v/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25" t="str">
        <f>IF(Pontuacao!A202="","",Pontuacao!A202)</f>
        <v/>
      </c>
      <c r="B202" s="26" t="str">
        <f t="array" ref="B202">IFERROR(IF(A202="","",INDEX(Pontuacao!$B$1:$H$1,MATCH(MAX(Pontuacao!B202:H202),Pontuacao!B202:H202,0))),"")</f>
        <v/>
      </c>
      <c r="C202" s="29" t="str">
        <f>IF(A202="","",MAX(Pontuacao!B202:H202))</f>
        <v/>
      </c>
      <c r="D202" s="26" t="str">
        <f t="shared" si="1"/>
        <v/>
      </c>
      <c r="E202" s="26" t="str">
        <f t="shared" si="2"/>
        <v/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25" t="str">
        <f>IF(Pontuacao!A203="","",Pontuacao!A203)</f>
        <v/>
      </c>
      <c r="B203" s="26" t="str">
        <f t="array" ref="B203">IFERROR(IF(A203="","",INDEX(Pontuacao!$B$1:$H$1,MATCH(MAX(Pontuacao!B203:H203),Pontuacao!B203:H203,0))),"")</f>
        <v/>
      </c>
      <c r="C203" s="29" t="str">
        <f>IF(A203="","",MAX(Pontuacao!B203:H203))</f>
        <v/>
      </c>
      <c r="D203" s="26" t="str">
        <f t="shared" si="1"/>
        <v/>
      </c>
      <c r="E203" s="26" t="str">
        <f t="shared" si="2"/>
        <v/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25" t="str">
        <f>IF(Pontuacao!A204="","",Pontuacao!A204)</f>
        <v/>
      </c>
      <c r="B204" s="26" t="str">
        <f t="array" ref="B204">IFERROR(IF(A204="","",INDEX(Pontuacao!$B$1:$H$1,MATCH(MAX(Pontuacao!B204:H204),Pontuacao!B204:H204,0))),"")</f>
        <v/>
      </c>
      <c r="C204" s="29" t="str">
        <f>IF(A204="","",MAX(Pontuacao!B204:H204))</f>
        <v/>
      </c>
      <c r="D204" s="26" t="str">
        <f t="shared" si="1"/>
        <v/>
      </c>
      <c r="E204" s="26" t="str">
        <f t="shared" si="2"/>
        <v/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25" t="str">
        <f>IF(Pontuacao!A205="","",Pontuacao!A205)</f>
        <v/>
      </c>
      <c r="B205" s="26" t="str">
        <f t="array" ref="B205">IFERROR(IF(A205="","",INDEX(Pontuacao!$B$1:$H$1,MATCH(MAX(Pontuacao!B205:H205),Pontuacao!B205:H205,0))),"")</f>
        <v/>
      </c>
      <c r="C205" s="29" t="str">
        <f>IF(A205="","",MAX(Pontuacao!B205:H205))</f>
        <v/>
      </c>
      <c r="D205" s="26" t="str">
        <f t="shared" si="1"/>
        <v/>
      </c>
      <c r="E205" s="26" t="str">
        <f t="shared" si="2"/>
        <v/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25" t="str">
        <f>IF(Pontuacao!A206="","",Pontuacao!A206)</f>
        <v/>
      </c>
      <c r="B206" s="26" t="str">
        <f t="array" ref="B206">IFERROR(IF(A206="","",INDEX(Pontuacao!$B$1:$H$1,MATCH(MAX(Pontuacao!B206:H206),Pontuacao!B206:H206,0))),"")</f>
        <v/>
      </c>
      <c r="C206" s="29" t="str">
        <f>IF(A206="","",MAX(Pontuacao!B206:H206))</f>
        <v/>
      </c>
      <c r="D206" s="26" t="str">
        <f t="shared" si="1"/>
        <v/>
      </c>
      <c r="E206" s="26" t="str">
        <f t="shared" si="2"/>
        <v/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25" t="str">
        <f>IF(Pontuacao!A207="","",Pontuacao!A207)</f>
        <v/>
      </c>
      <c r="B207" s="26" t="str">
        <f t="array" ref="B207">IFERROR(IF(A207="","",INDEX(Pontuacao!$B$1:$H$1,MATCH(MAX(Pontuacao!B207:H207),Pontuacao!B207:H207,0))),"")</f>
        <v/>
      </c>
      <c r="C207" s="29" t="str">
        <f>IF(A207="","",MAX(Pontuacao!B207:H207))</f>
        <v/>
      </c>
      <c r="D207" s="26" t="str">
        <f t="shared" si="1"/>
        <v/>
      </c>
      <c r="E207" s="26" t="str">
        <f t="shared" si="2"/>
        <v/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25" t="str">
        <f>IF(Pontuacao!A208="","",Pontuacao!A208)</f>
        <v/>
      </c>
      <c r="B208" s="26" t="str">
        <f t="array" ref="B208">IFERROR(IF(A208="","",INDEX(Pontuacao!$B$1:$H$1,MATCH(MAX(Pontuacao!B208:H208),Pontuacao!B208:H208,0))),"")</f>
        <v/>
      </c>
      <c r="C208" s="29" t="str">
        <f>IF(A208="","",MAX(Pontuacao!B208:H208))</f>
        <v/>
      </c>
      <c r="D208" s="26" t="str">
        <f t="shared" si="1"/>
        <v/>
      </c>
      <c r="E208" s="26" t="str">
        <f t="shared" si="2"/>
        <v/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25" t="str">
        <f>IF(Pontuacao!A209="","",Pontuacao!A209)</f>
        <v/>
      </c>
      <c r="B209" s="26" t="str">
        <f t="array" ref="B209">IFERROR(IF(A209="","",INDEX(Pontuacao!$B$1:$H$1,MATCH(MAX(Pontuacao!B209:H209),Pontuacao!B209:H209,0))),"")</f>
        <v/>
      </c>
      <c r="C209" s="29" t="str">
        <f>IF(A209="","",MAX(Pontuacao!B209:H209))</f>
        <v/>
      </c>
      <c r="D209" s="26" t="str">
        <f t="shared" si="1"/>
        <v/>
      </c>
      <c r="E209" s="26" t="str">
        <f t="shared" si="2"/>
        <v/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25" t="str">
        <f>IF(Pontuacao!A210="","",Pontuacao!A210)</f>
        <v/>
      </c>
      <c r="B210" s="26" t="str">
        <f t="array" ref="B210">IFERROR(IF(A210="","",INDEX(Pontuacao!$B$1:$H$1,MATCH(MAX(Pontuacao!B210:H210),Pontuacao!B210:H210,0))),"")</f>
        <v/>
      </c>
      <c r="C210" s="29" t="str">
        <f>IF(A210="","",MAX(Pontuacao!B210:H210))</f>
        <v/>
      </c>
      <c r="D210" s="26" t="str">
        <f t="shared" si="1"/>
        <v/>
      </c>
      <c r="E210" s="26" t="str">
        <f t="shared" si="2"/>
        <v/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25" t="str">
        <f>IF(Pontuacao!A211="","",Pontuacao!A211)</f>
        <v/>
      </c>
      <c r="B211" s="26" t="str">
        <f t="array" ref="B211">IFERROR(IF(A211="","",INDEX(Pontuacao!$B$1:$H$1,MATCH(MAX(Pontuacao!B211:H211),Pontuacao!B211:H211,0))),"")</f>
        <v/>
      </c>
      <c r="C211" s="29" t="str">
        <f>IF(A211="","",MAX(Pontuacao!B211:H211))</f>
        <v/>
      </c>
      <c r="D211" s="26" t="str">
        <f t="shared" si="1"/>
        <v/>
      </c>
      <c r="E211" s="26" t="str">
        <f t="shared" si="2"/>
        <v/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25" t="str">
        <f>IF(Pontuacao!A212="","",Pontuacao!A212)</f>
        <v/>
      </c>
      <c r="B212" s="26" t="str">
        <f t="array" ref="B212">IFERROR(IF(A212="","",INDEX(Pontuacao!$B$1:$H$1,MATCH(MAX(Pontuacao!B212:H212),Pontuacao!B212:H212,0))),"")</f>
        <v/>
      </c>
      <c r="C212" s="29" t="str">
        <f>IF(A212="","",MAX(Pontuacao!B212:H212))</f>
        <v/>
      </c>
      <c r="D212" s="26" t="str">
        <f t="shared" si="1"/>
        <v/>
      </c>
      <c r="E212" s="26" t="str">
        <f t="shared" si="2"/>
        <v/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25" t="str">
        <f>IF(Pontuacao!A213="","",Pontuacao!A213)</f>
        <v/>
      </c>
      <c r="B213" s="26" t="str">
        <f t="array" ref="B213">IFERROR(IF(A213="","",INDEX(Pontuacao!$B$1:$H$1,MATCH(MAX(Pontuacao!B213:H213),Pontuacao!B213:H213,0))),"")</f>
        <v/>
      </c>
      <c r="C213" s="29" t="str">
        <f>IF(A213="","",MAX(Pontuacao!B213:H213))</f>
        <v/>
      </c>
      <c r="D213" s="26" t="str">
        <f t="shared" si="1"/>
        <v/>
      </c>
      <c r="E213" s="26" t="str">
        <f t="shared" si="2"/>
        <v/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25" t="str">
        <f>IF(Pontuacao!A214="","",Pontuacao!A214)</f>
        <v/>
      </c>
      <c r="B214" s="26" t="str">
        <f t="array" ref="B214">IFERROR(IF(A214="","",INDEX(Pontuacao!$B$1:$H$1,MATCH(MAX(Pontuacao!B214:H214),Pontuacao!B214:H214,0))),"")</f>
        <v/>
      </c>
      <c r="C214" s="29" t="str">
        <f>IF(A214="","",MAX(Pontuacao!B214:H214))</f>
        <v/>
      </c>
      <c r="D214" s="26" t="str">
        <f t="shared" si="1"/>
        <v/>
      </c>
      <c r="E214" s="26" t="str">
        <f t="shared" si="2"/>
        <v/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25" t="str">
        <f>IF(Pontuacao!A215="","",Pontuacao!A215)</f>
        <v/>
      </c>
      <c r="B215" s="26" t="str">
        <f t="array" ref="B215">IFERROR(IF(A215="","",INDEX(Pontuacao!$B$1:$H$1,MATCH(MAX(Pontuacao!B215:H215),Pontuacao!B215:H215,0))),"")</f>
        <v/>
      </c>
      <c r="C215" s="29" t="str">
        <f>IF(A215="","",MAX(Pontuacao!B215:H215))</f>
        <v/>
      </c>
      <c r="D215" s="26" t="str">
        <f t="shared" si="1"/>
        <v/>
      </c>
      <c r="E215" s="26" t="str">
        <f t="shared" si="2"/>
        <v/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25" t="str">
        <f>IF(Pontuacao!A216="","",Pontuacao!A216)</f>
        <v/>
      </c>
      <c r="B216" s="26" t="str">
        <f t="array" ref="B216">IFERROR(IF(A216="","",INDEX(Pontuacao!$B$1:$H$1,MATCH(MAX(Pontuacao!B216:H216),Pontuacao!B216:H216,0))),"")</f>
        <v/>
      </c>
      <c r="C216" s="29" t="str">
        <f>IF(A216="","",MAX(Pontuacao!B216:H216))</f>
        <v/>
      </c>
      <c r="D216" s="26" t="str">
        <f t="shared" si="1"/>
        <v/>
      </c>
      <c r="E216" s="26" t="str">
        <f t="shared" si="2"/>
        <v/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25" t="str">
        <f>IF(Pontuacao!A217="","",Pontuacao!A217)</f>
        <v/>
      </c>
      <c r="B217" s="26" t="str">
        <f t="array" ref="B217">IFERROR(IF(A217="","",INDEX(Pontuacao!$B$1:$H$1,MATCH(MAX(Pontuacao!B217:H217),Pontuacao!B217:H217,0))),"")</f>
        <v/>
      </c>
      <c r="C217" s="29" t="str">
        <f>IF(A217="","",MAX(Pontuacao!B217:H217))</f>
        <v/>
      </c>
      <c r="D217" s="26" t="str">
        <f t="shared" si="1"/>
        <v/>
      </c>
      <c r="E217" s="26" t="str">
        <f t="shared" si="2"/>
        <v/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25" t="str">
        <f>IF(Pontuacao!A218="","",Pontuacao!A218)</f>
        <v/>
      </c>
      <c r="B218" s="26" t="str">
        <f t="array" ref="B218">IFERROR(IF(A218="","",INDEX(Pontuacao!$B$1:$H$1,MATCH(MAX(Pontuacao!B218:H218),Pontuacao!B218:H218,0))),"")</f>
        <v/>
      </c>
      <c r="C218" s="29" t="str">
        <f>IF(A218="","",MAX(Pontuacao!B218:H218))</f>
        <v/>
      </c>
      <c r="D218" s="26" t="str">
        <f t="shared" si="1"/>
        <v/>
      </c>
      <c r="E218" s="26" t="str">
        <f t="shared" si="2"/>
        <v/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25" t="str">
        <f>IF(Pontuacao!A219="","",Pontuacao!A219)</f>
        <v/>
      </c>
      <c r="B219" s="26" t="str">
        <f t="array" ref="B219">IFERROR(IF(A219="","",INDEX(Pontuacao!$B$1:$H$1,MATCH(MAX(Pontuacao!B219:H219),Pontuacao!B219:H219,0))),"")</f>
        <v/>
      </c>
      <c r="C219" s="29" t="str">
        <f>IF(A219="","",MAX(Pontuacao!B219:H219))</f>
        <v/>
      </c>
      <c r="D219" s="26" t="str">
        <f t="shared" si="1"/>
        <v/>
      </c>
      <c r="E219" s="26" t="str">
        <f t="shared" si="2"/>
        <v/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25" t="str">
        <f>IF(Pontuacao!A220="","",Pontuacao!A220)</f>
        <v/>
      </c>
      <c r="B220" s="26" t="str">
        <f t="array" ref="B220">IFERROR(IF(A220="","",INDEX(Pontuacao!$B$1:$H$1,MATCH(MAX(Pontuacao!B220:H220),Pontuacao!B220:H220,0))),"")</f>
        <v/>
      </c>
      <c r="C220" s="29" t="str">
        <f>IF(A220="","",MAX(Pontuacao!B220:H220))</f>
        <v/>
      </c>
      <c r="D220" s="26" t="str">
        <f t="shared" si="1"/>
        <v/>
      </c>
      <c r="E220" s="26" t="str">
        <f t="shared" si="2"/>
        <v/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25" t="str">
        <f>IF(Pontuacao!A221="","",Pontuacao!A221)</f>
        <v/>
      </c>
      <c r="B221" s="26" t="str">
        <f t="array" ref="B221">IFERROR(IF(A221="","",INDEX(Pontuacao!$B$1:$H$1,MATCH(MAX(Pontuacao!B221:H221),Pontuacao!B221:H221,0))),"")</f>
        <v/>
      </c>
      <c r="C221" s="29" t="str">
        <f>IF(A221="","",MAX(Pontuacao!B221:H221))</f>
        <v/>
      </c>
      <c r="D221" s="26" t="str">
        <f t="shared" si="1"/>
        <v/>
      </c>
      <c r="E221" s="26" t="str">
        <f t="shared" si="2"/>
        <v/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25" t="str">
        <f>IF(Pontuacao!A222="","",Pontuacao!A222)</f>
        <v/>
      </c>
      <c r="B222" s="26" t="str">
        <f t="array" ref="B222">IFERROR(IF(A222="","",INDEX(Pontuacao!$B$1:$H$1,MATCH(MAX(Pontuacao!B222:H222),Pontuacao!B222:H222,0))),"")</f>
        <v/>
      </c>
      <c r="C222" s="29" t="str">
        <f>IF(A222="","",MAX(Pontuacao!B222:H222))</f>
        <v/>
      </c>
      <c r="D222" s="26" t="str">
        <f t="shared" si="1"/>
        <v/>
      </c>
      <c r="E222" s="26" t="str">
        <f t="shared" si="2"/>
        <v/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25" t="str">
        <f>IF(Pontuacao!A223="","",Pontuacao!A223)</f>
        <v/>
      </c>
      <c r="B223" s="26" t="str">
        <f t="array" ref="B223">IFERROR(IF(A223="","",INDEX(Pontuacao!$B$1:$H$1,MATCH(MAX(Pontuacao!B223:H223),Pontuacao!B223:H223,0))),"")</f>
        <v/>
      </c>
      <c r="C223" s="29" t="str">
        <f>IF(A223="","",MAX(Pontuacao!B223:H223))</f>
        <v/>
      </c>
      <c r="D223" s="26" t="str">
        <f t="shared" si="1"/>
        <v/>
      </c>
      <c r="E223" s="26" t="str">
        <f t="shared" si="2"/>
        <v/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25" t="str">
        <f>IF(Pontuacao!A224="","",Pontuacao!A224)</f>
        <v/>
      </c>
      <c r="B224" s="26" t="str">
        <f t="array" ref="B224">IFERROR(IF(A224="","",INDEX(Pontuacao!$B$1:$H$1,MATCH(MAX(Pontuacao!B224:H224),Pontuacao!B224:H224,0))),"")</f>
        <v/>
      </c>
      <c r="C224" s="29" t="str">
        <f>IF(A224="","",MAX(Pontuacao!B224:H224))</f>
        <v/>
      </c>
      <c r="D224" s="26" t="str">
        <f t="shared" si="1"/>
        <v/>
      </c>
      <c r="E224" s="26" t="str">
        <f t="shared" si="2"/>
        <v/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25" t="str">
        <f>IF(Pontuacao!A225="","",Pontuacao!A225)</f>
        <v/>
      </c>
      <c r="B225" s="26" t="str">
        <f t="array" ref="B225">IFERROR(IF(A225="","",INDEX(Pontuacao!$B$1:$H$1,MATCH(MAX(Pontuacao!B225:H225),Pontuacao!B225:H225,0))),"")</f>
        <v/>
      </c>
      <c r="C225" s="29" t="str">
        <f>IF(A225="","",MAX(Pontuacao!B225:H225))</f>
        <v/>
      </c>
      <c r="D225" s="26" t="str">
        <f t="shared" si="1"/>
        <v/>
      </c>
      <c r="E225" s="26" t="str">
        <f t="shared" si="2"/>
        <v/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25" t="str">
        <f>IF(Pontuacao!A226="","",Pontuacao!A226)</f>
        <v/>
      </c>
      <c r="B226" s="26" t="str">
        <f t="array" ref="B226">IFERROR(IF(A226="","",INDEX(Pontuacao!$B$1:$H$1,MATCH(MAX(Pontuacao!B226:H226),Pontuacao!B226:H226,0))),"")</f>
        <v/>
      </c>
      <c r="C226" s="29" t="str">
        <f>IF(A226="","",MAX(Pontuacao!B226:H226))</f>
        <v/>
      </c>
      <c r="D226" s="26" t="str">
        <f t="shared" si="1"/>
        <v/>
      </c>
      <c r="E226" s="26" t="str">
        <f t="shared" si="2"/>
        <v/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25" t="str">
        <f>IF(Pontuacao!A227="","",Pontuacao!A227)</f>
        <v/>
      </c>
      <c r="B227" s="26" t="str">
        <f t="array" ref="B227">IFERROR(IF(A227="","",INDEX(Pontuacao!$B$1:$H$1,MATCH(MAX(Pontuacao!B227:H227),Pontuacao!B227:H227,0))),"")</f>
        <v/>
      </c>
      <c r="C227" s="29" t="str">
        <f>IF(A227="","",MAX(Pontuacao!B227:H227))</f>
        <v/>
      </c>
      <c r="D227" s="26" t="str">
        <f t="shared" si="1"/>
        <v/>
      </c>
      <c r="E227" s="26" t="str">
        <f t="shared" si="2"/>
        <v/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25" t="str">
        <f>IF(Pontuacao!A228="","",Pontuacao!A228)</f>
        <v/>
      </c>
      <c r="B228" s="26" t="str">
        <f t="array" ref="B228">IFERROR(IF(A228="","",INDEX(Pontuacao!$B$1:$H$1,MATCH(MAX(Pontuacao!B228:H228),Pontuacao!B228:H228,0))),"")</f>
        <v/>
      </c>
      <c r="C228" s="29" t="str">
        <f>IF(A228="","",MAX(Pontuacao!B228:H228))</f>
        <v/>
      </c>
      <c r="D228" s="26" t="str">
        <f t="shared" si="1"/>
        <v/>
      </c>
      <c r="E228" s="26" t="str">
        <f t="shared" si="2"/>
        <v/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25" t="str">
        <f>IF(Pontuacao!A229="","",Pontuacao!A229)</f>
        <v/>
      </c>
      <c r="B229" s="26" t="str">
        <f t="array" ref="B229">IFERROR(IF(A229="","",INDEX(Pontuacao!$B$1:$H$1,MATCH(MAX(Pontuacao!B229:H229),Pontuacao!B229:H229,0))),"")</f>
        <v/>
      </c>
      <c r="C229" s="29" t="str">
        <f>IF(A229="","",MAX(Pontuacao!B229:H229))</f>
        <v/>
      </c>
      <c r="D229" s="26" t="str">
        <f t="shared" si="1"/>
        <v/>
      </c>
      <c r="E229" s="26" t="str">
        <f t="shared" si="2"/>
        <v/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25" t="str">
        <f>IF(Pontuacao!A230="","",Pontuacao!A230)</f>
        <v/>
      </c>
      <c r="B230" s="26" t="str">
        <f t="array" ref="B230">IFERROR(IF(A230="","",INDEX(Pontuacao!$B$1:$H$1,MATCH(MAX(Pontuacao!B230:H230),Pontuacao!B230:H230,0))),"")</f>
        <v/>
      </c>
      <c r="C230" s="29" t="str">
        <f>IF(A230="","",MAX(Pontuacao!B230:H230))</f>
        <v/>
      </c>
      <c r="D230" s="26" t="str">
        <f t="shared" si="1"/>
        <v/>
      </c>
      <c r="E230" s="26" t="str">
        <f t="shared" si="2"/>
        <v/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25" t="str">
        <f>IF(Pontuacao!A231="","",Pontuacao!A231)</f>
        <v/>
      </c>
      <c r="B231" s="26" t="str">
        <f t="array" ref="B231">IFERROR(IF(A231="","",INDEX(Pontuacao!$B$1:$H$1,MATCH(MAX(Pontuacao!B231:H231),Pontuacao!B231:H231,0))),"")</f>
        <v/>
      </c>
      <c r="C231" s="29" t="str">
        <f>IF(A231="","",MAX(Pontuacao!B231:H231))</f>
        <v/>
      </c>
      <c r="D231" s="26" t="str">
        <f t="shared" si="1"/>
        <v/>
      </c>
      <c r="E231" s="26" t="str">
        <f t="shared" si="2"/>
        <v/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25" t="str">
        <f>IF(Pontuacao!A232="","",Pontuacao!A232)</f>
        <v/>
      </c>
      <c r="B232" s="26" t="str">
        <f t="array" ref="B232">IFERROR(IF(A232="","",INDEX(Pontuacao!$B$1:$H$1,MATCH(MAX(Pontuacao!B232:H232),Pontuacao!B232:H232,0))),"")</f>
        <v/>
      </c>
      <c r="C232" s="29" t="str">
        <f>IF(A232="","",MAX(Pontuacao!B232:H232))</f>
        <v/>
      </c>
      <c r="D232" s="26" t="str">
        <f t="shared" si="1"/>
        <v/>
      </c>
      <c r="E232" s="26" t="str">
        <f t="shared" si="2"/>
        <v/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25" t="str">
        <f>IF(Pontuacao!A233="","",Pontuacao!A233)</f>
        <v/>
      </c>
      <c r="B233" s="26" t="str">
        <f t="array" ref="B233">IFERROR(IF(A233="","",INDEX(Pontuacao!$B$1:$H$1,MATCH(MAX(Pontuacao!B233:H233),Pontuacao!B233:H233,0))),"")</f>
        <v/>
      </c>
      <c r="C233" s="29" t="str">
        <f>IF(A233="","",MAX(Pontuacao!B233:H233))</f>
        <v/>
      </c>
      <c r="D233" s="26" t="str">
        <f t="shared" si="1"/>
        <v/>
      </c>
      <c r="E233" s="26" t="str">
        <f t="shared" si="2"/>
        <v/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25" t="str">
        <f>IF(Pontuacao!A234="","",Pontuacao!A234)</f>
        <v/>
      </c>
      <c r="B234" s="26" t="str">
        <f t="array" ref="B234">IFERROR(IF(A234="","",INDEX(Pontuacao!$B$1:$H$1,MATCH(MAX(Pontuacao!B234:H234),Pontuacao!B234:H234,0))),"")</f>
        <v/>
      </c>
      <c r="C234" s="29" t="str">
        <f>IF(A234="","",MAX(Pontuacao!B234:H234))</f>
        <v/>
      </c>
      <c r="D234" s="26" t="str">
        <f t="shared" si="1"/>
        <v/>
      </c>
      <c r="E234" s="26" t="str">
        <f t="shared" si="2"/>
        <v/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25" t="str">
        <f>IF(Pontuacao!A235="","",Pontuacao!A235)</f>
        <v/>
      </c>
      <c r="B235" s="26" t="str">
        <f t="array" ref="B235">IFERROR(IF(A235="","",INDEX(Pontuacao!$B$1:$H$1,MATCH(MAX(Pontuacao!B235:H235),Pontuacao!B235:H235,0))),"")</f>
        <v/>
      </c>
      <c r="C235" s="29" t="str">
        <f>IF(A235="","",MAX(Pontuacao!B235:H235))</f>
        <v/>
      </c>
      <c r="D235" s="26" t="str">
        <f t="shared" si="1"/>
        <v/>
      </c>
      <c r="E235" s="26" t="str">
        <f t="shared" si="2"/>
        <v/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25" t="str">
        <f>IF(Pontuacao!A236="","",Pontuacao!A236)</f>
        <v/>
      </c>
      <c r="B236" s="26" t="str">
        <f t="array" ref="B236">IFERROR(IF(A236="","",INDEX(Pontuacao!$B$1:$H$1,MATCH(MAX(Pontuacao!B236:H236),Pontuacao!B236:H236,0))),"")</f>
        <v/>
      </c>
      <c r="C236" s="29" t="str">
        <f>IF(A236="","",MAX(Pontuacao!B236:H236))</f>
        <v/>
      </c>
      <c r="D236" s="26" t="str">
        <f t="shared" si="1"/>
        <v/>
      </c>
      <c r="E236" s="26" t="str">
        <f t="shared" si="2"/>
        <v/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25" t="str">
        <f>IF(Pontuacao!A237="","",Pontuacao!A237)</f>
        <v/>
      </c>
      <c r="B237" s="26" t="str">
        <f t="array" ref="B237">IFERROR(IF(A237="","",INDEX(Pontuacao!$B$1:$H$1,MATCH(MAX(Pontuacao!B237:H237),Pontuacao!B237:H237,0))),"")</f>
        <v/>
      </c>
      <c r="C237" s="29" t="str">
        <f>IF(A237="","",MAX(Pontuacao!B237:H237))</f>
        <v/>
      </c>
      <c r="D237" s="26" t="str">
        <f t="shared" si="1"/>
        <v/>
      </c>
      <c r="E237" s="26" t="str">
        <f t="shared" si="2"/>
        <v/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25" t="str">
        <f>IF(Pontuacao!A238="","",Pontuacao!A238)</f>
        <v/>
      </c>
      <c r="B238" s="26" t="str">
        <f t="array" ref="B238">IFERROR(IF(A238="","",INDEX(Pontuacao!$B$1:$H$1,MATCH(MAX(Pontuacao!B238:H238),Pontuacao!B238:H238,0))),"")</f>
        <v/>
      </c>
      <c r="C238" s="29" t="str">
        <f>IF(A238="","",MAX(Pontuacao!B238:H238))</f>
        <v/>
      </c>
      <c r="D238" s="26" t="str">
        <f t="shared" si="1"/>
        <v/>
      </c>
      <c r="E238" s="26" t="str">
        <f t="shared" si="2"/>
        <v/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25" t="str">
        <f>IF(Pontuacao!A239="","",Pontuacao!A239)</f>
        <v/>
      </c>
      <c r="B239" s="26" t="str">
        <f t="array" ref="B239">IFERROR(IF(A239="","",INDEX(Pontuacao!$B$1:$H$1,MATCH(MAX(Pontuacao!B239:H239),Pontuacao!B239:H239,0))),"")</f>
        <v/>
      </c>
      <c r="C239" s="29" t="str">
        <f>IF(A239="","",MAX(Pontuacao!B239:H239))</f>
        <v/>
      </c>
      <c r="D239" s="26" t="str">
        <f t="shared" si="1"/>
        <v/>
      </c>
      <c r="E239" s="26" t="str">
        <f t="shared" si="2"/>
        <v/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25" t="str">
        <f>IF(Pontuacao!A240="","",Pontuacao!A240)</f>
        <v/>
      </c>
      <c r="B240" s="26" t="str">
        <f t="array" ref="B240">IFERROR(IF(A240="","",INDEX(Pontuacao!$B$1:$H$1,MATCH(MAX(Pontuacao!B240:H240),Pontuacao!B240:H240,0))),"")</f>
        <v/>
      </c>
      <c r="C240" s="29" t="str">
        <f>IF(A240="","",MAX(Pontuacao!B240:H240))</f>
        <v/>
      </c>
      <c r="D240" s="26" t="str">
        <f t="shared" si="1"/>
        <v/>
      </c>
      <c r="E240" s="26" t="str">
        <f t="shared" si="2"/>
        <v/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25" t="str">
        <f>IF(Pontuacao!A241="","",Pontuacao!A241)</f>
        <v/>
      </c>
      <c r="B241" s="26" t="str">
        <f t="array" ref="B241">IFERROR(IF(A241="","",INDEX(Pontuacao!$B$1:$H$1,MATCH(MAX(Pontuacao!B241:H241),Pontuacao!B241:H241,0))),"")</f>
        <v/>
      </c>
      <c r="C241" s="29" t="str">
        <f>IF(A241="","",MAX(Pontuacao!B241:H241))</f>
        <v/>
      </c>
      <c r="D241" s="26" t="str">
        <f t="shared" si="1"/>
        <v/>
      </c>
      <c r="E241" s="26" t="str">
        <f t="shared" si="2"/>
        <v/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25" t="str">
        <f>IF(Pontuacao!A242="","",Pontuacao!A242)</f>
        <v/>
      </c>
      <c r="B242" s="26" t="str">
        <f t="array" ref="B242">IFERROR(IF(A242="","",INDEX(Pontuacao!$B$1:$H$1,MATCH(MAX(Pontuacao!B242:H242),Pontuacao!B242:H242,0))),"")</f>
        <v/>
      </c>
      <c r="C242" s="29" t="str">
        <f>IF(A242="","",MAX(Pontuacao!B242:H242))</f>
        <v/>
      </c>
      <c r="D242" s="26" t="str">
        <f t="shared" si="1"/>
        <v/>
      </c>
      <c r="E242" s="26" t="str">
        <f t="shared" si="2"/>
        <v/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25" t="str">
        <f>IF(Pontuacao!A243="","",Pontuacao!A243)</f>
        <v/>
      </c>
      <c r="B243" s="26" t="str">
        <f t="array" ref="B243">IFERROR(IF(A243="","",INDEX(Pontuacao!$B$1:$H$1,MATCH(MAX(Pontuacao!B243:H243),Pontuacao!B243:H243,0))),"")</f>
        <v/>
      </c>
      <c r="C243" s="29" t="str">
        <f>IF(A243="","",MAX(Pontuacao!B243:H243))</f>
        <v/>
      </c>
      <c r="D243" s="26" t="str">
        <f t="shared" si="1"/>
        <v/>
      </c>
      <c r="E243" s="26" t="str">
        <f t="shared" si="2"/>
        <v/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25" t="str">
        <f>IF(Pontuacao!A244="","",Pontuacao!A244)</f>
        <v/>
      </c>
      <c r="B244" s="26" t="str">
        <f t="array" ref="B244">IFERROR(IF(A244="","",INDEX(Pontuacao!$B$1:$H$1,MATCH(MAX(Pontuacao!B244:H244),Pontuacao!B244:H244,0))),"")</f>
        <v/>
      </c>
      <c r="C244" s="29" t="str">
        <f>IF(A244="","",MAX(Pontuacao!B244:H244))</f>
        <v/>
      </c>
      <c r="D244" s="26" t="str">
        <f t="shared" si="1"/>
        <v/>
      </c>
      <c r="E244" s="26" t="str">
        <f t="shared" si="2"/>
        <v/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25" t="str">
        <f>IF(Pontuacao!A245="","",Pontuacao!A245)</f>
        <v/>
      </c>
      <c r="B245" s="26" t="str">
        <f t="array" ref="B245">IFERROR(IF(A245="","",INDEX(Pontuacao!$B$1:$H$1,MATCH(MAX(Pontuacao!B245:H245),Pontuacao!B245:H245,0))),"")</f>
        <v/>
      </c>
      <c r="C245" s="29" t="str">
        <f>IF(A245="","",MAX(Pontuacao!B245:H245))</f>
        <v/>
      </c>
      <c r="D245" s="26" t="str">
        <f t="shared" si="1"/>
        <v/>
      </c>
      <c r="E245" s="26" t="str">
        <f t="shared" si="2"/>
        <v/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25" t="str">
        <f>IF(Pontuacao!A246="","",Pontuacao!A246)</f>
        <v/>
      </c>
      <c r="B246" s="26" t="str">
        <f t="array" ref="B246">IFERROR(IF(A246="","",INDEX(Pontuacao!$B$1:$H$1,MATCH(MAX(Pontuacao!B246:H246),Pontuacao!B246:H246,0))),"")</f>
        <v/>
      </c>
      <c r="C246" s="29" t="str">
        <f>IF(A246="","",MAX(Pontuacao!B246:H246))</f>
        <v/>
      </c>
      <c r="D246" s="26" t="str">
        <f t="shared" si="1"/>
        <v/>
      </c>
      <c r="E246" s="26" t="str">
        <f t="shared" si="2"/>
        <v/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25" t="str">
        <f>IF(Pontuacao!A247="","",Pontuacao!A247)</f>
        <v/>
      </c>
      <c r="B247" s="26" t="str">
        <f t="array" ref="B247">IFERROR(IF(A247="","",INDEX(Pontuacao!$B$1:$H$1,MATCH(MAX(Pontuacao!B247:H247),Pontuacao!B247:H247,0))),"")</f>
        <v/>
      </c>
      <c r="C247" s="29" t="str">
        <f>IF(A247="","",MAX(Pontuacao!B247:H247))</f>
        <v/>
      </c>
      <c r="D247" s="26" t="str">
        <f t="shared" si="1"/>
        <v/>
      </c>
      <c r="E247" s="26" t="str">
        <f t="shared" si="2"/>
        <v/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25" t="str">
        <f>IF(Pontuacao!A248="","",Pontuacao!A248)</f>
        <v/>
      </c>
      <c r="B248" s="26" t="str">
        <f t="array" ref="B248">IFERROR(IF(A248="","",INDEX(Pontuacao!$B$1:$H$1,MATCH(MAX(Pontuacao!B248:H248),Pontuacao!B248:H248,0))),"")</f>
        <v/>
      </c>
      <c r="C248" s="29" t="str">
        <f>IF(A248="","",MAX(Pontuacao!B248:H248))</f>
        <v/>
      </c>
      <c r="D248" s="26" t="str">
        <f t="shared" si="1"/>
        <v/>
      </c>
      <c r="E248" s="26" t="str">
        <f t="shared" si="2"/>
        <v/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25" t="str">
        <f>IF(Pontuacao!A249="","",Pontuacao!A249)</f>
        <v/>
      </c>
      <c r="B249" s="26" t="str">
        <f t="array" ref="B249">IFERROR(IF(A249="","",INDEX(Pontuacao!$B$1:$H$1,MATCH(MAX(Pontuacao!B249:H249),Pontuacao!B249:H249,0))),"")</f>
        <v/>
      </c>
      <c r="C249" s="29" t="str">
        <f>IF(A249="","",MAX(Pontuacao!B249:H249))</f>
        <v/>
      </c>
      <c r="D249" s="26" t="str">
        <f t="shared" si="1"/>
        <v/>
      </c>
      <c r="E249" s="26" t="str">
        <f t="shared" si="2"/>
        <v/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25" t="str">
        <f>IF(Pontuacao!A250="","",Pontuacao!A250)</f>
        <v/>
      </c>
      <c r="B250" s="26" t="str">
        <f t="array" ref="B250">IFERROR(IF(A250="","",INDEX(Pontuacao!$B$1:$H$1,MATCH(MAX(Pontuacao!B250:H250),Pontuacao!B250:H250,0))),"")</f>
        <v/>
      </c>
      <c r="C250" s="29" t="str">
        <f>IF(A250="","",MAX(Pontuacao!B250:H250))</f>
        <v/>
      </c>
      <c r="D250" s="26" t="str">
        <f t="shared" si="1"/>
        <v/>
      </c>
      <c r="E250" s="26" t="str">
        <f t="shared" si="2"/>
        <v/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25" t="str">
        <f>IF(Pontuacao!A251="","",Pontuacao!A251)</f>
        <v/>
      </c>
      <c r="B251" s="26" t="str">
        <f t="array" ref="B251">IFERROR(IF(A251="","",INDEX(Pontuacao!$B$1:$H$1,MATCH(MAX(Pontuacao!B251:H251),Pontuacao!B251:H251,0))),"")</f>
        <v/>
      </c>
      <c r="C251" s="29" t="str">
        <f>IF(A251="","",MAX(Pontuacao!B251:H251))</f>
        <v/>
      </c>
      <c r="D251" s="26" t="str">
        <f t="shared" si="1"/>
        <v/>
      </c>
      <c r="E251" s="26" t="str">
        <f t="shared" si="2"/>
        <v/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25" t="str">
        <f>IF(Pontuacao!A252="","",Pontuacao!A252)</f>
        <v/>
      </c>
      <c r="B252" s="26" t="str">
        <f t="array" ref="B252">IFERROR(IF(A252="","",INDEX(Pontuacao!$B$1:$H$1,MATCH(MAX(Pontuacao!B252:H252),Pontuacao!B252:H252,0))),"")</f>
        <v/>
      </c>
      <c r="C252" s="29" t="str">
        <f>IF(A252="","",MAX(Pontuacao!B252:H252))</f>
        <v/>
      </c>
      <c r="D252" s="26" t="str">
        <f t="shared" si="1"/>
        <v/>
      </c>
      <c r="E252" s="26" t="str">
        <f t="shared" si="2"/>
        <v/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25" t="str">
        <f>IF(Pontuacao!A253="","",Pontuacao!A253)</f>
        <v/>
      </c>
      <c r="B253" s="26" t="str">
        <f t="array" ref="B253">IFERROR(IF(A253="","",INDEX(Pontuacao!$B$1:$H$1,MATCH(MAX(Pontuacao!B253:H253),Pontuacao!B253:H253,0))),"")</f>
        <v/>
      </c>
      <c r="C253" s="29" t="str">
        <f>IF(A253="","",MAX(Pontuacao!B253:H253))</f>
        <v/>
      </c>
      <c r="D253" s="26" t="str">
        <f t="shared" si="1"/>
        <v/>
      </c>
      <c r="E253" s="26" t="str">
        <f t="shared" si="2"/>
        <v/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0" customHeight="1">
      <c r="A254" s="25" t="str">
        <f>IF(Pontuacao!A254="","",Pontuacao!A254)</f>
        <v/>
      </c>
      <c r="B254" s="26" t="str">
        <f t="array" ref="B254">IFERROR(IF(A254="","",INDEX(Pontuacao!$B$1:$H$1,MATCH(MAX(Pontuacao!B254:H254),Pontuacao!B254:H254,0))),"")</f>
        <v/>
      </c>
      <c r="C254" s="29" t="str">
        <f>IF(A254="","",MAX(Pontuacao!B254:H254))</f>
        <v/>
      </c>
      <c r="D254" s="26" t="str">
        <f t="shared" si="1"/>
        <v/>
      </c>
      <c r="E254" s="26" t="str">
        <f t="shared" si="2"/>
        <v/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0" customHeight="1">
      <c r="A255" s="25" t="str">
        <f>IF(Pontuacao!A255="","",Pontuacao!A255)</f>
        <v/>
      </c>
      <c r="B255" s="26" t="str">
        <f t="array" ref="B255">IFERROR(IF(A255="","",INDEX(Pontuacao!$B$1:$H$1,MATCH(MAX(Pontuacao!B255:H255),Pontuacao!B255:H255,0))),"")</f>
        <v/>
      </c>
      <c r="C255" s="29" t="str">
        <f>IF(A255="","",MAX(Pontuacao!B255:H255))</f>
        <v/>
      </c>
      <c r="D255" s="26" t="str">
        <f t="shared" si="1"/>
        <v/>
      </c>
      <c r="E255" s="26" t="str">
        <f t="shared" si="2"/>
        <v/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0" customHeight="1">
      <c r="A256" s="25" t="str">
        <f>IF(Pontuacao!A256="","",Pontuacao!A256)</f>
        <v/>
      </c>
      <c r="B256" s="26" t="str">
        <f t="array" ref="B256">IFERROR(IF(A256="","",INDEX(Pontuacao!$B$1:$H$1,MATCH(MAX(Pontuacao!B256:H256),Pontuacao!B256:H256,0))),"")</f>
        <v/>
      </c>
      <c r="C256" s="29" t="str">
        <f>IF(A256="","",MAX(Pontuacao!B256:H256))</f>
        <v/>
      </c>
      <c r="D256" s="26" t="str">
        <f t="shared" si="1"/>
        <v/>
      </c>
      <c r="E256" s="26" t="str">
        <f t="shared" si="2"/>
        <v/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0" customHeight="1">
      <c r="A257" s="25" t="str">
        <f>IF(Pontuacao!A257="","",Pontuacao!A257)</f>
        <v/>
      </c>
      <c r="B257" s="26" t="str">
        <f t="array" ref="B257">IFERROR(IF(A257="","",INDEX(Pontuacao!$B$1:$H$1,MATCH(MAX(Pontuacao!B257:H257),Pontuacao!B257:H257,0))),"")</f>
        <v/>
      </c>
      <c r="C257" s="29" t="str">
        <f>IF(A257="","",MAX(Pontuacao!B257:H257))</f>
        <v/>
      </c>
      <c r="D257" s="26" t="str">
        <f t="shared" si="1"/>
        <v/>
      </c>
      <c r="E257" s="26" t="str">
        <f t="shared" si="2"/>
        <v/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25" t="str">
        <f>IF(Pontuacao!A258="","",Pontuacao!A258)</f>
        <v/>
      </c>
      <c r="B258" s="26" t="str">
        <f t="array" ref="B258">IFERROR(IF(A258="","",INDEX(Pontuacao!$B$1:$H$1,MATCH(MAX(Pontuacao!B258:H258),Pontuacao!B258:H258,0))),"")</f>
        <v/>
      </c>
      <c r="C258" s="29" t="str">
        <f>IF(A258="","",MAX(Pontuacao!B258:H258))</f>
        <v/>
      </c>
      <c r="D258" s="26" t="str">
        <f t="shared" si="1"/>
        <v/>
      </c>
      <c r="E258" s="26" t="str">
        <f t="shared" si="2"/>
        <v/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25" t="str">
        <f>IF(Pontuacao!A259="","",Pontuacao!A259)</f>
        <v/>
      </c>
      <c r="B259" s="26" t="str">
        <f t="array" ref="B259">IFERROR(IF(A259="","",INDEX(Pontuacao!$B$1:$H$1,MATCH(MAX(Pontuacao!B259:H259),Pontuacao!B259:H259,0))),"")</f>
        <v/>
      </c>
      <c r="C259" s="29" t="str">
        <f>IF(A259="","",MAX(Pontuacao!B259:H259))</f>
        <v/>
      </c>
      <c r="D259" s="26" t="str">
        <f t="shared" si="1"/>
        <v/>
      </c>
      <c r="E259" s="26" t="str">
        <f t="shared" si="2"/>
        <v/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25" t="str">
        <f>IF(Pontuacao!A260="","",Pontuacao!A260)</f>
        <v/>
      </c>
      <c r="B260" s="26" t="str">
        <f t="array" ref="B260">IFERROR(IF(A260="","",INDEX(Pontuacao!$B$1:$H$1,MATCH(MAX(Pontuacao!B260:H260),Pontuacao!B260:H260,0))),"")</f>
        <v/>
      </c>
      <c r="C260" s="29" t="str">
        <f>IF(A260="","",MAX(Pontuacao!B260:H260))</f>
        <v/>
      </c>
      <c r="D260" s="26" t="str">
        <f t="shared" si="1"/>
        <v/>
      </c>
      <c r="E260" s="26" t="str">
        <f t="shared" si="2"/>
        <v/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25" t="str">
        <f>IF(Pontuacao!A261="","",Pontuacao!A261)</f>
        <v/>
      </c>
      <c r="B261" s="26" t="str">
        <f t="array" ref="B261">IFERROR(IF(A261="","",INDEX(Pontuacao!$B$1:$H$1,MATCH(MAX(Pontuacao!B261:H261),Pontuacao!B261:H261,0))),"")</f>
        <v/>
      </c>
      <c r="C261" s="29" t="str">
        <f>IF(A261="","",MAX(Pontuacao!B261:H261))</f>
        <v/>
      </c>
      <c r="D261" s="26" t="str">
        <f t="shared" si="1"/>
        <v/>
      </c>
      <c r="E261" s="26" t="str">
        <f t="shared" si="2"/>
        <v/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0" customHeight="1">
      <c r="A262" s="25" t="str">
        <f>IF(Pontuacao!A262="","",Pontuacao!A262)</f>
        <v/>
      </c>
      <c r="B262" s="26" t="str">
        <f t="array" ref="B262">IFERROR(IF(A262="","",INDEX(Pontuacao!$B$1:$H$1,MATCH(MAX(Pontuacao!B262:H262),Pontuacao!B262:H262,0))),"")</f>
        <v/>
      </c>
      <c r="C262" s="29" t="str">
        <f>IF(A262="","",MAX(Pontuacao!B262:H262))</f>
        <v/>
      </c>
      <c r="D262" s="26" t="str">
        <f t="shared" si="1"/>
        <v/>
      </c>
      <c r="E262" s="26" t="str">
        <f t="shared" si="2"/>
        <v/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0" customHeight="1">
      <c r="A263" s="25" t="str">
        <f>IF(Pontuacao!A263="","",Pontuacao!A263)</f>
        <v/>
      </c>
      <c r="B263" s="26" t="str">
        <f t="array" ref="B263">IFERROR(IF(A263="","",INDEX(Pontuacao!$B$1:$H$1,MATCH(MAX(Pontuacao!B263:H263),Pontuacao!B263:H263,0))),"")</f>
        <v/>
      </c>
      <c r="C263" s="29" t="str">
        <f>IF(A263="","",MAX(Pontuacao!B263:H263))</f>
        <v/>
      </c>
      <c r="D263" s="26" t="str">
        <f t="shared" si="1"/>
        <v/>
      </c>
      <c r="E263" s="26" t="str">
        <f t="shared" si="2"/>
        <v/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0" customHeight="1">
      <c r="A264" s="25" t="str">
        <f>IF(Pontuacao!A264="","",Pontuacao!A264)</f>
        <v/>
      </c>
      <c r="B264" s="26" t="str">
        <f t="array" ref="B264">IFERROR(IF(A264="","",INDEX(Pontuacao!$B$1:$H$1,MATCH(MAX(Pontuacao!B264:H264),Pontuacao!B264:H264,0))),"")</f>
        <v/>
      </c>
      <c r="C264" s="29" t="str">
        <f>IF(A264="","",MAX(Pontuacao!B264:H264))</f>
        <v/>
      </c>
      <c r="D264" s="26" t="str">
        <f t="shared" si="1"/>
        <v/>
      </c>
      <c r="E264" s="26" t="str">
        <f t="shared" si="2"/>
        <v/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0" customHeight="1">
      <c r="A265" s="25" t="str">
        <f>IF(Pontuacao!A265="","",Pontuacao!A265)</f>
        <v/>
      </c>
      <c r="B265" s="26" t="str">
        <f t="array" ref="B265">IFERROR(IF(A265="","",INDEX(Pontuacao!$B$1:$H$1,MATCH(MAX(Pontuacao!B265:H265),Pontuacao!B265:H265,0))),"")</f>
        <v/>
      </c>
      <c r="C265" s="29" t="str">
        <f>IF(A265="","",MAX(Pontuacao!B265:H265))</f>
        <v/>
      </c>
      <c r="D265" s="26" t="str">
        <f t="shared" si="1"/>
        <v/>
      </c>
      <c r="E265" s="26" t="str">
        <f t="shared" si="2"/>
        <v/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0" customHeight="1">
      <c r="A266" s="25" t="str">
        <f>IF(Pontuacao!A266="","",Pontuacao!A266)</f>
        <v/>
      </c>
      <c r="B266" s="26" t="str">
        <f t="array" ref="B266">IFERROR(IF(A266="","",INDEX(Pontuacao!$B$1:$H$1,MATCH(MAX(Pontuacao!B266:H266),Pontuacao!B266:H266,0))),"")</f>
        <v/>
      </c>
      <c r="C266" s="29" t="str">
        <f>IF(A266="","",MAX(Pontuacao!B266:H266))</f>
        <v/>
      </c>
      <c r="D266" s="26" t="str">
        <f t="shared" si="1"/>
        <v/>
      </c>
      <c r="E266" s="26" t="str">
        <f t="shared" si="2"/>
        <v/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0" customHeight="1">
      <c r="A267" s="25" t="str">
        <f>IF(Pontuacao!A267="","",Pontuacao!A267)</f>
        <v/>
      </c>
      <c r="B267" s="26" t="str">
        <f t="array" ref="B267">IFERROR(IF(A267="","",INDEX(Pontuacao!$B$1:$H$1,MATCH(MAX(Pontuacao!B267:H267),Pontuacao!B267:H267,0))),"")</f>
        <v/>
      </c>
      <c r="C267" s="29" t="str">
        <f>IF(A267="","",MAX(Pontuacao!B267:H267))</f>
        <v/>
      </c>
      <c r="D267" s="26" t="str">
        <f t="shared" si="1"/>
        <v/>
      </c>
      <c r="E267" s="26" t="str">
        <f t="shared" si="2"/>
        <v/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0" customHeight="1">
      <c r="A268" s="25" t="str">
        <f>IF(Pontuacao!A268="","",Pontuacao!A268)</f>
        <v/>
      </c>
      <c r="B268" s="26" t="str">
        <f t="array" ref="B268">IFERROR(IF(A268="","",INDEX(Pontuacao!$B$1:$H$1,MATCH(MAX(Pontuacao!B268:H268),Pontuacao!B268:H268,0))),"")</f>
        <v/>
      </c>
      <c r="C268" s="29" t="str">
        <f>IF(A268="","",MAX(Pontuacao!B268:H268))</f>
        <v/>
      </c>
      <c r="D268" s="26" t="str">
        <f t="shared" si="1"/>
        <v/>
      </c>
      <c r="E268" s="26" t="str">
        <f t="shared" si="2"/>
        <v/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0" customHeight="1">
      <c r="A269" s="25" t="str">
        <f>IF(Pontuacao!A269="","",Pontuacao!A269)</f>
        <v/>
      </c>
      <c r="B269" s="26" t="str">
        <f t="array" ref="B269">IFERROR(IF(A269="","",INDEX(Pontuacao!$B$1:$H$1,MATCH(MAX(Pontuacao!B269:H269),Pontuacao!B269:H269,0))),"")</f>
        <v/>
      </c>
      <c r="C269" s="29" t="str">
        <f>IF(A269="","",MAX(Pontuacao!B269:H269))</f>
        <v/>
      </c>
      <c r="D269" s="26" t="str">
        <f t="shared" si="1"/>
        <v/>
      </c>
      <c r="E269" s="26" t="str">
        <f t="shared" si="2"/>
        <v/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25" t="str">
        <f>IF(Pontuacao!A270="","",Pontuacao!A270)</f>
        <v/>
      </c>
      <c r="B270" s="26" t="str">
        <f t="array" ref="B270">IFERROR(IF(A270="","",INDEX(Pontuacao!$B$1:$H$1,MATCH(MAX(Pontuacao!B270:H270),Pontuacao!B270:H270,0))),"")</f>
        <v/>
      </c>
      <c r="C270" s="29" t="str">
        <f>IF(A270="","",MAX(Pontuacao!B270:H270))</f>
        <v/>
      </c>
      <c r="D270" s="26" t="str">
        <f t="shared" si="1"/>
        <v/>
      </c>
      <c r="E270" s="26" t="str">
        <f t="shared" si="2"/>
        <v/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0" customHeight="1">
      <c r="A271" s="25" t="str">
        <f>IF(Pontuacao!A271="","",Pontuacao!A271)</f>
        <v/>
      </c>
      <c r="B271" s="26" t="str">
        <f t="array" ref="B271">IFERROR(IF(A271="","",INDEX(Pontuacao!$B$1:$H$1,MATCH(MAX(Pontuacao!B271:H271),Pontuacao!B271:H271,0))),"")</f>
        <v/>
      </c>
      <c r="C271" s="29" t="str">
        <f>IF(A271="","",MAX(Pontuacao!B271:H271))</f>
        <v/>
      </c>
      <c r="D271" s="26" t="str">
        <f t="shared" si="1"/>
        <v/>
      </c>
      <c r="E271" s="26" t="str">
        <f t="shared" si="2"/>
        <v/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0" customHeight="1">
      <c r="A272" s="25" t="str">
        <f>IF(Pontuacao!A272="","",Pontuacao!A272)</f>
        <v/>
      </c>
      <c r="B272" s="26" t="str">
        <f t="array" ref="B272">IFERROR(IF(A272="","",INDEX(Pontuacao!$B$1:$H$1,MATCH(MAX(Pontuacao!B272:H272),Pontuacao!B272:H272,0))),"")</f>
        <v/>
      </c>
      <c r="C272" s="29" t="str">
        <f>IF(A272="","",MAX(Pontuacao!B272:H272))</f>
        <v/>
      </c>
      <c r="D272" s="26" t="str">
        <f t="shared" si="1"/>
        <v/>
      </c>
      <c r="E272" s="26" t="str">
        <f t="shared" si="2"/>
        <v/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0" customHeight="1">
      <c r="A273" s="25" t="str">
        <f>IF(Pontuacao!A273="","",Pontuacao!A273)</f>
        <v/>
      </c>
      <c r="B273" s="26" t="str">
        <f t="array" ref="B273">IFERROR(IF(A273="","",INDEX(Pontuacao!$B$1:$H$1,MATCH(MAX(Pontuacao!B273:H273),Pontuacao!B273:H273,0))),"")</f>
        <v/>
      </c>
      <c r="C273" s="29" t="str">
        <f>IF(A273="","",MAX(Pontuacao!B273:H273))</f>
        <v/>
      </c>
      <c r="D273" s="26" t="str">
        <f t="shared" si="1"/>
        <v/>
      </c>
      <c r="E273" s="26" t="str">
        <f t="shared" si="2"/>
        <v/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0" customHeight="1">
      <c r="A274" s="25" t="str">
        <f>IF(Pontuacao!A274="","",Pontuacao!A274)</f>
        <v/>
      </c>
      <c r="B274" s="26" t="str">
        <f t="array" ref="B274">IFERROR(IF(A274="","",INDEX(Pontuacao!$B$1:$H$1,MATCH(MAX(Pontuacao!B274:H274),Pontuacao!B274:H274,0))),"")</f>
        <v/>
      </c>
      <c r="C274" s="29" t="str">
        <f>IF(A274="","",MAX(Pontuacao!B274:H274))</f>
        <v/>
      </c>
      <c r="D274" s="26" t="str">
        <f t="shared" si="1"/>
        <v/>
      </c>
      <c r="E274" s="26" t="str">
        <f t="shared" si="2"/>
        <v/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0" customHeight="1">
      <c r="A275" s="25" t="str">
        <f>IF(Pontuacao!A275="","",Pontuacao!A275)</f>
        <v/>
      </c>
      <c r="B275" s="26" t="str">
        <f t="array" ref="B275">IFERROR(IF(A275="","",INDEX(Pontuacao!$B$1:$H$1,MATCH(MAX(Pontuacao!B275:H275),Pontuacao!B275:H275,0))),"")</f>
        <v/>
      </c>
      <c r="C275" s="29" t="str">
        <f>IF(A275="","",MAX(Pontuacao!B275:H275))</f>
        <v/>
      </c>
      <c r="D275" s="26" t="str">
        <f t="shared" si="1"/>
        <v/>
      </c>
      <c r="E275" s="26" t="str">
        <f t="shared" si="2"/>
        <v/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0" customHeight="1">
      <c r="A276" s="25" t="str">
        <f>IF(Pontuacao!A276="","",Pontuacao!A276)</f>
        <v/>
      </c>
      <c r="B276" s="26" t="str">
        <f t="array" ref="B276">IFERROR(IF(A276="","",INDEX(Pontuacao!$B$1:$H$1,MATCH(MAX(Pontuacao!B276:H276),Pontuacao!B276:H276,0))),"")</f>
        <v/>
      </c>
      <c r="C276" s="29" t="str">
        <f>IF(A276="","",MAX(Pontuacao!B276:H276))</f>
        <v/>
      </c>
      <c r="D276" s="26" t="str">
        <f t="shared" si="1"/>
        <v/>
      </c>
      <c r="E276" s="26" t="str">
        <f t="shared" si="2"/>
        <v/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0" customHeight="1">
      <c r="A277" s="25" t="str">
        <f>IF(Pontuacao!A277="","",Pontuacao!A277)</f>
        <v/>
      </c>
      <c r="B277" s="26" t="str">
        <f t="array" ref="B277">IFERROR(IF(A277="","",INDEX(Pontuacao!$B$1:$H$1,MATCH(MAX(Pontuacao!B277:H277),Pontuacao!B277:H277,0))),"")</f>
        <v/>
      </c>
      <c r="C277" s="29" t="str">
        <f>IF(A277="","",MAX(Pontuacao!B277:H277))</f>
        <v/>
      </c>
      <c r="D277" s="26" t="str">
        <f t="shared" si="1"/>
        <v/>
      </c>
      <c r="E277" s="26" t="str">
        <f t="shared" si="2"/>
        <v/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0" customHeight="1">
      <c r="A278" s="25" t="str">
        <f>IF(Pontuacao!A278="","",Pontuacao!A278)</f>
        <v/>
      </c>
      <c r="B278" s="26" t="str">
        <f t="array" ref="B278">IFERROR(IF(A278="","",INDEX(Pontuacao!$B$1:$H$1,MATCH(MAX(Pontuacao!B278:H278),Pontuacao!B278:H278,0))),"")</f>
        <v/>
      </c>
      <c r="C278" s="29" t="str">
        <f>IF(A278="","",MAX(Pontuacao!B278:H278))</f>
        <v/>
      </c>
      <c r="D278" s="26" t="str">
        <f t="shared" si="1"/>
        <v/>
      </c>
      <c r="E278" s="26" t="str">
        <f t="shared" si="2"/>
        <v/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0" customHeight="1">
      <c r="A279" s="25" t="str">
        <f>IF(Pontuacao!A279="","",Pontuacao!A279)</f>
        <v/>
      </c>
      <c r="B279" s="26" t="str">
        <f t="array" ref="B279">IFERROR(IF(A279="","",INDEX(Pontuacao!$B$1:$H$1,MATCH(MAX(Pontuacao!B279:H279),Pontuacao!B279:H279,0))),"")</f>
        <v/>
      </c>
      <c r="C279" s="29" t="str">
        <f>IF(A279="","",MAX(Pontuacao!B279:H279))</f>
        <v/>
      </c>
      <c r="D279" s="26" t="str">
        <f t="shared" si="1"/>
        <v/>
      </c>
      <c r="E279" s="26" t="str">
        <f t="shared" si="2"/>
        <v/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0" customHeight="1">
      <c r="A280" s="25" t="str">
        <f>IF(Pontuacao!A280="","",Pontuacao!A280)</f>
        <v/>
      </c>
      <c r="B280" s="26" t="str">
        <f t="array" ref="B280">IFERROR(IF(A280="","",INDEX(Pontuacao!$B$1:$H$1,MATCH(MAX(Pontuacao!B280:H280),Pontuacao!B280:H280,0))),"")</f>
        <v/>
      </c>
      <c r="C280" s="29" t="str">
        <f>IF(A280="","",MAX(Pontuacao!B280:H280))</f>
        <v/>
      </c>
      <c r="D280" s="26" t="str">
        <f t="shared" si="1"/>
        <v/>
      </c>
      <c r="E280" s="26" t="str">
        <f t="shared" si="2"/>
        <v/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0" customHeight="1">
      <c r="A281" s="25" t="str">
        <f>IF(Pontuacao!A281="","",Pontuacao!A281)</f>
        <v/>
      </c>
      <c r="B281" s="26" t="str">
        <f t="array" ref="B281">IFERROR(IF(A281="","",INDEX(Pontuacao!$B$1:$H$1,MATCH(MAX(Pontuacao!B281:H281),Pontuacao!B281:H281,0))),"")</f>
        <v/>
      </c>
      <c r="C281" s="29" t="str">
        <f>IF(A281="","",MAX(Pontuacao!B281:H281))</f>
        <v/>
      </c>
      <c r="D281" s="26" t="str">
        <f t="shared" si="1"/>
        <v/>
      </c>
      <c r="E281" s="26" t="str">
        <f t="shared" si="2"/>
        <v/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0" customHeight="1">
      <c r="A282" s="25" t="str">
        <f>IF(Pontuacao!A282="","",Pontuacao!A282)</f>
        <v/>
      </c>
      <c r="B282" s="26" t="str">
        <f t="array" ref="B282">IFERROR(IF(A282="","",INDEX(Pontuacao!$B$1:$H$1,MATCH(MAX(Pontuacao!B282:H282),Pontuacao!B282:H282,0))),"")</f>
        <v/>
      </c>
      <c r="C282" s="29" t="str">
        <f>IF(A282="","",MAX(Pontuacao!B282:H282))</f>
        <v/>
      </c>
      <c r="D282" s="26" t="str">
        <f t="shared" si="1"/>
        <v/>
      </c>
      <c r="E282" s="26" t="str">
        <f t="shared" si="2"/>
        <v/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0" customHeight="1">
      <c r="A283" s="25" t="str">
        <f>IF(Pontuacao!A283="","",Pontuacao!A283)</f>
        <v/>
      </c>
      <c r="B283" s="26" t="str">
        <f t="array" ref="B283">IFERROR(IF(A283="","",INDEX(Pontuacao!$B$1:$H$1,MATCH(MAX(Pontuacao!B283:H283),Pontuacao!B283:H283,0))),"")</f>
        <v/>
      </c>
      <c r="C283" s="29" t="str">
        <f>IF(A283="","",MAX(Pontuacao!B283:H283))</f>
        <v/>
      </c>
      <c r="D283" s="26" t="str">
        <f t="shared" si="1"/>
        <v/>
      </c>
      <c r="E283" s="26" t="str">
        <f t="shared" si="2"/>
        <v/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0" customHeight="1">
      <c r="A284" s="25" t="str">
        <f>IF(Pontuacao!A284="","",Pontuacao!A284)</f>
        <v/>
      </c>
      <c r="B284" s="26" t="str">
        <f t="array" ref="B284">IFERROR(IF(A284="","",INDEX(Pontuacao!$B$1:$H$1,MATCH(MAX(Pontuacao!B284:H284),Pontuacao!B284:H284,0))),"")</f>
        <v/>
      </c>
      <c r="C284" s="29" t="str">
        <f>IF(A284="","",MAX(Pontuacao!B284:H284))</f>
        <v/>
      </c>
      <c r="D284" s="26" t="str">
        <f t="shared" si="1"/>
        <v/>
      </c>
      <c r="E284" s="26" t="str">
        <f t="shared" si="2"/>
        <v/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0" customHeight="1">
      <c r="A285" s="25" t="str">
        <f>IF(Pontuacao!A285="","",Pontuacao!A285)</f>
        <v/>
      </c>
      <c r="B285" s="26" t="str">
        <f t="array" ref="B285">IFERROR(IF(A285="","",INDEX(Pontuacao!$B$1:$H$1,MATCH(MAX(Pontuacao!B285:H285),Pontuacao!B285:H285,0))),"")</f>
        <v/>
      </c>
      <c r="C285" s="29" t="str">
        <f>IF(A285="","",MAX(Pontuacao!B285:H285))</f>
        <v/>
      </c>
      <c r="D285" s="26" t="str">
        <f t="shared" si="1"/>
        <v/>
      </c>
      <c r="E285" s="26" t="str">
        <f t="shared" si="2"/>
        <v/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0" customHeight="1">
      <c r="A286" s="25" t="str">
        <f>IF(Pontuacao!A286="","",Pontuacao!A286)</f>
        <v/>
      </c>
      <c r="B286" s="26" t="str">
        <f t="array" ref="B286">IFERROR(IF(A286="","",INDEX(Pontuacao!$B$1:$H$1,MATCH(MAX(Pontuacao!B286:H286),Pontuacao!B286:H286,0))),"")</f>
        <v/>
      </c>
      <c r="C286" s="29" t="str">
        <f>IF(A286="","",MAX(Pontuacao!B286:H286))</f>
        <v/>
      </c>
      <c r="D286" s="26" t="str">
        <f t="shared" si="1"/>
        <v/>
      </c>
      <c r="E286" s="26" t="str">
        <f t="shared" si="2"/>
        <v/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0" customHeight="1">
      <c r="A287" s="25" t="str">
        <f>IF(Pontuacao!A287="","",Pontuacao!A287)</f>
        <v/>
      </c>
      <c r="B287" s="26" t="str">
        <f t="array" ref="B287">IFERROR(IF(A287="","",INDEX(Pontuacao!$B$1:$H$1,MATCH(MAX(Pontuacao!B287:H287),Pontuacao!B287:H287,0))),"")</f>
        <v/>
      </c>
      <c r="C287" s="29" t="str">
        <f>IF(A287="","",MAX(Pontuacao!B287:H287))</f>
        <v/>
      </c>
      <c r="D287" s="26" t="str">
        <f t="shared" si="1"/>
        <v/>
      </c>
      <c r="E287" s="26" t="str">
        <f t="shared" si="2"/>
        <v/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0" customHeight="1">
      <c r="A288" s="25" t="str">
        <f>IF(Pontuacao!A288="","",Pontuacao!A288)</f>
        <v/>
      </c>
      <c r="B288" s="26" t="str">
        <f t="array" ref="B288">IFERROR(IF(A288="","",INDEX(Pontuacao!$B$1:$H$1,MATCH(MAX(Pontuacao!B288:H288),Pontuacao!B288:H288,0))),"")</f>
        <v/>
      </c>
      <c r="C288" s="29" t="str">
        <f>IF(A288="","",MAX(Pontuacao!B288:H288))</f>
        <v/>
      </c>
      <c r="D288" s="26" t="str">
        <f t="shared" si="1"/>
        <v/>
      </c>
      <c r="E288" s="26" t="str">
        <f t="shared" si="2"/>
        <v/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0" customHeight="1">
      <c r="A289" s="25" t="str">
        <f>IF(Pontuacao!A289="","",Pontuacao!A289)</f>
        <v/>
      </c>
      <c r="B289" s="26" t="str">
        <f t="array" ref="B289">IFERROR(IF(A289="","",INDEX(Pontuacao!$B$1:$H$1,MATCH(MAX(Pontuacao!B289:H289),Pontuacao!B289:H289,0))),"")</f>
        <v/>
      </c>
      <c r="C289" s="29" t="str">
        <f>IF(A289="","",MAX(Pontuacao!B289:H289))</f>
        <v/>
      </c>
      <c r="D289" s="26" t="str">
        <f t="shared" si="1"/>
        <v/>
      </c>
      <c r="E289" s="26" t="str">
        <f t="shared" si="2"/>
        <v/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0" customHeight="1">
      <c r="A290" s="25" t="str">
        <f>IF(Pontuacao!A290="","",Pontuacao!A290)</f>
        <v/>
      </c>
      <c r="B290" s="26" t="str">
        <f t="array" ref="B290">IFERROR(IF(A290="","",INDEX(Pontuacao!$B$1:$H$1,MATCH(MAX(Pontuacao!B290:H290),Pontuacao!B290:H290,0))),"")</f>
        <v/>
      </c>
      <c r="C290" s="29" t="str">
        <f>IF(A290="","",MAX(Pontuacao!B290:H290))</f>
        <v/>
      </c>
      <c r="D290" s="26" t="str">
        <f t="shared" si="1"/>
        <v/>
      </c>
      <c r="E290" s="26" t="str">
        <f t="shared" si="2"/>
        <v/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0" customHeight="1">
      <c r="A291" s="25" t="str">
        <f>IF(Pontuacao!A291="","",Pontuacao!A291)</f>
        <v/>
      </c>
      <c r="B291" s="26" t="str">
        <f t="array" ref="B291">IFERROR(IF(A291="","",INDEX(Pontuacao!$B$1:$H$1,MATCH(MAX(Pontuacao!B291:H291),Pontuacao!B291:H291,0))),"")</f>
        <v/>
      </c>
      <c r="C291" s="29" t="str">
        <f>IF(A291="","",MAX(Pontuacao!B291:H291))</f>
        <v/>
      </c>
      <c r="D291" s="26" t="str">
        <f t="shared" si="1"/>
        <v/>
      </c>
      <c r="E291" s="26" t="str">
        <f t="shared" si="2"/>
        <v/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0" customHeight="1">
      <c r="A292" s="25" t="str">
        <f>IF(Pontuacao!A292="","",Pontuacao!A292)</f>
        <v/>
      </c>
      <c r="B292" s="26" t="str">
        <f t="array" ref="B292">IFERROR(IF(A292="","",INDEX(Pontuacao!$B$1:$H$1,MATCH(MAX(Pontuacao!B292:H292),Pontuacao!B292:H292,0))),"")</f>
        <v/>
      </c>
      <c r="C292" s="29" t="str">
        <f>IF(A292="","",MAX(Pontuacao!B292:H292))</f>
        <v/>
      </c>
      <c r="D292" s="26" t="str">
        <f t="shared" si="1"/>
        <v/>
      </c>
      <c r="E292" s="26" t="str">
        <f t="shared" si="2"/>
        <v/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0" customHeight="1">
      <c r="A293" s="25" t="str">
        <f>IF(Pontuacao!A293="","",Pontuacao!A293)</f>
        <v/>
      </c>
      <c r="B293" s="26" t="str">
        <f t="array" ref="B293">IFERROR(IF(A293="","",INDEX(Pontuacao!$B$1:$H$1,MATCH(MAX(Pontuacao!B293:H293),Pontuacao!B293:H293,0))),"")</f>
        <v/>
      </c>
      <c r="C293" s="29" t="str">
        <f>IF(A293="","",MAX(Pontuacao!B293:H293))</f>
        <v/>
      </c>
      <c r="D293" s="26" t="str">
        <f t="shared" si="1"/>
        <v/>
      </c>
      <c r="E293" s="26" t="str">
        <f t="shared" si="2"/>
        <v/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0" customHeight="1">
      <c r="A294" s="25" t="str">
        <f>IF(Pontuacao!A294="","",Pontuacao!A294)</f>
        <v/>
      </c>
      <c r="B294" s="26" t="str">
        <f t="array" ref="B294">IFERROR(IF(A294="","",INDEX(Pontuacao!$B$1:$H$1,MATCH(MAX(Pontuacao!B294:H294),Pontuacao!B294:H294,0))),"")</f>
        <v/>
      </c>
      <c r="C294" s="29" t="str">
        <f>IF(A294="","",MAX(Pontuacao!B294:H294))</f>
        <v/>
      </c>
      <c r="D294" s="26" t="str">
        <f t="shared" si="1"/>
        <v/>
      </c>
      <c r="E294" s="26" t="str">
        <f t="shared" si="2"/>
        <v/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0" customHeight="1">
      <c r="A295" s="25" t="str">
        <f>IF(Pontuacao!A295="","",Pontuacao!A295)</f>
        <v/>
      </c>
      <c r="B295" s="26" t="str">
        <f t="array" ref="B295">IFERROR(IF(A295="","",INDEX(Pontuacao!$B$1:$H$1,MATCH(MAX(Pontuacao!B295:H295),Pontuacao!B295:H295,0))),"")</f>
        <v/>
      </c>
      <c r="C295" s="29" t="str">
        <f>IF(A295="","",MAX(Pontuacao!B295:H295))</f>
        <v/>
      </c>
      <c r="D295" s="26" t="str">
        <f t="shared" si="1"/>
        <v/>
      </c>
      <c r="E295" s="26" t="str">
        <f t="shared" si="2"/>
        <v/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0" customHeight="1">
      <c r="A296" s="25" t="str">
        <f>IF(Pontuacao!A296="","",Pontuacao!A296)</f>
        <v/>
      </c>
      <c r="B296" s="26" t="str">
        <f t="array" ref="B296">IFERROR(IF(A296="","",INDEX(Pontuacao!$B$1:$H$1,MATCH(MAX(Pontuacao!B296:H296),Pontuacao!B296:H296,0))),"")</f>
        <v/>
      </c>
      <c r="C296" s="29" t="str">
        <f>IF(A296="","",MAX(Pontuacao!B296:H296))</f>
        <v/>
      </c>
      <c r="D296" s="26" t="str">
        <f t="shared" si="1"/>
        <v/>
      </c>
      <c r="E296" s="26" t="str">
        <f t="shared" si="2"/>
        <v/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0" customHeight="1">
      <c r="A297" s="25" t="str">
        <f>IF(Pontuacao!A297="","",Pontuacao!A297)</f>
        <v/>
      </c>
      <c r="B297" s="26" t="str">
        <f t="array" ref="B297">IFERROR(IF(A297="","",INDEX(Pontuacao!$B$1:$H$1,MATCH(MAX(Pontuacao!B297:H297),Pontuacao!B297:H297,0))),"")</f>
        <v/>
      </c>
      <c r="C297" s="29" t="str">
        <f>IF(A297="","",MAX(Pontuacao!B297:H297))</f>
        <v/>
      </c>
      <c r="D297" s="26" t="str">
        <f t="shared" si="1"/>
        <v/>
      </c>
      <c r="E297" s="26" t="str">
        <f t="shared" si="2"/>
        <v/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0" customHeight="1">
      <c r="A298" s="25" t="str">
        <f>IF(Pontuacao!A298="","",Pontuacao!A298)</f>
        <v/>
      </c>
      <c r="B298" s="26" t="str">
        <f t="array" ref="B298">IFERROR(IF(A298="","",INDEX(Pontuacao!$B$1:$H$1,MATCH(MAX(Pontuacao!B298:H298),Pontuacao!B298:H298,0))),"")</f>
        <v/>
      </c>
      <c r="C298" s="29" t="str">
        <f>IF(A298="","",MAX(Pontuacao!B298:H298))</f>
        <v/>
      </c>
      <c r="D298" s="26" t="str">
        <f t="shared" si="1"/>
        <v/>
      </c>
      <c r="E298" s="26" t="str">
        <f t="shared" si="2"/>
        <v/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0" customHeight="1">
      <c r="A299" s="25" t="str">
        <f>IF(Pontuacao!A299="","",Pontuacao!A299)</f>
        <v/>
      </c>
      <c r="B299" s="26" t="str">
        <f t="array" ref="B299">IFERROR(IF(A299="","",INDEX(Pontuacao!$B$1:$H$1,MATCH(MAX(Pontuacao!B299:H299),Pontuacao!B299:H299,0))),"")</f>
        <v/>
      </c>
      <c r="C299" s="29" t="str">
        <f>IF(A299="","",MAX(Pontuacao!B299:H299))</f>
        <v/>
      </c>
      <c r="D299" s="26" t="str">
        <f t="shared" si="1"/>
        <v/>
      </c>
      <c r="E299" s="26" t="str">
        <f t="shared" si="2"/>
        <v/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0" customHeight="1">
      <c r="A300" s="25" t="str">
        <f>IF(Pontuacao!A300="","",Pontuacao!A300)</f>
        <v/>
      </c>
      <c r="B300" s="26" t="str">
        <f t="array" ref="B300">IFERROR(IF(A300="","",INDEX(Pontuacao!$B$1:$H$1,MATCH(MAX(Pontuacao!B300:H300),Pontuacao!B300:H300,0))),"")</f>
        <v/>
      </c>
      <c r="C300" s="29" t="str">
        <f>IF(A300="","",MAX(Pontuacao!B300:H300))</f>
        <v/>
      </c>
      <c r="D300" s="26" t="str">
        <f t="shared" si="1"/>
        <v/>
      </c>
      <c r="E300" s="26" t="str">
        <f t="shared" si="2"/>
        <v/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0" customHeight="1">
      <c r="A301" s="25" t="str">
        <f>IF(Pontuacao!A301="","",Pontuacao!A301)</f>
        <v/>
      </c>
      <c r="B301" s="26" t="str">
        <f t="array" ref="B301">IFERROR(IF(A301="","",INDEX(Pontuacao!$B$1:$H$1,MATCH(MAX(Pontuacao!B301:H301),Pontuacao!B301:H301,0))),"")</f>
        <v/>
      </c>
      <c r="C301" s="29" t="str">
        <f>IF(A301="","",MAX(Pontuacao!B301:H301))</f>
        <v/>
      </c>
      <c r="D301" s="26" t="str">
        <f t="shared" si="1"/>
        <v/>
      </c>
      <c r="E301" s="26" t="str">
        <f t="shared" si="2"/>
        <v/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0" customHeight="1">
      <c r="A302" s="25" t="str">
        <f>IF(Pontuacao!A302="","",Pontuacao!A302)</f>
        <v/>
      </c>
      <c r="B302" s="26" t="str">
        <f t="array" ref="B302">IFERROR(IF(A302="","",INDEX(Pontuacao!$B$1:$H$1,MATCH(MAX(Pontuacao!B302:H302),Pontuacao!B302:H302,0))),"")</f>
        <v/>
      </c>
      <c r="C302" s="29" t="str">
        <f>IF(A302="","",MAX(Pontuacao!B302:H302))</f>
        <v/>
      </c>
      <c r="D302" s="26" t="str">
        <f t="shared" si="1"/>
        <v/>
      </c>
      <c r="E302" s="26" t="str">
        <f t="shared" si="2"/>
        <v/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0" customHeight="1">
      <c r="A303" s="25" t="str">
        <f>IF(Pontuacao!A303="","",Pontuacao!A303)</f>
        <v/>
      </c>
      <c r="B303" s="26" t="str">
        <f t="array" ref="B303">IFERROR(IF(A303="","",INDEX(Pontuacao!$B$1:$H$1,MATCH(MAX(Pontuacao!B303:H303),Pontuacao!B303:H303,0))),"")</f>
        <v/>
      </c>
      <c r="C303" s="29" t="str">
        <f>IF(A303="","",MAX(Pontuacao!B303:H303))</f>
        <v/>
      </c>
      <c r="D303" s="26" t="str">
        <f t="shared" si="1"/>
        <v/>
      </c>
      <c r="E303" s="26" t="str">
        <f t="shared" si="2"/>
        <v/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0" customHeight="1">
      <c r="A304" s="25" t="str">
        <f>IF(Pontuacao!A304="","",Pontuacao!A304)</f>
        <v/>
      </c>
      <c r="B304" s="26" t="str">
        <f t="array" ref="B304">IFERROR(IF(A304="","",INDEX(Pontuacao!$B$1:$H$1,MATCH(MAX(Pontuacao!B304:H304),Pontuacao!B304:H304,0))),"")</f>
        <v/>
      </c>
      <c r="C304" s="29" t="str">
        <f>IF(A304="","",MAX(Pontuacao!B304:H304))</f>
        <v/>
      </c>
      <c r="D304" s="26" t="str">
        <f t="shared" si="1"/>
        <v/>
      </c>
      <c r="E304" s="26" t="str">
        <f t="shared" si="2"/>
        <v/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0" customHeight="1">
      <c r="A305" s="25" t="str">
        <f>IF(Pontuacao!A305="","",Pontuacao!A305)</f>
        <v/>
      </c>
      <c r="B305" s="26" t="str">
        <f t="array" ref="B305">IFERROR(IF(A305="","",INDEX(Pontuacao!$B$1:$H$1,MATCH(MAX(Pontuacao!B305:H305),Pontuacao!B305:H305,0))),"")</f>
        <v/>
      </c>
      <c r="C305" s="29" t="str">
        <f>IF(A305="","",MAX(Pontuacao!B305:H305))</f>
        <v/>
      </c>
      <c r="D305" s="26" t="str">
        <f t="shared" si="1"/>
        <v/>
      </c>
      <c r="E305" s="26" t="str">
        <f t="shared" si="2"/>
        <v/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0" customHeight="1">
      <c r="A306" s="25" t="str">
        <f>IF(Pontuacao!A306="","",Pontuacao!A306)</f>
        <v/>
      </c>
      <c r="B306" s="26" t="str">
        <f t="array" ref="B306">IFERROR(IF(A306="","",INDEX(Pontuacao!$B$1:$H$1,MATCH(MAX(Pontuacao!B306:H306),Pontuacao!B306:H306,0))),"")</f>
        <v/>
      </c>
      <c r="C306" s="29" t="str">
        <f>IF(A306="","",MAX(Pontuacao!B306:H306))</f>
        <v/>
      </c>
      <c r="D306" s="26" t="str">
        <f t="shared" si="1"/>
        <v/>
      </c>
      <c r="E306" s="26" t="str">
        <f t="shared" si="2"/>
        <v/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0" customHeight="1">
      <c r="A307" s="25" t="str">
        <f>IF(Pontuacao!A307="","",Pontuacao!A307)</f>
        <v/>
      </c>
      <c r="B307" s="26" t="str">
        <f t="array" ref="B307">IFERROR(IF(A307="","",INDEX(Pontuacao!$B$1:$H$1,MATCH(MAX(Pontuacao!B307:H307),Pontuacao!B307:H307,0))),"")</f>
        <v/>
      </c>
      <c r="C307" s="29" t="str">
        <f>IF(A307="","",MAX(Pontuacao!B307:H307))</f>
        <v/>
      </c>
      <c r="D307" s="26" t="str">
        <f t="shared" si="1"/>
        <v/>
      </c>
      <c r="E307" s="26" t="str">
        <f t="shared" si="2"/>
        <v/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0" customHeight="1">
      <c r="A308" s="25" t="str">
        <f>IF(Pontuacao!A308="","",Pontuacao!A308)</f>
        <v/>
      </c>
      <c r="B308" s="26" t="str">
        <f t="array" ref="B308">IFERROR(IF(A308="","",INDEX(Pontuacao!$B$1:$H$1,MATCH(MAX(Pontuacao!B308:H308),Pontuacao!B308:H308,0))),"")</f>
        <v/>
      </c>
      <c r="C308" s="29" t="str">
        <f>IF(A308="","",MAX(Pontuacao!B308:H308))</f>
        <v/>
      </c>
      <c r="D308" s="26" t="str">
        <f t="shared" si="1"/>
        <v/>
      </c>
      <c r="E308" s="26" t="str">
        <f t="shared" si="2"/>
        <v/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0" customHeight="1">
      <c r="A309" s="25" t="str">
        <f>IF(Pontuacao!A309="","",Pontuacao!A309)</f>
        <v/>
      </c>
      <c r="B309" s="26" t="str">
        <f t="array" ref="B309">IFERROR(IF(A309="","",INDEX(Pontuacao!$B$1:$H$1,MATCH(MAX(Pontuacao!B309:H309),Pontuacao!B309:H309,0))),"")</f>
        <v/>
      </c>
      <c r="C309" s="29" t="str">
        <f>IF(A309="","",MAX(Pontuacao!B309:H309))</f>
        <v/>
      </c>
      <c r="D309" s="26" t="str">
        <f t="shared" si="1"/>
        <v/>
      </c>
      <c r="E309" s="26" t="str">
        <f t="shared" si="2"/>
        <v/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0" customHeight="1">
      <c r="A310" s="25" t="str">
        <f>IF(Pontuacao!A310="","",Pontuacao!A310)</f>
        <v/>
      </c>
      <c r="B310" s="26" t="str">
        <f t="array" ref="B310">IFERROR(IF(A310="","",INDEX(Pontuacao!$B$1:$H$1,MATCH(MAX(Pontuacao!B310:H310),Pontuacao!B310:H310,0))),"")</f>
        <v/>
      </c>
      <c r="C310" s="29" t="str">
        <f>IF(A310="","",MAX(Pontuacao!B310:H310))</f>
        <v/>
      </c>
      <c r="D310" s="26" t="str">
        <f t="shared" si="1"/>
        <v/>
      </c>
      <c r="E310" s="26" t="str">
        <f t="shared" si="2"/>
        <v/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0" customHeight="1">
      <c r="A311" s="25" t="str">
        <f>IF(Pontuacao!A311="","",Pontuacao!A311)</f>
        <v/>
      </c>
      <c r="B311" s="26" t="str">
        <f t="array" ref="B311">IFERROR(IF(A311="","",INDEX(Pontuacao!$B$1:$H$1,MATCH(MAX(Pontuacao!B311:H311),Pontuacao!B311:H311,0))),"")</f>
        <v/>
      </c>
      <c r="C311" s="29" t="str">
        <f>IF(A311="","",MAX(Pontuacao!B311:H311))</f>
        <v/>
      </c>
      <c r="D311" s="26" t="str">
        <f t="shared" si="1"/>
        <v/>
      </c>
      <c r="E311" s="26" t="str">
        <f t="shared" si="2"/>
        <v/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0" customHeight="1">
      <c r="A312" s="25" t="str">
        <f>IF(Pontuacao!A312="","",Pontuacao!A312)</f>
        <v/>
      </c>
      <c r="B312" s="26" t="str">
        <f t="array" ref="B312">IFERROR(IF(A312="","",INDEX(Pontuacao!$B$1:$H$1,MATCH(MAX(Pontuacao!B312:H312),Pontuacao!B312:H312,0))),"")</f>
        <v/>
      </c>
      <c r="C312" s="29" t="str">
        <f>IF(A312="","",MAX(Pontuacao!B312:H312))</f>
        <v/>
      </c>
      <c r="D312" s="26" t="str">
        <f t="shared" si="1"/>
        <v/>
      </c>
      <c r="E312" s="26" t="str">
        <f t="shared" si="2"/>
        <v/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0" customHeight="1">
      <c r="A313" s="25" t="str">
        <f>IF(Pontuacao!A313="","",Pontuacao!A313)</f>
        <v/>
      </c>
      <c r="B313" s="26" t="str">
        <f t="array" ref="B313">IFERROR(IF(A313="","",INDEX(Pontuacao!$B$1:$H$1,MATCH(MAX(Pontuacao!B313:H313),Pontuacao!B313:H313,0))),"")</f>
        <v/>
      </c>
      <c r="C313" s="29" t="str">
        <f>IF(A313="","",MAX(Pontuacao!B313:H313))</f>
        <v/>
      </c>
      <c r="D313" s="26" t="str">
        <f t="shared" si="1"/>
        <v/>
      </c>
      <c r="E313" s="26" t="str">
        <f t="shared" si="2"/>
        <v/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0" customHeight="1">
      <c r="A314" s="25" t="str">
        <f>IF(Pontuacao!A314="","",Pontuacao!A314)</f>
        <v/>
      </c>
      <c r="B314" s="26" t="str">
        <f t="array" ref="B314">IFERROR(IF(A314="","",INDEX(Pontuacao!$B$1:$H$1,MATCH(MAX(Pontuacao!B314:H314),Pontuacao!B314:H314,0))),"")</f>
        <v/>
      </c>
      <c r="C314" s="29" t="str">
        <f>IF(A314="","",MAX(Pontuacao!B314:H314))</f>
        <v/>
      </c>
      <c r="D314" s="26" t="str">
        <f t="shared" si="1"/>
        <v/>
      </c>
      <c r="E314" s="26" t="str">
        <f t="shared" si="2"/>
        <v/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0" customHeight="1">
      <c r="A315" s="25" t="str">
        <f>IF(Pontuacao!A315="","",Pontuacao!A315)</f>
        <v/>
      </c>
      <c r="B315" s="26" t="str">
        <f t="array" ref="B315">IFERROR(IF(A315="","",INDEX(Pontuacao!$B$1:$H$1,MATCH(MAX(Pontuacao!B315:H315),Pontuacao!B315:H315,0))),"")</f>
        <v/>
      </c>
      <c r="C315" s="29" t="str">
        <f>IF(A315="","",MAX(Pontuacao!B315:H315))</f>
        <v/>
      </c>
      <c r="D315" s="26" t="str">
        <f t="shared" si="1"/>
        <v/>
      </c>
      <c r="E315" s="26" t="str">
        <f t="shared" si="2"/>
        <v/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0" customHeight="1">
      <c r="A316" s="25" t="str">
        <f>IF(Pontuacao!A316="","",Pontuacao!A316)</f>
        <v/>
      </c>
      <c r="B316" s="26" t="str">
        <f t="array" ref="B316">IFERROR(IF(A316="","",INDEX(Pontuacao!$B$1:$H$1,MATCH(MAX(Pontuacao!B316:H316),Pontuacao!B316:H316,0))),"")</f>
        <v/>
      </c>
      <c r="C316" s="29" t="str">
        <f>IF(A316="","",MAX(Pontuacao!B316:H316))</f>
        <v/>
      </c>
      <c r="D316" s="26" t="str">
        <f t="shared" si="1"/>
        <v/>
      </c>
      <c r="E316" s="26" t="str">
        <f t="shared" si="2"/>
        <v/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0" customHeight="1">
      <c r="A317" s="25" t="str">
        <f>IF(Pontuacao!A317="","",Pontuacao!A317)</f>
        <v/>
      </c>
      <c r="B317" s="26" t="str">
        <f t="array" ref="B317">IFERROR(IF(A317="","",INDEX(Pontuacao!$B$1:$H$1,MATCH(MAX(Pontuacao!B317:H317),Pontuacao!B317:H317,0))),"")</f>
        <v/>
      </c>
      <c r="C317" s="29" t="str">
        <f>IF(A317="","",MAX(Pontuacao!B317:H317))</f>
        <v/>
      </c>
      <c r="D317" s="26" t="str">
        <f t="shared" si="1"/>
        <v/>
      </c>
      <c r="E317" s="26" t="str">
        <f t="shared" si="2"/>
        <v/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0" customHeight="1">
      <c r="A318" s="25" t="str">
        <f>IF(Pontuacao!A318="","",Pontuacao!A318)</f>
        <v/>
      </c>
      <c r="B318" s="26" t="str">
        <f t="array" ref="B318">IFERROR(IF(A318="","",INDEX(Pontuacao!$B$1:$H$1,MATCH(MAX(Pontuacao!B318:H318),Pontuacao!B318:H318,0))),"")</f>
        <v/>
      </c>
      <c r="C318" s="29" t="str">
        <f>IF(A318="","",MAX(Pontuacao!B318:H318))</f>
        <v/>
      </c>
      <c r="D318" s="26" t="str">
        <f t="shared" si="1"/>
        <v/>
      </c>
      <c r="E318" s="26" t="str">
        <f t="shared" si="2"/>
        <v/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0" customHeight="1">
      <c r="A319" s="25" t="str">
        <f>IF(Pontuacao!A319="","",Pontuacao!A319)</f>
        <v/>
      </c>
      <c r="B319" s="26" t="str">
        <f t="array" ref="B319">IFERROR(IF(A319="","",INDEX(Pontuacao!$B$1:$H$1,MATCH(MAX(Pontuacao!B319:H319),Pontuacao!B319:H319,0))),"")</f>
        <v/>
      </c>
      <c r="C319" s="29" t="str">
        <f>IF(A319="","",MAX(Pontuacao!B319:H319))</f>
        <v/>
      </c>
      <c r="D319" s="26" t="str">
        <f t="shared" si="1"/>
        <v/>
      </c>
      <c r="E319" s="26" t="str">
        <f t="shared" si="2"/>
        <v/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0" customHeight="1">
      <c r="A320" s="25" t="str">
        <f>IF(Pontuacao!A320="","",Pontuacao!A320)</f>
        <v/>
      </c>
      <c r="B320" s="26" t="str">
        <f t="array" ref="B320">IFERROR(IF(A320="","",INDEX(Pontuacao!$B$1:$H$1,MATCH(MAX(Pontuacao!B320:H320),Pontuacao!B320:H320,0))),"")</f>
        <v/>
      </c>
      <c r="C320" s="29" t="str">
        <f>IF(A320="","",MAX(Pontuacao!B320:H320))</f>
        <v/>
      </c>
      <c r="D320" s="26" t="str">
        <f t="shared" si="1"/>
        <v/>
      </c>
      <c r="E320" s="26" t="str">
        <f t="shared" si="2"/>
        <v/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0" customHeight="1">
      <c r="A321" s="25" t="str">
        <f>IF(Pontuacao!A321="","",Pontuacao!A321)</f>
        <v/>
      </c>
      <c r="B321" s="26" t="str">
        <f t="array" ref="B321">IFERROR(IF(A321="","",INDEX(Pontuacao!$B$1:$H$1,MATCH(MAX(Pontuacao!B321:H321),Pontuacao!B321:H321,0))),"")</f>
        <v/>
      </c>
      <c r="C321" s="29" t="str">
        <f>IF(A321="","",MAX(Pontuacao!B321:H321))</f>
        <v/>
      </c>
      <c r="D321" s="26" t="str">
        <f t="shared" si="1"/>
        <v/>
      </c>
      <c r="E321" s="26" t="str">
        <f t="shared" si="2"/>
        <v/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0" customHeight="1">
      <c r="A322" s="25" t="str">
        <f>IF(Pontuacao!A322="","",Pontuacao!A322)</f>
        <v/>
      </c>
      <c r="B322" s="26" t="str">
        <f t="array" ref="B322">IFERROR(IF(A322="","",INDEX(Pontuacao!$B$1:$H$1,MATCH(MAX(Pontuacao!B322:H322),Pontuacao!B322:H322,0))),"")</f>
        <v/>
      </c>
      <c r="C322" s="29" t="str">
        <f>IF(A322="","",MAX(Pontuacao!B322:H322))</f>
        <v/>
      </c>
      <c r="D322" s="26" t="str">
        <f t="shared" si="1"/>
        <v/>
      </c>
      <c r="E322" s="26" t="str">
        <f t="shared" si="2"/>
        <v/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0" customHeight="1">
      <c r="A323" s="25" t="str">
        <f>IF(Pontuacao!A323="","",Pontuacao!A323)</f>
        <v/>
      </c>
      <c r="B323" s="26" t="str">
        <f t="array" ref="B323">IFERROR(IF(A323="","",INDEX(Pontuacao!$B$1:$H$1,MATCH(MAX(Pontuacao!B323:H323),Pontuacao!B323:H323,0))),"")</f>
        <v/>
      </c>
      <c r="C323" s="29" t="str">
        <f>IF(A323="","",MAX(Pontuacao!B323:H323))</f>
        <v/>
      </c>
      <c r="D323" s="26" t="str">
        <f t="shared" si="1"/>
        <v/>
      </c>
      <c r="E323" s="26" t="str">
        <f t="shared" si="2"/>
        <v/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0" customHeight="1">
      <c r="A324" s="25" t="str">
        <f>IF(Pontuacao!A324="","",Pontuacao!A324)</f>
        <v/>
      </c>
      <c r="B324" s="26" t="str">
        <f t="array" ref="B324">IFERROR(IF(A324="","",INDEX(Pontuacao!$B$1:$H$1,MATCH(MAX(Pontuacao!B324:H324),Pontuacao!B324:H324,0))),"")</f>
        <v/>
      </c>
      <c r="C324" s="29" t="str">
        <f>IF(A324="","",MAX(Pontuacao!B324:H324))</f>
        <v/>
      </c>
      <c r="D324" s="26" t="str">
        <f t="shared" si="1"/>
        <v/>
      </c>
      <c r="E324" s="26" t="str">
        <f t="shared" si="2"/>
        <v/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0" customHeight="1">
      <c r="A325" s="25" t="str">
        <f>IF(Pontuacao!A325="","",Pontuacao!A325)</f>
        <v/>
      </c>
      <c r="B325" s="26" t="str">
        <f t="array" ref="B325">IFERROR(IF(A325="","",INDEX(Pontuacao!$B$1:$H$1,MATCH(MAX(Pontuacao!B325:H325),Pontuacao!B325:H325,0))),"")</f>
        <v/>
      </c>
      <c r="C325" s="29" t="str">
        <f>IF(A325="","",MAX(Pontuacao!B325:H325))</f>
        <v/>
      </c>
      <c r="D325" s="26" t="str">
        <f t="shared" si="1"/>
        <v/>
      </c>
      <c r="E325" s="26" t="str">
        <f t="shared" si="2"/>
        <v/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0" customHeight="1">
      <c r="A326" s="25" t="str">
        <f>IF(Pontuacao!A326="","",Pontuacao!A326)</f>
        <v/>
      </c>
      <c r="B326" s="26" t="str">
        <f t="array" ref="B326">IFERROR(IF(A326="","",INDEX(Pontuacao!$B$1:$H$1,MATCH(MAX(Pontuacao!B326:H326),Pontuacao!B326:H326,0))),"")</f>
        <v/>
      </c>
      <c r="C326" s="29" t="str">
        <f>IF(A326="","",MAX(Pontuacao!B326:H326))</f>
        <v/>
      </c>
      <c r="D326" s="26" t="str">
        <f t="shared" si="1"/>
        <v/>
      </c>
      <c r="E326" s="26" t="str">
        <f t="shared" si="2"/>
        <v/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0" customHeight="1">
      <c r="A327" s="25" t="str">
        <f>IF(Pontuacao!A327="","",Pontuacao!A327)</f>
        <v/>
      </c>
      <c r="B327" s="26" t="str">
        <f t="array" ref="B327">IFERROR(IF(A327="","",INDEX(Pontuacao!$B$1:$H$1,MATCH(MAX(Pontuacao!B327:H327),Pontuacao!B327:H327,0))),"")</f>
        <v/>
      </c>
      <c r="C327" s="29" t="str">
        <f>IF(A327="","",MAX(Pontuacao!B327:H327))</f>
        <v/>
      </c>
      <c r="D327" s="26" t="str">
        <f t="shared" si="1"/>
        <v/>
      </c>
      <c r="E327" s="26" t="str">
        <f t="shared" si="2"/>
        <v/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0" customHeight="1">
      <c r="A328" s="25" t="str">
        <f>IF(Pontuacao!A328="","",Pontuacao!A328)</f>
        <v/>
      </c>
      <c r="B328" s="26" t="str">
        <f t="array" ref="B328">IFERROR(IF(A328="","",INDEX(Pontuacao!$B$1:$H$1,MATCH(MAX(Pontuacao!B328:H328),Pontuacao!B328:H328,0))),"")</f>
        <v/>
      </c>
      <c r="C328" s="29" t="str">
        <f>IF(A328="","",MAX(Pontuacao!B328:H328))</f>
        <v/>
      </c>
      <c r="D328" s="26" t="str">
        <f t="shared" si="1"/>
        <v/>
      </c>
      <c r="E328" s="26" t="str">
        <f t="shared" si="2"/>
        <v/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0" customHeight="1">
      <c r="A329" s="25" t="str">
        <f>IF(Pontuacao!A329="","",Pontuacao!A329)</f>
        <v/>
      </c>
      <c r="B329" s="26" t="str">
        <f t="array" ref="B329">IFERROR(IF(A329="","",INDEX(Pontuacao!$B$1:$H$1,MATCH(MAX(Pontuacao!B329:H329),Pontuacao!B329:H329,0))),"")</f>
        <v/>
      </c>
      <c r="C329" s="29" t="str">
        <f>IF(A329="","",MAX(Pontuacao!B329:H329))</f>
        <v/>
      </c>
      <c r="D329" s="26" t="str">
        <f t="shared" si="1"/>
        <v/>
      </c>
      <c r="E329" s="26" t="str">
        <f t="shared" si="2"/>
        <v/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0" customHeight="1">
      <c r="A330" s="25" t="str">
        <f>IF(Pontuacao!A330="","",Pontuacao!A330)</f>
        <v/>
      </c>
      <c r="B330" s="26" t="str">
        <f t="array" ref="B330">IFERROR(IF(A330="","",INDEX(Pontuacao!$B$1:$H$1,MATCH(MAX(Pontuacao!B330:H330),Pontuacao!B330:H330,0))),"")</f>
        <v/>
      </c>
      <c r="C330" s="29" t="str">
        <f>IF(A330="","",MAX(Pontuacao!B330:H330))</f>
        <v/>
      </c>
      <c r="D330" s="26" t="str">
        <f t="shared" si="1"/>
        <v/>
      </c>
      <c r="E330" s="26" t="str">
        <f t="shared" si="2"/>
        <v/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0" customHeight="1">
      <c r="A331" s="25" t="str">
        <f>IF(Pontuacao!A331="","",Pontuacao!A331)</f>
        <v/>
      </c>
      <c r="B331" s="26" t="str">
        <f t="array" ref="B331">IFERROR(IF(A331="","",INDEX(Pontuacao!$B$1:$H$1,MATCH(MAX(Pontuacao!B331:H331),Pontuacao!B331:H331,0))),"")</f>
        <v/>
      </c>
      <c r="C331" s="29" t="str">
        <f>IF(A331="","",MAX(Pontuacao!B331:H331))</f>
        <v/>
      </c>
      <c r="D331" s="26" t="str">
        <f t="shared" si="1"/>
        <v/>
      </c>
      <c r="E331" s="26" t="str">
        <f t="shared" si="2"/>
        <v/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0" customHeight="1">
      <c r="A332" s="25" t="str">
        <f>IF(Pontuacao!A332="","",Pontuacao!A332)</f>
        <v/>
      </c>
      <c r="B332" s="26" t="str">
        <f t="array" ref="B332">IFERROR(IF(A332="","",INDEX(Pontuacao!$B$1:$H$1,MATCH(MAX(Pontuacao!B332:H332),Pontuacao!B332:H332,0))),"")</f>
        <v/>
      </c>
      <c r="C332" s="29" t="str">
        <f>IF(A332="","",MAX(Pontuacao!B332:H332))</f>
        <v/>
      </c>
      <c r="D332" s="26" t="str">
        <f t="shared" si="1"/>
        <v/>
      </c>
      <c r="E332" s="26" t="str">
        <f t="shared" si="2"/>
        <v/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0" customHeight="1">
      <c r="A333" s="25" t="str">
        <f>IF(Pontuacao!A333="","",Pontuacao!A333)</f>
        <v/>
      </c>
      <c r="B333" s="26" t="str">
        <f t="array" ref="B333">IFERROR(IF(A333="","",INDEX(Pontuacao!$B$1:$H$1,MATCH(MAX(Pontuacao!B333:H333),Pontuacao!B333:H333,0))),"")</f>
        <v/>
      </c>
      <c r="C333" s="29" t="str">
        <f>IF(A333="","",MAX(Pontuacao!B333:H333))</f>
        <v/>
      </c>
      <c r="D333" s="26" t="str">
        <f t="shared" si="1"/>
        <v/>
      </c>
      <c r="E333" s="26" t="str">
        <f t="shared" si="2"/>
        <v/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0" customHeight="1">
      <c r="A334" s="25" t="str">
        <f>IF(Pontuacao!A334="","",Pontuacao!A334)</f>
        <v/>
      </c>
      <c r="B334" s="26" t="str">
        <f t="array" ref="B334">IFERROR(IF(A334="","",INDEX(Pontuacao!$B$1:$H$1,MATCH(MAX(Pontuacao!B334:H334),Pontuacao!B334:H334,0))),"")</f>
        <v/>
      </c>
      <c r="C334" s="29" t="str">
        <f>IF(A334="","",MAX(Pontuacao!B334:H334))</f>
        <v/>
      </c>
      <c r="D334" s="26" t="str">
        <f t="shared" si="1"/>
        <v/>
      </c>
      <c r="E334" s="26" t="str">
        <f t="shared" si="2"/>
        <v/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0" customHeight="1">
      <c r="A335" s="25" t="str">
        <f>IF(Pontuacao!A335="","",Pontuacao!A335)</f>
        <v/>
      </c>
      <c r="B335" s="26" t="str">
        <f t="array" ref="B335">IFERROR(IF(A335="","",INDEX(Pontuacao!$B$1:$H$1,MATCH(MAX(Pontuacao!B335:H335),Pontuacao!B335:H335,0))),"")</f>
        <v/>
      </c>
      <c r="C335" s="29" t="str">
        <f>IF(A335="","",MAX(Pontuacao!B335:H335))</f>
        <v/>
      </c>
      <c r="D335" s="26" t="str">
        <f t="shared" si="1"/>
        <v/>
      </c>
      <c r="E335" s="26" t="str">
        <f t="shared" si="2"/>
        <v/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0" customHeight="1">
      <c r="A336" s="25" t="str">
        <f>IF(Pontuacao!A336="","",Pontuacao!A336)</f>
        <v/>
      </c>
      <c r="B336" s="26" t="str">
        <f t="array" ref="B336">IFERROR(IF(A336="","",INDEX(Pontuacao!$B$1:$H$1,MATCH(MAX(Pontuacao!B336:H336),Pontuacao!B336:H336,0))),"")</f>
        <v/>
      </c>
      <c r="C336" s="29" t="str">
        <f>IF(A336="","",MAX(Pontuacao!B336:H336))</f>
        <v/>
      </c>
      <c r="D336" s="26" t="str">
        <f t="shared" si="1"/>
        <v/>
      </c>
      <c r="E336" s="26" t="str">
        <f t="shared" si="2"/>
        <v/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0" customHeight="1">
      <c r="A337" s="25" t="str">
        <f>IF(Pontuacao!A337="","",Pontuacao!A337)</f>
        <v/>
      </c>
      <c r="B337" s="26" t="str">
        <f t="array" ref="B337">IFERROR(IF(A337="","",INDEX(Pontuacao!$B$1:$H$1,MATCH(MAX(Pontuacao!B337:H337),Pontuacao!B337:H337,0))),"")</f>
        <v/>
      </c>
      <c r="C337" s="29" t="str">
        <f>IF(A337="","",MAX(Pontuacao!B337:H337))</f>
        <v/>
      </c>
      <c r="D337" s="26" t="str">
        <f t="shared" si="1"/>
        <v/>
      </c>
      <c r="E337" s="26" t="str">
        <f t="shared" si="2"/>
        <v/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0" customHeight="1">
      <c r="A338" s="25" t="str">
        <f>IF(Pontuacao!A338="","",Pontuacao!A338)</f>
        <v/>
      </c>
      <c r="B338" s="26" t="str">
        <f t="array" ref="B338">IFERROR(IF(A338="","",INDEX(Pontuacao!$B$1:$H$1,MATCH(MAX(Pontuacao!B338:H338),Pontuacao!B338:H338,0))),"")</f>
        <v/>
      </c>
      <c r="C338" s="29" t="str">
        <f>IF(A338="","",MAX(Pontuacao!B338:H338))</f>
        <v/>
      </c>
      <c r="D338" s="26" t="str">
        <f t="shared" si="1"/>
        <v/>
      </c>
      <c r="E338" s="26" t="str">
        <f t="shared" si="2"/>
        <v/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0" customHeight="1">
      <c r="A339" s="25" t="str">
        <f>IF(Pontuacao!A339="","",Pontuacao!A339)</f>
        <v/>
      </c>
      <c r="B339" s="26" t="str">
        <f t="array" ref="B339">IFERROR(IF(A339="","",INDEX(Pontuacao!$B$1:$H$1,MATCH(MAX(Pontuacao!B339:H339),Pontuacao!B339:H339,0))),"")</f>
        <v/>
      </c>
      <c r="C339" s="29" t="str">
        <f>IF(A339="","",MAX(Pontuacao!B339:H339))</f>
        <v/>
      </c>
      <c r="D339" s="26" t="str">
        <f t="shared" si="1"/>
        <v/>
      </c>
      <c r="E339" s="26" t="str">
        <f t="shared" si="2"/>
        <v/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0" customHeight="1">
      <c r="A340" s="25" t="str">
        <f>IF(Pontuacao!A340="","",Pontuacao!A340)</f>
        <v/>
      </c>
      <c r="B340" s="26" t="str">
        <f t="array" ref="B340">IFERROR(IF(A340="","",INDEX(Pontuacao!$B$1:$H$1,MATCH(MAX(Pontuacao!B340:H340),Pontuacao!B340:H340,0))),"")</f>
        <v/>
      </c>
      <c r="C340" s="29" t="str">
        <f>IF(A340="","",MAX(Pontuacao!B340:H340))</f>
        <v/>
      </c>
      <c r="D340" s="26" t="str">
        <f t="shared" si="1"/>
        <v/>
      </c>
      <c r="E340" s="26" t="str">
        <f t="shared" si="2"/>
        <v/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0" customHeight="1">
      <c r="A341" s="25" t="str">
        <f>IF(Pontuacao!A341="","",Pontuacao!A341)</f>
        <v/>
      </c>
      <c r="B341" s="26" t="str">
        <f t="array" ref="B341">IFERROR(IF(A341="","",INDEX(Pontuacao!$B$1:$H$1,MATCH(MAX(Pontuacao!B341:H341),Pontuacao!B341:H341,0))),"")</f>
        <v/>
      </c>
      <c r="C341" s="29" t="str">
        <f>IF(A341="","",MAX(Pontuacao!B341:H341))</f>
        <v/>
      </c>
      <c r="D341" s="26" t="str">
        <f t="shared" si="1"/>
        <v/>
      </c>
      <c r="E341" s="26" t="str">
        <f t="shared" si="2"/>
        <v/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0" customHeight="1">
      <c r="A342" s="25" t="str">
        <f>IF(Pontuacao!A342="","",Pontuacao!A342)</f>
        <v/>
      </c>
      <c r="B342" s="26" t="str">
        <f t="array" ref="B342">IFERROR(IF(A342="","",INDEX(Pontuacao!$B$1:$H$1,MATCH(MAX(Pontuacao!B342:H342),Pontuacao!B342:H342,0))),"")</f>
        <v/>
      </c>
      <c r="C342" s="29" t="str">
        <f>IF(A342="","",MAX(Pontuacao!B342:H342))</f>
        <v/>
      </c>
      <c r="D342" s="26" t="str">
        <f t="shared" si="1"/>
        <v/>
      </c>
      <c r="E342" s="26" t="str">
        <f t="shared" si="2"/>
        <v/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0" customHeight="1">
      <c r="A343" s="25" t="str">
        <f>IF(Pontuacao!A343="","",Pontuacao!A343)</f>
        <v/>
      </c>
      <c r="B343" s="26" t="str">
        <f t="array" ref="B343">IFERROR(IF(A343="","",INDEX(Pontuacao!$B$1:$H$1,MATCH(MAX(Pontuacao!B343:H343),Pontuacao!B343:H343,0))),"")</f>
        <v/>
      </c>
      <c r="C343" s="29" t="str">
        <f>IF(A343="","",MAX(Pontuacao!B343:H343))</f>
        <v/>
      </c>
      <c r="D343" s="26" t="str">
        <f t="shared" si="1"/>
        <v/>
      </c>
      <c r="E343" s="26" t="str">
        <f t="shared" si="2"/>
        <v/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0" customHeight="1">
      <c r="A344" s="25" t="str">
        <f>IF(Pontuacao!A344="","",Pontuacao!A344)</f>
        <v/>
      </c>
      <c r="B344" s="26" t="str">
        <f t="array" ref="B344">IFERROR(IF(A344="","",INDEX(Pontuacao!$B$1:$H$1,MATCH(MAX(Pontuacao!B344:H344),Pontuacao!B344:H344,0))),"")</f>
        <v/>
      </c>
      <c r="C344" s="29" t="str">
        <f>IF(A344="","",MAX(Pontuacao!B344:H344))</f>
        <v/>
      </c>
      <c r="D344" s="26" t="str">
        <f t="shared" si="1"/>
        <v/>
      </c>
      <c r="E344" s="26" t="str">
        <f t="shared" si="2"/>
        <v/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0" customHeight="1">
      <c r="A345" s="25" t="str">
        <f>IF(Pontuacao!A345="","",Pontuacao!A345)</f>
        <v/>
      </c>
      <c r="B345" s="26" t="str">
        <f t="array" ref="B345">IFERROR(IF(A345="","",INDEX(Pontuacao!$B$1:$H$1,MATCH(MAX(Pontuacao!B345:H345),Pontuacao!B345:H345,0))),"")</f>
        <v/>
      </c>
      <c r="C345" s="29" t="str">
        <f>IF(A345="","",MAX(Pontuacao!B345:H345))</f>
        <v/>
      </c>
      <c r="D345" s="26" t="str">
        <f t="shared" si="1"/>
        <v/>
      </c>
      <c r="E345" s="26" t="str">
        <f t="shared" si="2"/>
        <v/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0" customHeight="1">
      <c r="A346" s="25" t="str">
        <f>IF(Pontuacao!A346="","",Pontuacao!A346)</f>
        <v/>
      </c>
      <c r="B346" s="26" t="str">
        <f t="array" ref="B346">IFERROR(IF(A346="","",INDEX(Pontuacao!$B$1:$H$1,MATCH(MAX(Pontuacao!B346:H346),Pontuacao!B346:H346,0))),"")</f>
        <v/>
      </c>
      <c r="C346" s="29" t="str">
        <f>IF(A346="","",MAX(Pontuacao!B346:H346))</f>
        <v/>
      </c>
      <c r="D346" s="26" t="str">
        <f t="shared" si="1"/>
        <v/>
      </c>
      <c r="E346" s="26" t="str">
        <f t="shared" si="2"/>
        <v/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0" customHeight="1">
      <c r="A347" s="25" t="str">
        <f>IF(Pontuacao!A347="","",Pontuacao!A347)</f>
        <v/>
      </c>
      <c r="B347" s="26" t="str">
        <f t="array" ref="B347">IFERROR(IF(A347="","",INDEX(Pontuacao!$B$1:$H$1,MATCH(MAX(Pontuacao!B347:H347),Pontuacao!B347:H347,0))),"")</f>
        <v/>
      </c>
      <c r="C347" s="29" t="str">
        <f>IF(A347="","",MAX(Pontuacao!B347:H347))</f>
        <v/>
      </c>
      <c r="D347" s="26" t="str">
        <f t="shared" si="1"/>
        <v/>
      </c>
      <c r="E347" s="26" t="str">
        <f t="shared" si="2"/>
        <v/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0" customHeight="1">
      <c r="A348" s="25" t="str">
        <f>IF(Pontuacao!A348="","",Pontuacao!A348)</f>
        <v/>
      </c>
      <c r="B348" s="26" t="str">
        <f t="array" ref="B348">IFERROR(IF(A348="","",INDEX(Pontuacao!$B$1:$H$1,MATCH(MAX(Pontuacao!B348:H348),Pontuacao!B348:H348,0))),"")</f>
        <v/>
      </c>
      <c r="C348" s="29" t="str">
        <f>IF(A348="","",MAX(Pontuacao!B348:H348))</f>
        <v/>
      </c>
      <c r="D348" s="26" t="str">
        <f t="shared" si="1"/>
        <v/>
      </c>
      <c r="E348" s="26" t="str">
        <f t="shared" si="2"/>
        <v/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0" customHeight="1">
      <c r="A349" s="25" t="str">
        <f>IF(Pontuacao!A349="","",Pontuacao!A349)</f>
        <v/>
      </c>
      <c r="B349" s="26" t="str">
        <f t="array" ref="B349">IFERROR(IF(A349="","",INDEX(Pontuacao!$B$1:$H$1,MATCH(MAX(Pontuacao!B349:H349),Pontuacao!B349:H349,0))),"")</f>
        <v/>
      </c>
      <c r="C349" s="29" t="str">
        <f>IF(A349="","",MAX(Pontuacao!B349:H349))</f>
        <v/>
      </c>
      <c r="D349" s="26" t="str">
        <f t="shared" si="1"/>
        <v/>
      </c>
      <c r="E349" s="26" t="str">
        <f t="shared" si="2"/>
        <v/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0" customHeight="1">
      <c r="A350" s="25" t="str">
        <f>IF(Pontuacao!A350="","",Pontuacao!A350)</f>
        <v/>
      </c>
      <c r="B350" s="26" t="str">
        <f t="array" ref="B350">IFERROR(IF(A350="","",INDEX(Pontuacao!$B$1:$H$1,MATCH(MAX(Pontuacao!B350:H350),Pontuacao!B350:H350,0))),"")</f>
        <v/>
      </c>
      <c r="C350" s="29" t="str">
        <f>IF(A350="","",MAX(Pontuacao!B350:H350))</f>
        <v/>
      </c>
      <c r="D350" s="26" t="str">
        <f t="shared" si="1"/>
        <v/>
      </c>
      <c r="E350" s="26" t="str">
        <f t="shared" si="2"/>
        <v/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0" customHeight="1">
      <c r="A351" s="25" t="str">
        <f>IF(Pontuacao!A351="","",Pontuacao!A351)</f>
        <v/>
      </c>
      <c r="B351" s="26" t="str">
        <f t="array" ref="B351">IFERROR(IF(A351="","",INDEX(Pontuacao!$B$1:$H$1,MATCH(MAX(Pontuacao!B351:H351),Pontuacao!B351:H351,0))),"")</f>
        <v/>
      </c>
      <c r="C351" s="29" t="str">
        <f>IF(A351="","",MAX(Pontuacao!B351:H351))</f>
        <v/>
      </c>
      <c r="D351" s="26" t="str">
        <f t="shared" si="1"/>
        <v/>
      </c>
      <c r="E351" s="26" t="str">
        <f t="shared" si="2"/>
        <v/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0" customHeight="1">
      <c r="A352" s="25" t="str">
        <f>IF(Pontuacao!A352="","",Pontuacao!A352)</f>
        <v/>
      </c>
      <c r="B352" s="26" t="str">
        <f t="array" ref="B352">IFERROR(IF(A352="","",INDEX(Pontuacao!$B$1:$H$1,MATCH(MAX(Pontuacao!B352:H352),Pontuacao!B352:H352,0))),"")</f>
        <v/>
      </c>
      <c r="C352" s="29" t="str">
        <f>IF(A352="","",MAX(Pontuacao!B352:H352))</f>
        <v/>
      </c>
      <c r="D352" s="26" t="str">
        <f t="shared" si="1"/>
        <v/>
      </c>
      <c r="E352" s="26" t="str">
        <f t="shared" si="2"/>
        <v/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0" customHeight="1">
      <c r="A353" s="25" t="str">
        <f>IF(Pontuacao!A353="","",Pontuacao!A353)</f>
        <v/>
      </c>
      <c r="B353" s="26" t="str">
        <f t="array" ref="B353">IFERROR(IF(A353="","",INDEX(Pontuacao!$B$1:$H$1,MATCH(MAX(Pontuacao!B353:H353),Pontuacao!B353:H353,0))),"")</f>
        <v/>
      </c>
      <c r="C353" s="29" t="str">
        <f>IF(A353="","",MAX(Pontuacao!B353:H353))</f>
        <v/>
      </c>
      <c r="D353" s="26" t="str">
        <f t="shared" si="1"/>
        <v/>
      </c>
      <c r="E353" s="26" t="str">
        <f t="shared" si="2"/>
        <v/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0" customHeight="1">
      <c r="A354" s="25" t="str">
        <f>IF(Pontuacao!A354="","",Pontuacao!A354)</f>
        <v/>
      </c>
      <c r="B354" s="26" t="str">
        <f t="array" ref="B354">IFERROR(IF(A354="","",INDEX(Pontuacao!$B$1:$H$1,MATCH(MAX(Pontuacao!B354:H354),Pontuacao!B354:H354,0))),"")</f>
        <v/>
      </c>
      <c r="C354" s="29" t="str">
        <f>IF(A354="","",MAX(Pontuacao!B354:H354))</f>
        <v/>
      </c>
      <c r="D354" s="26" t="str">
        <f t="shared" si="1"/>
        <v/>
      </c>
      <c r="E354" s="26" t="str">
        <f t="shared" si="2"/>
        <v/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0" customHeight="1">
      <c r="A355" s="25" t="str">
        <f>IF(Pontuacao!A355="","",Pontuacao!A355)</f>
        <v/>
      </c>
      <c r="B355" s="26" t="str">
        <f t="array" ref="B355">IFERROR(IF(A355="","",INDEX(Pontuacao!$B$1:$H$1,MATCH(MAX(Pontuacao!B355:H355),Pontuacao!B355:H355,0))),"")</f>
        <v/>
      </c>
      <c r="C355" s="29" t="str">
        <f>IF(A355="","",MAX(Pontuacao!B355:H355))</f>
        <v/>
      </c>
      <c r="D355" s="26" t="str">
        <f t="shared" si="1"/>
        <v/>
      </c>
      <c r="E355" s="26" t="str">
        <f t="shared" si="2"/>
        <v/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0" customHeight="1">
      <c r="A356" s="25" t="str">
        <f>IF(Pontuacao!A356="","",Pontuacao!A356)</f>
        <v/>
      </c>
      <c r="B356" s="26" t="str">
        <f t="array" ref="B356">IFERROR(IF(A356="","",INDEX(Pontuacao!$B$1:$H$1,MATCH(MAX(Pontuacao!B356:H356),Pontuacao!B356:H356,0))),"")</f>
        <v/>
      </c>
      <c r="C356" s="29" t="str">
        <f>IF(A356="","",MAX(Pontuacao!B356:H356))</f>
        <v/>
      </c>
      <c r="D356" s="26" t="str">
        <f t="shared" si="1"/>
        <v/>
      </c>
      <c r="E356" s="26" t="str">
        <f t="shared" si="2"/>
        <v/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0" customHeight="1">
      <c r="A357" s="25" t="str">
        <f>IF(Pontuacao!A357="","",Pontuacao!A357)</f>
        <v/>
      </c>
      <c r="B357" s="26" t="str">
        <f t="array" ref="B357">IFERROR(IF(A357="","",INDEX(Pontuacao!$B$1:$H$1,MATCH(MAX(Pontuacao!B357:H357),Pontuacao!B357:H357,0))),"")</f>
        <v/>
      </c>
      <c r="C357" s="29" t="str">
        <f>IF(A357="","",MAX(Pontuacao!B357:H357))</f>
        <v/>
      </c>
      <c r="D357" s="26" t="str">
        <f t="shared" si="1"/>
        <v/>
      </c>
      <c r="E357" s="26" t="str">
        <f t="shared" si="2"/>
        <v/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0" customHeight="1">
      <c r="A358" s="25" t="str">
        <f>IF(Pontuacao!A358="","",Pontuacao!A358)</f>
        <v/>
      </c>
      <c r="B358" s="26" t="str">
        <f t="array" ref="B358">IFERROR(IF(A358="","",INDEX(Pontuacao!$B$1:$H$1,MATCH(MAX(Pontuacao!B358:H358),Pontuacao!B358:H358,0))),"")</f>
        <v/>
      </c>
      <c r="C358" s="29" t="str">
        <f>IF(A358="","",MAX(Pontuacao!B358:H358))</f>
        <v/>
      </c>
      <c r="D358" s="26" t="str">
        <f t="shared" si="1"/>
        <v/>
      </c>
      <c r="E358" s="26" t="str">
        <f t="shared" si="2"/>
        <v/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0" customHeight="1">
      <c r="A359" s="25" t="str">
        <f>IF(Pontuacao!A359="","",Pontuacao!A359)</f>
        <v/>
      </c>
      <c r="B359" s="26" t="str">
        <f t="array" ref="B359">IFERROR(IF(A359="","",INDEX(Pontuacao!$B$1:$H$1,MATCH(MAX(Pontuacao!B359:H359),Pontuacao!B359:H359,0))),"")</f>
        <v/>
      </c>
      <c r="C359" s="29" t="str">
        <f>IF(A359="","",MAX(Pontuacao!B359:H359))</f>
        <v/>
      </c>
      <c r="D359" s="26" t="str">
        <f t="shared" si="1"/>
        <v/>
      </c>
      <c r="E359" s="26" t="str">
        <f t="shared" si="2"/>
        <v/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0" customHeight="1">
      <c r="A360" s="25" t="str">
        <f>IF(Pontuacao!A360="","",Pontuacao!A360)</f>
        <v/>
      </c>
      <c r="B360" s="26" t="str">
        <f t="array" ref="B360">IFERROR(IF(A360="","",INDEX(Pontuacao!$B$1:$H$1,MATCH(MAX(Pontuacao!B360:H360),Pontuacao!B360:H360,0))),"")</f>
        <v/>
      </c>
      <c r="C360" s="29" t="str">
        <f>IF(A360="","",MAX(Pontuacao!B360:H360))</f>
        <v/>
      </c>
      <c r="D360" s="26" t="str">
        <f t="shared" si="1"/>
        <v/>
      </c>
      <c r="E360" s="26" t="str">
        <f t="shared" si="2"/>
        <v/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0" customHeight="1">
      <c r="A361" s="25" t="str">
        <f>IF(Pontuacao!A361="","",Pontuacao!A361)</f>
        <v/>
      </c>
      <c r="B361" s="26" t="str">
        <f t="array" ref="B361">IFERROR(IF(A361="","",INDEX(Pontuacao!$B$1:$H$1,MATCH(MAX(Pontuacao!B361:H361),Pontuacao!B361:H361,0))),"")</f>
        <v/>
      </c>
      <c r="C361" s="29" t="str">
        <f>IF(A361="","",MAX(Pontuacao!B361:H361))</f>
        <v/>
      </c>
      <c r="D361" s="26" t="str">
        <f t="shared" si="1"/>
        <v/>
      </c>
      <c r="E361" s="26" t="str">
        <f t="shared" si="2"/>
        <v/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0" customHeight="1">
      <c r="A362" s="25" t="str">
        <f>IF(Pontuacao!A362="","",Pontuacao!A362)</f>
        <v/>
      </c>
      <c r="B362" s="26" t="str">
        <f t="array" ref="B362">IFERROR(IF(A362="","",INDEX(Pontuacao!$B$1:$H$1,MATCH(MAX(Pontuacao!B362:H362),Pontuacao!B362:H362,0))),"")</f>
        <v/>
      </c>
      <c r="C362" s="29" t="str">
        <f>IF(A362="","",MAX(Pontuacao!B362:H362))</f>
        <v/>
      </c>
      <c r="D362" s="26" t="str">
        <f t="shared" si="1"/>
        <v/>
      </c>
      <c r="E362" s="26" t="str">
        <f t="shared" si="2"/>
        <v/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0" customHeight="1">
      <c r="A363" s="25" t="str">
        <f>IF(Pontuacao!A363="","",Pontuacao!A363)</f>
        <v/>
      </c>
      <c r="B363" s="26" t="str">
        <f t="array" ref="B363">IFERROR(IF(A363="","",INDEX(Pontuacao!$B$1:$H$1,MATCH(MAX(Pontuacao!B363:H363),Pontuacao!B363:H363,0))),"")</f>
        <v/>
      </c>
      <c r="C363" s="29" t="str">
        <f>IF(A363="","",MAX(Pontuacao!B363:H363))</f>
        <v/>
      </c>
      <c r="D363" s="26" t="str">
        <f t="shared" si="1"/>
        <v/>
      </c>
      <c r="E363" s="26" t="str">
        <f t="shared" si="2"/>
        <v/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0" customHeight="1">
      <c r="A364" s="25" t="str">
        <f>IF(Pontuacao!A364="","",Pontuacao!A364)</f>
        <v/>
      </c>
      <c r="B364" s="26" t="str">
        <f t="array" ref="B364">IFERROR(IF(A364="","",INDEX(Pontuacao!$B$1:$H$1,MATCH(MAX(Pontuacao!B364:H364),Pontuacao!B364:H364,0))),"")</f>
        <v/>
      </c>
      <c r="C364" s="29" t="str">
        <f>IF(A364="","",MAX(Pontuacao!B364:H364))</f>
        <v/>
      </c>
      <c r="D364" s="26" t="str">
        <f t="shared" si="1"/>
        <v/>
      </c>
      <c r="E364" s="26" t="str">
        <f t="shared" si="2"/>
        <v/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0" customHeight="1">
      <c r="A365" s="25" t="str">
        <f>IF(Pontuacao!A365="","",Pontuacao!A365)</f>
        <v/>
      </c>
      <c r="B365" s="26" t="str">
        <f t="array" ref="B365">IFERROR(IF(A365="","",INDEX(Pontuacao!$B$1:$H$1,MATCH(MAX(Pontuacao!B365:H365),Pontuacao!B365:H365,0))),"")</f>
        <v/>
      </c>
      <c r="C365" s="29" t="str">
        <f>IF(A365="","",MAX(Pontuacao!B365:H365))</f>
        <v/>
      </c>
      <c r="D365" s="26" t="str">
        <f t="shared" si="1"/>
        <v/>
      </c>
      <c r="E365" s="26" t="str">
        <f t="shared" si="2"/>
        <v/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0" customHeight="1">
      <c r="A366" s="25" t="str">
        <f>IF(Pontuacao!A366="","",Pontuacao!A366)</f>
        <v/>
      </c>
      <c r="B366" s="26" t="str">
        <f t="array" ref="B366">IFERROR(IF(A366="","",INDEX(Pontuacao!$B$1:$H$1,MATCH(MAX(Pontuacao!B366:H366),Pontuacao!B366:H366,0))),"")</f>
        <v/>
      </c>
      <c r="C366" s="29" t="str">
        <f>IF(A366="","",MAX(Pontuacao!B366:H366))</f>
        <v/>
      </c>
      <c r="D366" s="26" t="str">
        <f t="shared" si="1"/>
        <v/>
      </c>
      <c r="E366" s="26" t="str">
        <f t="shared" si="2"/>
        <v/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0" customHeight="1">
      <c r="A367" s="25" t="str">
        <f>IF(Pontuacao!A367="","",Pontuacao!A367)</f>
        <v/>
      </c>
      <c r="B367" s="26" t="str">
        <f t="array" ref="B367">IFERROR(IF(A367="","",INDEX(Pontuacao!$B$1:$H$1,MATCH(MAX(Pontuacao!B367:H367),Pontuacao!B367:H367,0))),"")</f>
        <v/>
      </c>
      <c r="C367" s="29" t="str">
        <f>IF(A367="","",MAX(Pontuacao!B367:H367))</f>
        <v/>
      </c>
      <c r="D367" s="26" t="str">
        <f t="shared" si="1"/>
        <v/>
      </c>
      <c r="E367" s="26" t="str">
        <f t="shared" si="2"/>
        <v/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0" customHeight="1">
      <c r="A368" s="25" t="str">
        <f>IF(Pontuacao!A368="","",Pontuacao!A368)</f>
        <v/>
      </c>
      <c r="B368" s="26" t="str">
        <f t="array" ref="B368">IFERROR(IF(A368="","",INDEX(Pontuacao!$B$1:$H$1,MATCH(MAX(Pontuacao!B368:H368),Pontuacao!B368:H368,0))),"")</f>
        <v/>
      </c>
      <c r="C368" s="29" t="str">
        <f>IF(A368="","",MAX(Pontuacao!B368:H368))</f>
        <v/>
      </c>
      <c r="D368" s="26" t="str">
        <f t="shared" si="1"/>
        <v/>
      </c>
      <c r="E368" s="26" t="str">
        <f t="shared" si="2"/>
        <v/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0" customHeight="1">
      <c r="A369" s="25" t="str">
        <f>IF(Pontuacao!A369="","",Pontuacao!A369)</f>
        <v/>
      </c>
      <c r="B369" s="26" t="str">
        <f t="array" ref="B369">IFERROR(IF(A369="","",INDEX(Pontuacao!$B$1:$H$1,MATCH(MAX(Pontuacao!B369:H369),Pontuacao!B369:H369,0))),"")</f>
        <v/>
      </c>
      <c r="C369" s="29" t="str">
        <f>IF(A369="","",MAX(Pontuacao!B369:H369))</f>
        <v/>
      </c>
      <c r="D369" s="26" t="str">
        <f t="shared" si="1"/>
        <v/>
      </c>
      <c r="E369" s="26" t="str">
        <f t="shared" si="2"/>
        <v/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0" customHeight="1">
      <c r="A370" s="25" t="str">
        <f>IF(Pontuacao!A370="","",Pontuacao!A370)</f>
        <v/>
      </c>
      <c r="B370" s="26" t="str">
        <f t="array" ref="B370">IFERROR(IF(A370="","",INDEX(Pontuacao!$B$1:$H$1,MATCH(MAX(Pontuacao!B370:H370),Pontuacao!B370:H370,0))),"")</f>
        <v/>
      </c>
      <c r="C370" s="29" t="str">
        <f>IF(A370="","",MAX(Pontuacao!B370:H370))</f>
        <v/>
      </c>
      <c r="D370" s="26" t="str">
        <f t="shared" si="1"/>
        <v/>
      </c>
      <c r="E370" s="26" t="str">
        <f t="shared" si="2"/>
        <v/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0" customHeight="1">
      <c r="A371" s="25" t="str">
        <f>IF(Pontuacao!A371="","",Pontuacao!A371)</f>
        <v/>
      </c>
      <c r="B371" s="26" t="str">
        <f t="array" ref="B371">IFERROR(IF(A371="","",INDEX(Pontuacao!$B$1:$H$1,MATCH(MAX(Pontuacao!B371:H371),Pontuacao!B371:H371,0))),"")</f>
        <v/>
      </c>
      <c r="C371" s="29" t="str">
        <f>IF(A371="","",MAX(Pontuacao!B371:H371))</f>
        <v/>
      </c>
      <c r="D371" s="26" t="str">
        <f t="shared" si="1"/>
        <v/>
      </c>
      <c r="E371" s="26" t="str">
        <f t="shared" si="2"/>
        <v/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0" customHeight="1">
      <c r="A372" s="25" t="str">
        <f>IF(Pontuacao!A372="","",Pontuacao!A372)</f>
        <v/>
      </c>
      <c r="B372" s="26" t="str">
        <f t="array" ref="B372">IFERROR(IF(A372="","",INDEX(Pontuacao!$B$1:$H$1,MATCH(MAX(Pontuacao!B372:H372),Pontuacao!B372:H372,0))),"")</f>
        <v/>
      </c>
      <c r="C372" s="29" t="str">
        <f>IF(A372="","",MAX(Pontuacao!B372:H372))</f>
        <v/>
      </c>
      <c r="D372" s="26" t="str">
        <f t="shared" si="1"/>
        <v/>
      </c>
      <c r="E372" s="26" t="str">
        <f t="shared" si="2"/>
        <v/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0" customHeight="1">
      <c r="A373" s="25" t="str">
        <f>IF(Pontuacao!A373="","",Pontuacao!A373)</f>
        <v/>
      </c>
      <c r="B373" s="26" t="str">
        <f t="array" ref="B373">IFERROR(IF(A373="","",INDEX(Pontuacao!$B$1:$H$1,MATCH(MAX(Pontuacao!B373:H373),Pontuacao!B373:H373,0))),"")</f>
        <v/>
      </c>
      <c r="C373" s="29" t="str">
        <f>IF(A373="","",MAX(Pontuacao!B373:H373))</f>
        <v/>
      </c>
      <c r="D373" s="26" t="str">
        <f t="shared" si="1"/>
        <v/>
      </c>
      <c r="E373" s="26" t="str">
        <f t="shared" si="2"/>
        <v/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0" customHeight="1">
      <c r="A374" s="25" t="str">
        <f>IF(Pontuacao!A374="","",Pontuacao!A374)</f>
        <v/>
      </c>
      <c r="B374" s="26" t="str">
        <f t="array" ref="B374">IFERROR(IF(A374="","",INDEX(Pontuacao!$B$1:$H$1,MATCH(MAX(Pontuacao!B374:H374),Pontuacao!B374:H374,0))),"")</f>
        <v/>
      </c>
      <c r="C374" s="29" t="str">
        <f>IF(A374="","",MAX(Pontuacao!B374:H374))</f>
        <v/>
      </c>
      <c r="D374" s="26" t="str">
        <f t="shared" si="1"/>
        <v/>
      </c>
      <c r="E374" s="26" t="str">
        <f t="shared" si="2"/>
        <v/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0" customHeight="1">
      <c r="A375" s="25" t="str">
        <f>IF(Pontuacao!A375="","",Pontuacao!A375)</f>
        <v/>
      </c>
      <c r="B375" s="26" t="str">
        <f t="array" ref="B375">IFERROR(IF(A375="","",INDEX(Pontuacao!$B$1:$H$1,MATCH(MAX(Pontuacao!B375:H375),Pontuacao!B375:H375,0))),"")</f>
        <v/>
      </c>
      <c r="C375" s="29" t="str">
        <f>IF(A375="","",MAX(Pontuacao!B375:H375))</f>
        <v/>
      </c>
      <c r="D375" s="26" t="str">
        <f t="shared" si="1"/>
        <v/>
      </c>
      <c r="E375" s="26" t="str">
        <f t="shared" si="2"/>
        <v/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0" customHeight="1">
      <c r="A376" s="25" t="str">
        <f>IF(Pontuacao!A376="","",Pontuacao!A376)</f>
        <v/>
      </c>
      <c r="B376" s="26" t="str">
        <f t="array" ref="B376">IFERROR(IF(A376="","",INDEX(Pontuacao!$B$1:$H$1,MATCH(MAX(Pontuacao!B376:H376),Pontuacao!B376:H376,0))),"")</f>
        <v/>
      </c>
      <c r="C376" s="29" t="str">
        <f>IF(A376="","",MAX(Pontuacao!B376:H376))</f>
        <v/>
      </c>
      <c r="D376" s="26" t="str">
        <f t="shared" si="1"/>
        <v/>
      </c>
      <c r="E376" s="26" t="str">
        <f t="shared" si="2"/>
        <v/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0" customHeight="1">
      <c r="A377" s="25" t="str">
        <f>IF(Pontuacao!A377="","",Pontuacao!A377)</f>
        <v/>
      </c>
      <c r="B377" s="26" t="str">
        <f t="array" ref="B377">IFERROR(IF(A377="","",INDEX(Pontuacao!$B$1:$H$1,MATCH(MAX(Pontuacao!B377:H377),Pontuacao!B377:H377,0))),"")</f>
        <v/>
      </c>
      <c r="C377" s="29" t="str">
        <f>IF(A377="","",MAX(Pontuacao!B377:H377))</f>
        <v/>
      </c>
      <c r="D377" s="26" t="str">
        <f t="shared" si="1"/>
        <v/>
      </c>
      <c r="E377" s="26" t="str">
        <f t="shared" si="2"/>
        <v/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0" customHeight="1">
      <c r="A378" s="25" t="str">
        <f>IF(Pontuacao!A378="","",Pontuacao!A378)</f>
        <v/>
      </c>
      <c r="B378" s="26" t="str">
        <f t="array" ref="B378">IFERROR(IF(A378="","",INDEX(Pontuacao!$B$1:$H$1,MATCH(MAX(Pontuacao!B378:H378),Pontuacao!B378:H378,0))),"")</f>
        <v/>
      </c>
      <c r="C378" s="29" t="str">
        <f>IF(A378="","",MAX(Pontuacao!B378:H378))</f>
        <v/>
      </c>
      <c r="D378" s="26" t="str">
        <f t="shared" si="1"/>
        <v/>
      </c>
      <c r="E378" s="26" t="str">
        <f t="shared" si="2"/>
        <v/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0" customHeight="1">
      <c r="A379" s="25" t="str">
        <f>IF(Pontuacao!A379="","",Pontuacao!A379)</f>
        <v/>
      </c>
      <c r="B379" s="26" t="str">
        <f t="array" ref="B379">IFERROR(IF(A379="","",INDEX(Pontuacao!$B$1:$H$1,MATCH(MAX(Pontuacao!B379:H379),Pontuacao!B379:H379,0))),"")</f>
        <v/>
      </c>
      <c r="C379" s="29" t="str">
        <f>IF(A379="","",MAX(Pontuacao!B379:H379))</f>
        <v/>
      </c>
      <c r="D379" s="26" t="str">
        <f t="shared" si="1"/>
        <v/>
      </c>
      <c r="E379" s="26" t="str">
        <f t="shared" si="2"/>
        <v/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0" customHeight="1">
      <c r="A380" s="25" t="str">
        <f>IF(Pontuacao!A380="","",Pontuacao!A380)</f>
        <v/>
      </c>
      <c r="B380" s="26" t="str">
        <f t="array" ref="B380">IFERROR(IF(A380="","",INDEX(Pontuacao!$B$1:$H$1,MATCH(MAX(Pontuacao!B380:H380),Pontuacao!B380:H380,0))),"")</f>
        <v/>
      </c>
      <c r="C380" s="29" t="str">
        <f>IF(A380="","",MAX(Pontuacao!B380:H380))</f>
        <v/>
      </c>
      <c r="D380" s="26" t="str">
        <f t="shared" si="1"/>
        <v/>
      </c>
      <c r="E380" s="26" t="str">
        <f t="shared" si="2"/>
        <v/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0" customHeight="1">
      <c r="A381" s="25" t="str">
        <f>IF(Pontuacao!A381="","",Pontuacao!A381)</f>
        <v/>
      </c>
      <c r="B381" s="26" t="str">
        <f t="array" ref="B381">IFERROR(IF(A381="","",INDEX(Pontuacao!$B$1:$H$1,MATCH(MAX(Pontuacao!B381:H381),Pontuacao!B381:H381,0))),"")</f>
        <v/>
      </c>
      <c r="C381" s="29" t="str">
        <f>IF(A381="","",MAX(Pontuacao!B381:H381))</f>
        <v/>
      </c>
      <c r="D381" s="26" t="str">
        <f t="shared" si="1"/>
        <v/>
      </c>
      <c r="E381" s="26" t="str">
        <f t="shared" si="2"/>
        <v/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0" customHeight="1">
      <c r="A382" s="25" t="str">
        <f>IF(Pontuacao!A382="","",Pontuacao!A382)</f>
        <v/>
      </c>
      <c r="B382" s="26" t="str">
        <f t="array" ref="B382">IFERROR(IF(A382="","",INDEX(Pontuacao!$B$1:$H$1,MATCH(MAX(Pontuacao!B382:H382),Pontuacao!B382:H382,0))),"")</f>
        <v/>
      </c>
      <c r="C382" s="29" t="str">
        <f>IF(A382="","",MAX(Pontuacao!B382:H382))</f>
        <v/>
      </c>
      <c r="D382" s="26" t="str">
        <f t="shared" si="1"/>
        <v/>
      </c>
      <c r="E382" s="26" t="str">
        <f t="shared" si="2"/>
        <v/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0" customHeight="1">
      <c r="A383" s="25" t="str">
        <f>IF(Pontuacao!A383="","",Pontuacao!A383)</f>
        <v/>
      </c>
      <c r="B383" s="26" t="str">
        <f t="array" ref="B383">IFERROR(IF(A383="","",INDEX(Pontuacao!$B$1:$H$1,MATCH(MAX(Pontuacao!B383:H383),Pontuacao!B383:H383,0))),"")</f>
        <v/>
      </c>
      <c r="C383" s="29" t="str">
        <f>IF(A383="","",MAX(Pontuacao!B383:H383))</f>
        <v/>
      </c>
      <c r="D383" s="26" t="str">
        <f t="shared" si="1"/>
        <v/>
      </c>
      <c r="E383" s="26" t="str">
        <f t="shared" si="2"/>
        <v/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0" customHeight="1">
      <c r="A384" s="25" t="str">
        <f>IF(Pontuacao!A384="","",Pontuacao!A384)</f>
        <v/>
      </c>
      <c r="B384" s="26" t="str">
        <f t="array" ref="B384">IFERROR(IF(A384="","",INDEX(Pontuacao!$B$1:$H$1,MATCH(MAX(Pontuacao!B384:H384),Pontuacao!B384:H384,0))),"")</f>
        <v/>
      </c>
      <c r="C384" s="29" t="str">
        <f>IF(A384="","",MAX(Pontuacao!B384:H384))</f>
        <v/>
      </c>
      <c r="D384" s="26" t="str">
        <f t="shared" si="1"/>
        <v/>
      </c>
      <c r="E384" s="26" t="str">
        <f t="shared" si="2"/>
        <v/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0" customHeight="1">
      <c r="A385" s="25" t="str">
        <f>IF(Pontuacao!A385="","",Pontuacao!A385)</f>
        <v/>
      </c>
      <c r="B385" s="26" t="str">
        <f t="array" ref="B385">IFERROR(IF(A385="","",INDEX(Pontuacao!$B$1:$H$1,MATCH(MAX(Pontuacao!B385:H385),Pontuacao!B385:H385,0))),"")</f>
        <v/>
      </c>
      <c r="C385" s="29" t="str">
        <f>IF(A385="","",MAX(Pontuacao!B385:H385))</f>
        <v/>
      </c>
      <c r="D385" s="26" t="str">
        <f t="shared" si="1"/>
        <v/>
      </c>
      <c r="E385" s="26" t="str">
        <f t="shared" si="2"/>
        <v/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0" customHeight="1">
      <c r="A386" s="25" t="str">
        <f>IF(Pontuacao!A386="","",Pontuacao!A386)</f>
        <v/>
      </c>
      <c r="B386" s="26" t="str">
        <f t="array" ref="B386">IFERROR(IF(A386="","",INDEX(Pontuacao!$B$1:$H$1,MATCH(MAX(Pontuacao!B386:H386),Pontuacao!B386:H386,0))),"")</f>
        <v/>
      </c>
      <c r="C386" s="29" t="str">
        <f>IF(A386="","",MAX(Pontuacao!B386:H386))</f>
        <v/>
      </c>
      <c r="D386" s="26" t="str">
        <f t="shared" si="1"/>
        <v/>
      </c>
      <c r="E386" s="26" t="str">
        <f t="shared" si="2"/>
        <v/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0" customHeight="1">
      <c r="A387" s="25" t="str">
        <f>IF(Pontuacao!A387="","",Pontuacao!A387)</f>
        <v/>
      </c>
      <c r="B387" s="26" t="str">
        <f t="array" ref="B387">IFERROR(IF(A387="","",INDEX(Pontuacao!$B$1:$H$1,MATCH(MAX(Pontuacao!B387:H387),Pontuacao!B387:H387,0))),"")</f>
        <v/>
      </c>
      <c r="C387" s="29" t="str">
        <f>IF(A387="","",MAX(Pontuacao!B387:H387))</f>
        <v/>
      </c>
      <c r="D387" s="26" t="str">
        <f t="shared" si="1"/>
        <v/>
      </c>
      <c r="E387" s="26" t="str">
        <f t="shared" si="2"/>
        <v/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0" customHeight="1">
      <c r="A388" s="25" t="str">
        <f>IF(Pontuacao!A388="","",Pontuacao!A388)</f>
        <v/>
      </c>
      <c r="B388" s="26" t="str">
        <f t="array" ref="B388">IFERROR(IF(A388="","",INDEX(Pontuacao!$B$1:$H$1,MATCH(MAX(Pontuacao!B388:H388),Pontuacao!B388:H388,0))),"")</f>
        <v/>
      </c>
      <c r="C388" s="29" t="str">
        <f>IF(A388="","",MAX(Pontuacao!B388:H388))</f>
        <v/>
      </c>
      <c r="D388" s="26" t="str">
        <f t="shared" si="1"/>
        <v/>
      </c>
      <c r="E388" s="26" t="str">
        <f t="shared" si="2"/>
        <v/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0" customHeight="1">
      <c r="A389" s="25" t="str">
        <f>IF(Pontuacao!A389="","",Pontuacao!A389)</f>
        <v/>
      </c>
      <c r="B389" s="26" t="str">
        <f t="array" ref="B389">IFERROR(IF(A389="","",INDEX(Pontuacao!$B$1:$H$1,MATCH(MAX(Pontuacao!B389:H389),Pontuacao!B389:H389,0))),"")</f>
        <v/>
      </c>
      <c r="C389" s="29" t="str">
        <f>IF(A389="","",MAX(Pontuacao!B389:H389))</f>
        <v/>
      </c>
      <c r="D389" s="26" t="str">
        <f t="shared" si="1"/>
        <v/>
      </c>
      <c r="E389" s="26" t="str">
        <f t="shared" si="2"/>
        <v/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0" customHeight="1">
      <c r="A390" s="25" t="str">
        <f>IF(Pontuacao!A390="","",Pontuacao!A390)</f>
        <v/>
      </c>
      <c r="B390" s="26" t="str">
        <f t="array" ref="B390">IFERROR(IF(A390="","",INDEX(Pontuacao!$B$1:$H$1,MATCH(MAX(Pontuacao!B390:H390),Pontuacao!B390:H390,0))),"")</f>
        <v/>
      </c>
      <c r="C390" s="29" t="str">
        <f>IF(A390="","",MAX(Pontuacao!B390:H390))</f>
        <v/>
      </c>
      <c r="D390" s="26" t="str">
        <f t="shared" si="1"/>
        <v/>
      </c>
      <c r="E390" s="26" t="str">
        <f t="shared" si="2"/>
        <v/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0" customHeight="1">
      <c r="A391" s="25" t="str">
        <f>IF(Pontuacao!A391="","",Pontuacao!A391)</f>
        <v/>
      </c>
      <c r="B391" s="26" t="str">
        <f t="array" ref="B391">IFERROR(IF(A391="","",INDEX(Pontuacao!$B$1:$H$1,MATCH(MAX(Pontuacao!B391:H391),Pontuacao!B391:H391,0))),"")</f>
        <v/>
      </c>
      <c r="C391" s="29" t="str">
        <f>IF(A391="","",MAX(Pontuacao!B391:H391))</f>
        <v/>
      </c>
      <c r="D391" s="26" t="str">
        <f t="shared" si="1"/>
        <v/>
      </c>
      <c r="E391" s="26" t="str">
        <f t="shared" si="2"/>
        <v/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0" customHeight="1">
      <c r="A392" s="25" t="str">
        <f>IF(Pontuacao!A392="","",Pontuacao!A392)</f>
        <v/>
      </c>
      <c r="B392" s="26" t="str">
        <f t="array" ref="B392">IFERROR(IF(A392="","",INDEX(Pontuacao!$B$1:$H$1,MATCH(MAX(Pontuacao!B392:H392),Pontuacao!B392:H392,0))),"")</f>
        <v/>
      </c>
      <c r="C392" s="29" t="str">
        <f>IF(A392="","",MAX(Pontuacao!B392:H392))</f>
        <v/>
      </c>
      <c r="D392" s="26" t="str">
        <f t="shared" si="1"/>
        <v/>
      </c>
      <c r="E392" s="26" t="str">
        <f t="shared" si="2"/>
        <v/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0" customHeight="1">
      <c r="A393" s="25" t="str">
        <f>IF(Pontuacao!A393="","",Pontuacao!A393)</f>
        <v/>
      </c>
      <c r="B393" s="26" t="str">
        <f t="array" ref="B393">IFERROR(IF(A393="","",INDEX(Pontuacao!$B$1:$H$1,MATCH(MAX(Pontuacao!B393:H393),Pontuacao!B393:H393,0))),"")</f>
        <v/>
      </c>
      <c r="C393" s="29" t="str">
        <f>IF(A393="","",MAX(Pontuacao!B393:H393))</f>
        <v/>
      </c>
      <c r="D393" s="26" t="str">
        <f t="shared" si="1"/>
        <v/>
      </c>
      <c r="E393" s="26" t="str">
        <f t="shared" si="2"/>
        <v/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0" customHeight="1">
      <c r="A394" s="25" t="str">
        <f>IF(Pontuacao!A394="","",Pontuacao!A394)</f>
        <v/>
      </c>
      <c r="B394" s="26" t="str">
        <f t="array" ref="B394">IFERROR(IF(A394="","",INDEX(Pontuacao!$B$1:$H$1,MATCH(MAX(Pontuacao!B394:H394),Pontuacao!B394:H394,0))),"")</f>
        <v/>
      </c>
      <c r="C394" s="29" t="str">
        <f>IF(A394="","",MAX(Pontuacao!B394:H394))</f>
        <v/>
      </c>
      <c r="D394" s="26" t="str">
        <f t="shared" si="1"/>
        <v/>
      </c>
      <c r="E394" s="26" t="str">
        <f t="shared" si="2"/>
        <v/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0" customHeight="1">
      <c r="A395" s="25" t="str">
        <f>IF(Pontuacao!A395="","",Pontuacao!A395)</f>
        <v/>
      </c>
      <c r="B395" s="26" t="str">
        <f t="array" ref="B395">IFERROR(IF(A395="","",INDEX(Pontuacao!$B$1:$H$1,MATCH(MAX(Pontuacao!B395:H395),Pontuacao!B395:H395,0))),"")</f>
        <v/>
      </c>
      <c r="C395" s="29" t="str">
        <f>IF(A395="","",MAX(Pontuacao!B395:H395))</f>
        <v/>
      </c>
      <c r="D395" s="26" t="str">
        <f t="shared" si="1"/>
        <v/>
      </c>
      <c r="E395" s="26" t="str">
        <f t="shared" si="2"/>
        <v/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0" customHeight="1">
      <c r="A396" s="25" t="str">
        <f>IF(Pontuacao!A396="","",Pontuacao!A396)</f>
        <v/>
      </c>
      <c r="B396" s="26" t="str">
        <f t="array" ref="B396">IFERROR(IF(A396="","",INDEX(Pontuacao!$B$1:$H$1,MATCH(MAX(Pontuacao!B396:H396),Pontuacao!B396:H396,0))),"")</f>
        <v/>
      </c>
      <c r="C396" s="29" t="str">
        <f>IF(A396="","",MAX(Pontuacao!B396:H396))</f>
        <v/>
      </c>
      <c r="D396" s="26" t="str">
        <f t="shared" si="1"/>
        <v/>
      </c>
      <c r="E396" s="26" t="str">
        <f t="shared" si="2"/>
        <v/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0" customHeight="1">
      <c r="A397" s="25" t="str">
        <f>IF(Pontuacao!A397="","",Pontuacao!A397)</f>
        <v/>
      </c>
      <c r="B397" s="26" t="str">
        <f t="array" ref="B397">IFERROR(IF(A397="","",INDEX(Pontuacao!$B$1:$H$1,MATCH(MAX(Pontuacao!B397:H397),Pontuacao!B397:H397,0))),"")</f>
        <v/>
      </c>
      <c r="C397" s="29" t="str">
        <f>IF(A397="","",MAX(Pontuacao!B397:H397))</f>
        <v/>
      </c>
      <c r="D397" s="26" t="str">
        <f t="shared" si="1"/>
        <v/>
      </c>
      <c r="E397" s="26" t="str">
        <f t="shared" si="2"/>
        <v/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0" customHeight="1">
      <c r="A398" s="25" t="str">
        <f>IF(Pontuacao!A398="","",Pontuacao!A398)</f>
        <v/>
      </c>
      <c r="B398" s="26" t="str">
        <f t="array" ref="B398">IFERROR(IF(A398="","",INDEX(Pontuacao!$B$1:$H$1,MATCH(MAX(Pontuacao!B398:H398),Pontuacao!B398:H398,0))),"")</f>
        <v/>
      </c>
      <c r="C398" s="29" t="str">
        <f>IF(A398="","",MAX(Pontuacao!B398:H398))</f>
        <v/>
      </c>
      <c r="D398" s="26" t="str">
        <f t="shared" si="1"/>
        <v/>
      </c>
      <c r="E398" s="26" t="str">
        <f t="shared" si="2"/>
        <v/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0" customHeight="1">
      <c r="A399" s="25" t="str">
        <f>IF(Pontuacao!A399="","",Pontuacao!A399)</f>
        <v/>
      </c>
      <c r="B399" s="26" t="str">
        <f t="array" ref="B399">IFERROR(IF(A399="","",INDEX(Pontuacao!$B$1:$H$1,MATCH(MAX(Pontuacao!B399:H399),Pontuacao!B399:H399,0))),"")</f>
        <v/>
      </c>
      <c r="C399" s="29" t="str">
        <f>IF(A399="","",MAX(Pontuacao!B399:H399))</f>
        <v/>
      </c>
      <c r="D399" s="26" t="str">
        <f t="shared" si="1"/>
        <v/>
      </c>
      <c r="E399" s="26" t="str">
        <f t="shared" si="2"/>
        <v/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0" customHeight="1">
      <c r="A400" s="25" t="str">
        <f>IF(Pontuacao!A400="","",Pontuacao!A400)</f>
        <v/>
      </c>
      <c r="B400" s="26" t="str">
        <f t="array" ref="B400">IFERROR(IF(A400="","",INDEX(Pontuacao!$B$1:$H$1,MATCH(MAX(Pontuacao!B400:H400),Pontuacao!B400:H400,0))),"")</f>
        <v/>
      </c>
      <c r="C400" s="29" t="str">
        <f>IF(A400="","",MAX(Pontuacao!B400:H400))</f>
        <v/>
      </c>
      <c r="D400" s="26" t="str">
        <f t="shared" si="1"/>
        <v/>
      </c>
      <c r="E400" s="26" t="str">
        <f t="shared" si="2"/>
        <v/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0" customHeight="1">
      <c r="A401" s="25" t="str">
        <f>IF(Pontuacao!A401="","",Pontuacao!A401)</f>
        <v/>
      </c>
      <c r="B401" s="26" t="str">
        <f t="array" ref="B401">IFERROR(IF(A401="","",INDEX(Pontuacao!$B$1:$H$1,MATCH(MAX(Pontuacao!B401:H401),Pontuacao!B401:H401,0))),"")</f>
        <v/>
      </c>
      <c r="C401" s="29" t="str">
        <f>IF(A401="","",MAX(Pontuacao!B401:H401))</f>
        <v/>
      </c>
      <c r="D401" s="26" t="str">
        <f t="shared" si="1"/>
        <v/>
      </c>
      <c r="E401" s="26" t="str">
        <f t="shared" si="2"/>
        <v/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0" customHeight="1">
      <c r="A402" s="25" t="str">
        <f>IF(Pontuacao!A402="","",Pontuacao!A402)</f>
        <v/>
      </c>
      <c r="B402" s="26" t="str">
        <f t="array" ref="B402">IFERROR(IF(A402="","",INDEX(Pontuacao!$B$1:$H$1,MATCH(MAX(Pontuacao!B402:H402),Pontuacao!B402:H402,0))),"")</f>
        <v/>
      </c>
      <c r="C402" s="29" t="str">
        <f>IF(A402="","",MAX(Pontuacao!B402:H402))</f>
        <v/>
      </c>
      <c r="D402" s="26" t="str">
        <f t="shared" si="1"/>
        <v/>
      </c>
      <c r="E402" s="26" t="str">
        <f t="shared" si="2"/>
        <v/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0" customHeight="1">
      <c r="A403" s="25" t="str">
        <f>IF(Pontuacao!A403="","",Pontuacao!A403)</f>
        <v/>
      </c>
      <c r="B403" s="26" t="str">
        <f t="array" ref="B403">IFERROR(IF(A403="","",INDEX(Pontuacao!$B$1:$H$1,MATCH(MAX(Pontuacao!B403:H403),Pontuacao!B403:H403,0))),"")</f>
        <v/>
      </c>
      <c r="C403" s="29" t="str">
        <f>IF(A403="","",MAX(Pontuacao!B403:H403))</f>
        <v/>
      </c>
      <c r="D403" s="26" t="str">
        <f t="shared" si="1"/>
        <v/>
      </c>
      <c r="E403" s="26" t="str">
        <f t="shared" si="2"/>
        <v/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0" customHeight="1">
      <c r="A404" s="25" t="str">
        <f>IF(Pontuacao!A404="","",Pontuacao!A404)</f>
        <v/>
      </c>
      <c r="B404" s="26" t="str">
        <f t="array" ref="B404">IFERROR(IF(A404="","",INDEX(Pontuacao!$B$1:$H$1,MATCH(MAX(Pontuacao!B404:H404),Pontuacao!B404:H404,0))),"")</f>
        <v/>
      </c>
      <c r="C404" s="29" t="str">
        <f>IF(A404="","",MAX(Pontuacao!B404:H404))</f>
        <v/>
      </c>
      <c r="D404" s="26" t="str">
        <f t="shared" si="1"/>
        <v/>
      </c>
      <c r="E404" s="26" t="str">
        <f t="shared" si="2"/>
        <v/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0" customHeight="1">
      <c r="A405" s="25" t="str">
        <f>IF(Pontuacao!A405="","",Pontuacao!A405)</f>
        <v/>
      </c>
      <c r="B405" s="26" t="str">
        <f t="array" ref="B405">IFERROR(IF(A405="","",INDEX(Pontuacao!$B$1:$H$1,MATCH(MAX(Pontuacao!B405:H405),Pontuacao!B405:H405,0))),"")</f>
        <v/>
      </c>
      <c r="C405" s="29" t="str">
        <f>IF(A405="","",MAX(Pontuacao!B405:H405))</f>
        <v/>
      </c>
      <c r="D405" s="26" t="str">
        <f t="shared" si="1"/>
        <v/>
      </c>
      <c r="E405" s="26" t="str">
        <f t="shared" si="2"/>
        <v/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0" customHeight="1">
      <c r="A406" s="25" t="str">
        <f>IF(Pontuacao!A406="","",Pontuacao!A406)</f>
        <v/>
      </c>
      <c r="B406" s="26" t="str">
        <f t="array" ref="B406">IFERROR(IF(A406="","",INDEX(Pontuacao!$B$1:$H$1,MATCH(MAX(Pontuacao!B406:H406),Pontuacao!B406:H406,0))),"")</f>
        <v/>
      </c>
      <c r="C406" s="29" t="str">
        <f>IF(A406="","",MAX(Pontuacao!B406:H406))</f>
        <v/>
      </c>
      <c r="D406" s="26" t="str">
        <f t="shared" si="1"/>
        <v/>
      </c>
      <c r="E406" s="26" t="str">
        <f t="shared" si="2"/>
        <v/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0" customHeight="1">
      <c r="A407" s="25" t="str">
        <f>IF(Pontuacao!A407="","",Pontuacao!A407)</f>
        <v/>
      </c>
      <c r="B407" s="26" t="str">
        <f t="array" ref="B407">IFERROR(IF(A407="","",INDEX(Pontuacao!$B$1:$H$1,MATCH(MAX(Pontuacao!B407:H407),Pontuacao!B407:H407,0))),"")</f>
        <v/>
      </c>
      <c r="C407" s="29" t="str">
        <f>IF(A407="","",MAX(Pontuacao!B407:H407))</f>
        <v/>
      </c>
      <c r="D407" s="26" t="str">
        <f t="shared" si="1"/>
        <v/>
      </c>
      <c r="E407" s="26" t="str">
        <f t="shared" si="2"/>
        <v/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0" customHeight="1">
      <c r="A408" s="25" t="str">
        <f>IF(Pontuacao!A408="","",Pontuacao!A408)</f>
        <v/>
      </c>
      <c r="B408" s="26" t="str">
        <f t="array" ref="B408">IFERROR(IF(A408="","",INDEX(Pontuacao!$B$1:$H$1,MATCH(MAX(Pontuacao!B408:H408),Pontuacao!B408:H408,0))),"")</f>
        <v/>
      </c>
      <c r="C408" s="29" t="str">
        <f>IF(A408="","",MAX(Pontuacao!B408:H408))</f>
        <v/>
      </c>
      <c r="D408" s="26" t="str">
        <f t="shared" si="1"/>
        <v/>
      </c>
      <c r="E408" s="26" t="str">
        <f t="shared" si="2"/>
        <v/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0" customHeight="1">
      <c r="A409" s="25" t="str">
        <f>IF(Pontuacao!A409="","",Pontuacao!A409)</f>
        <v/>
      </c>
      <c r="B409" s="26" t="str">
        <f t="array" ref="B409">IFERROR(IF(A409="","",INDEX(Pontuacao!$B$1:$H$1,MATCH(MAX(Pontuacao!B409:H409),Pontuacao!B409:H409,0))),"")</f>
        <v/>
      </c>
      <c r="C409" s="29" t="str">
        <f>IF(A409="","",MAX(Pontuacao!B409:H409))</f>
        <v/>
      </c>
      <c r="D409" s="26" t="str">
        <f t="shared" si="1"/>
        <v/>
      </c>
      <c r="E409" s="26" t="str">
        <f t="shared" si="2"/>
        <v/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0" customHeight="1">
      <c r="A410" s="25" t="str">
        <f>IF(Pontuacao!A410="","",Pontuacao!A410)</f>
        <v/>
      </c>
      <c r="B410" s="26" t="str">
        <f t="array" ref="B410">IFERROR(IF(A410="","",INDEX(Pontuacao!$B$1:$H$1,MATCH(MAX(Pontuacao!B410:H410),Pontuacao!B410:H410,0))),"")</f>
        <v/>
      </c>
      <c r="C410" s="29" t="str">
        <f>IF(A410="","",MAX(Pontuacao!B410:H410))</f>
        <v/>
      </c>
      <c r="D410" s="26" t="str">
        <f t="shared" si="1"/>
        <v/>
      </c>
      <c r="E410" s="26" t="str">
        <f t="shared" si="2"/>
        <v/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0" customHeight="1">
      <c r="A411" s="25" t="str">
        <f>IF(Pontuacao!A411="","",Pontuacao!A411)</f>
        <v/>
      </c>
      <c r="B411" s="26" t="str">
        <f t="array" ref="B411">IFERROR(IF(A411="","",INDEX(Pontuacao!$B$1:$H$1,MATCH(MAX(Pontuacao!B411:H411),Pontuacao!B411:H411,0))),"")</f>
        <v/>
      </c>
      <c r="C411" s="29" t="str">
        <f>IF(A411="","",MAX(Pontuacao!B411:H411))</f>
        <v/>
      </c>
      <c r="D411" s="26" t="str">
        <f t="shared" si="1"/>
        <v/>
      </c>
      <c r="E411" s="26" t="str">
        <f t="shared" si="2"/>
        <v/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0" customHeight="1">
      <c r="A412" s="25" t="str">
        <f>IF(Pontuacao!A412="","",Pontuacao!A412)</f>
        <v/>
      </c>
      <c r="B412" s="26" t="str">
        <f t="array" ref="B412">IFERROR(IF(A412="","",INDEX(Pontuacao!$B$1:$H$1,MATCH(MAX(Pontuacao!B412:H412),Pontuacao!B412:H412,0))),"")</f>
        <v/>
      </c>
      <c r="C412" s="29" t="str">
        <f>IF(A412="","",MAX(Pontuacao!B412:H412))</f>
        <v/>
      </c>
      <c r="D412" s="26" t="str">
        <f t="shared" si="1"/>
        <v/>
      </c>
      <c r="E412" s="26" t="str">
        <f t="shared" si="2"/>
        <v/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0" customHeight="1">
      <c r="A413" s="25" t="str">
        <f>IF(Pontuacao!A413="","",Pontuacao!A413)</f>
        <v/>
      </c>
      <c r="B413" s="26" t="str">
        <f t="array" ref="B413">IFERROR(IF(A413="","",INDEX(Pontuacao!$B$1:$H$1,MATCH(MAX(Pontuacao!B413:H413),Pontuacao!B413:H413,0))),"")</f>
        <v/>
      </c>
      <c r="C413" s="29" t="str">
        <f>IF(A413="","",MAX(Pontuacao!B413:H413))</f>
        <v/>
      </c>
      <c r="D413" s="26" t="str">
        <f t="shared" si="1"/>
        <v/>
      </c>
      <c r="E413" s="26" t="str">
        <f t="shared" si="2"/>
        <v/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0" customHeight="1">
      <c r="A414" s="25" t="str">
        <f>IF(Pontuacao!A414="","",Pontuacao!A414)</f>
        <v/>
      </c>
      <c r="B414" s="26" t="str">
        <f t="array" ref="B414">IFERROR(IF(A414="","",INDEX(Pontuacao!$B$1:$H$1,MATCH(MAX(Pontuacao!B414:H414),Pontuacao!B414:H414,0))),"")</f>
        <v/>
      </c>
      <c r="C414" s="29" t="str">
        <f>IF(A414="","",MAX(Pontuacao!B414:H414))</f>
        <v/>
      </c>
      <c r="D414" s="26" t="str">
        <f t="shared" si="1"/>
        <v/>
      </c>
      <c r="E414" s="26" t="str">
        <f t="shared" si="2"/>
        <v/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0" customHeight="1">
      <c r="A415" s="25" t="str">
        <f>IF(Pontuacao!A415="","",Pontuacao!A415)</f>
        <v/>
      </c>
      <c r="B415" s="26" t="str">
        <f t="array" ref="B415">IFERROR(IF(A415="","",INDEX(Pontuacao!$B$1:$H$1,MATCH(MAX(Pontuacao!B415:H415),Pontuacao!B415:H415,0))),"")</f>
        <v/>
      </c>
      <c r="C415" s="29" t="str">
        <f>IF(A415="","",MAX(Pontuacao!B415:H415))</f>
        <v/>
      </c>
      <c r="D415" s="26" t="str">
        <f t="shared" si="1"/>
        <v/>
      </c>
      <c r="E415" s="26" t="str">
        <f t="shared" si="2"/>
        <v/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0" customHeight="1">
      <c r="A416" s="25" t="str">
        <f>IF(Pontuacao!A416="","",Pontuacao!A416)</f>
        <v/>
      </c>
      <c r="B416" s="26" t="str">
        <f t="array" ref="B416">IFERROR(IF(A416="","",INDEX(Pontuacao!$B$1:$H$1,MATCH(MAX(Pontuacao!B416:H416),Pontuacao!B416:H416,0))),"")</f>
        <v/>
      </c>
      <c r="C416" s="29" t="str">
        <f>IF(A416="","",MAX(Pontuacao!B416:H416))</f>
        <v/>
      </c>
      <c r="D416" s="26" t="str">
        <f t="shared" si="1"/>
        <v/>
      </c>
      <c r="E416" s="26" t="str">
        <f t="shared" si="2"/>
        <v/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0" customHeight="1">
      <c r="A417" s="25" t="str">
        <f>IF(Pontuacao!A417="","",Pontuacao!A417)</f>
        <v/>
      </c>
      <c r="B417" s="26" t="str">
        <f t="array" ref="B417">IFERROR(IF(A417="","",INDEX(Pontuacao!$B$1:$H$1,MATCH(MAX(Pontuacao!B417:H417),Pontuacao!B417:H417,0))),"")</f>
        <v/>
      </c>
      <c r="C417" s="29" t="str">
        <f>IF(A417="","",MAX(Pontuacao!B417:H417))</f>
        <v/>
      </c>
      <c r="D417" s="26" t="str">
        <f t="shared" si="1"/>
        <v/>
      </c>
      <c r="E417" s="26" t="str">
        <f t="shared" si="2"/>
        <v/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0" customHeight="1">
      <c r="A418" s="25" t="str">
        <f>IF(Pontuacao!A418="","",Pontuacao!A418)</f>
        <v/>
      </c>
      <c r="B418" s="26" t="str">
        <f t="array" ref="B418">IFERROR(IF(A418="","",INDEX(Pontuacao!$B$1:$H$1,MATCH(MAX(Pontuacao!B418:H418),Pontuacao!B418:H418,0))),"")</f>
        <v/>
      </c>
      <c r="C418" s="29" t="str">
        <f>IF(A418="","",MAX(Pontuacao!B418:H418))</f>
        <v/>
      </c>
      <c r="D418" s="26" t="str">
        <f t="shared" si="1"/>
        <v/>
      </c>
      <c r="E418" s="26" t="str">
        <f t="shared" si="2"/>
        <v/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0" customHeight="1">
      <c r="A419" s="25" t="str">
        <f>IF(Pontuacao!A419="","",Pontuacao!A419)</f>
        <v/>
      </c>
      <c r="B419" s="26" t="str">
        <f t="array" ref="B419">IFERROR(IF(A419="","",INDEX(Pontuacao!$B$1:$H$1,MATCH(MAX(Pontuacao!B419:H419),Pontuacao!B419:H419,0))),"")</f>
        <v/>
      </c>
      <c r="C419" s="29" t="str">
        <f>IF(A419="","",MAX(Pontuacao!B419:H419))</f>
        <v/>
      </c>
      <c r="D419" s="26" t="str">
        <f t="shared" si="1"/>
        <v/>
      </c>
      <c r="E419" s="26" t="str">
        <f t="shared" si="2"/>
        <v/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0" customHeight="1">
      <c r="A420" s="25" t="str">
        <f>IF(Pontuacao!A420="","",Pontuacao!A420)</f>
        <v/>
      </c>
      <c r="B420" s="26" t="str">
        <f t="array" ref="B420">IFERROR(IF(A420="","",INDEX(Pontuacao!$B$1:$H$1,MATCH(MAX(Pontuacao!B420:H420),Pontuacao!B420:H420,0))),"")</f>
        <v/>
      </c>
      <c r="C420" s="29" t="str">
        <f>IF(A420="","",MAX(Pontuacao!B420:H420))</f>
        <v/>
      </c>
      <c r="D420" s="26" t="str">
        <f t="shared" si="1"/>
        <v/>
      </c>
      <c r="E420" s="26" t="str">
        <f t="shared" si="2"/>
        <v/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0" customHeight="1">
      <c r="A421" s="25" t="str">
        <f>IF(Pontuacao!A421="","",Pontuacao!A421)</f>
        <v/>
      </c>
      <c r="B421" s="26" t="str">
        <f t="array" ref="B421">IFERROR(IF(A421="","",INDEX(Pontuacao!$B$1:$H$1,MATCH(MAX(Pontuacao!B421:H421),Pontuacao!B421:H421,0))),"")</f>
        <v/>
      </c>
      <c r="C421" s="29" t="str">
        <f>IF(A421="","",MAX(Pontuacao!B421:H421))</f>
        <v/>
      </c>
      <c r="D421" s="26" t="str">
        <f t="shared" si="1"/>
        <v/>
      </c>
      <c r="E421" s="26" t="str">
        <f t="shared" si="2"/>
        <v/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0" customHeight="1">
      <c r="A422" s="25" t="str">
        <f>IF(Pontuacao!A422="","",Pontuacao!A422)</f>
        <v/>
      </c>
      <c r="B422" s="26" t="str">
        <f t="array" ref="B422">IFERROR(IF(A422="","",INDEX(Pontuacao!$B$1:$H$1,MATCH(MAX(Pontuacao!B422:H422),Pontuacao!B422:H422,0))),"")</f>
        <v/>
      </c>
      <c r="C422" s="29" t="str">
        <f>IF(A422="","",MAX(Pontuacao!B422:H422))</f>
        <v/>
      </c>
      <c r="D422" s="26" t="str">
        <f t="shared" si="1"/>
        <v/>
      </c>
      <c r="E422" s="26" t="str">
        <f t="shared" si="2"/>
        <v/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0" customHeight="1">
      <c r="A423" s="25" t="str">
        <f>IF(Pontuacao!A423="","",Pontuacao!A423)</f>
        <v/>
      </c>
      <c r="B423" s="26" t="str">
        <f t="array" ref="B423">IFERROR(IF(A423="","",INDEX(Pontuacao!$B$1:$H$1,MATCH(MAX(Pontuacao!B423:H423),Pontuacao!B423:H423,0))),"")</f>
        <v/>
      </c>
      <c r="C423" s="29" t="str">
        <f>IF(A423="","",MAX(Pontuacao!B423:H423))</f>
        <v/>
      </c>
      <c r="D423" s="26" t="str">
        <f t="shared" si="1"/>
        <v/>
      </c>
      <c r="E423" s="26" t="str">
        <f t="shared" si="2"/>
        <v/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0" customHeight="1">
      <c r="A424" s="25" t="str">
        <f>IF(Pontuacao!A424="","",Pontuacao!A424)</f>
        <v/>
      </c>
      <c r="B424" s="26" t="str">
        <f t="array" ref="B424">IFERROR(IF(A424="","",INDEX(Pontuacao!$B$1:$H$1,MATCH(MAX(Pontuacao!B424:H424),Pontuacao!B424:H424,0))),"")</f>
        <v/>
      </c>
      <c r="C424" s="29" t="str">
        <f>IF(A424="","",MAX(Pontuacao!B424:H424))</f>
        <v/>
      </c>
      <c r="D424" s="26" t="str">
        <f t="shared" si="1"/>
        <v/>
      </c>
      <c r="E424" s="26" t="str">
        <f t="shared" si="2"/>
        <v/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0" customHeight="1">
      <c r="A425" s="25" t="str">
        <f>IF(Pontuacao!A425="","",Pontuacao!A425)</f>
        <v/>
      </c>
      <c r="B425" s="26" t="str">
        <f t="array" ref="B425">IFERROR(IF(A425="","",INDEX(Pontuacao!$B$1:$H$1,MATCH(MAX(Pontuacao!B425:H425),Pontuacao!B425:H425,0))),"")</f>
        <v/>
      </c>
      <c r="C425" s="29" t="str">
        <f>IF(A425="","",MAX(Pontuacao!B425:H425))</f>
        <v/>
      </c>
      <c r="D425" s="26" t="str">
        <f t="shared" si="1"/>
        <v/>
      </c>
      <c r="E425" s="26" t="str">
        <f t="shared" si="2"/>
        <v/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0" customHeight="1">
      <c r="A426" s="25" t="str">
        <f>IF(Pontuacao!A426="","",Pontuacao!A426)</f>
        <v/>
      </c>
      <c r="B426" s="26" t="str">
        <f t="array" ref="B426">IFERROR(IF(A426="","",INDEX(Pontuacao!$B$1:$H$1,MATCH(MAX(Pontuacao!B426:H426),Pontuacao!B426:H426,0))),"")</f>
        <v/>
      </c>
      <c r="C426" s="29" t="str">
        <f>IF(A426="","",MAX(Pontuacao!B426:H426))</f>
        <v/>
      </c>
      <c r="D426" s="26" t="str">
        <f t="shared" si="1"/>
        <v/>
      </c>
      <c r="E426" s="26" t="str">
        <f t="shared" si="2"/>
        <v/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0" customHeight="1">
      <c r="A427" s="25" t="str">
        <f>IF(Pontuacao!A427="","",Pontuacao!A427)</f>
        <v/>
      </c>
      <c r="B427" s="26" t="str">
        <f t="array" ref="B427">IFERROR(IF(A427="","",INDEX(Pontuacao!$B$1:$H$1,MATCH(MAX(Pontuacao!B427:H427),Pontuacao!B427:H427,0))),"")</f>
        <v/>
      </c>
      <c r="C427" s="29" t="str">
        <f>IF(A427="","",MAX(Pontuacao!B427:H427))</f>
        <v/>
      </c>
      <c r="D427" s="26" t="str">
        <f t="shared" si="1"/>
        <v/>
      </c>
      <c r="E427" s="26" t="str">
        <f t="shared" si="2"/>
        <v/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0" customHeight="1">
      <c r="A428" s="25" t="str">
        <f>IF(Pontuacao!A428="","",Pontuacao!A428)</f>
        <v/>
      </c>
      <c r="B428" s="26" t="str">
        <f t="array" ref="B428">IFERROR(IF(A428="","",INDEX(Pontuacao!$B$1:$H$1,MATCH(MAX(Pontuacao!B428:H428),Pontuacao!B428:H428,0))),"")</f>
        <v/>
      </c>
      <c r="C428" s="29" t="str">
        <f>IF(A428="","",MAX(Pontuacao!B428:H428))</f>
        <v/>
      </c>
      <c r="D428" s="26" t="str">
        <f t="shared" si="1"/>
        <v/>
      </c>
      <c r="E428" s="26" t="str">
        <f t="shared" si="2"/>
        <v/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0" customHeight="1">
      <c r="A429" s="25" t="str">
        <f>IF(Pontuacao!A429="","",Pontuacao!A429)</f>
        <v/>
      </c>
      <c r="B429" s="26" t="str">
        <f t="array" ref="B429">IFERROR(IF(A429="","",INDEX(Pontuacao!$B$1:$H$1,MATCH(MAX(Pontuacao!B429:H429),Pontuacao!B429:H429,0))),"")</f>
        <v/>
      </c>
      <c r="C429" s="29" t="str">
        <f>IF(A429="","",MAX(Pontuacao!B429:H429))</f>
        <v/>
      </c>
      <c r="D429" s="26" t="str">
        <f t="shared" si="1"/>
        <v/>
      </c>
      <c r="E429" s="26" t="str">
        <f t="shared" si="2"/>
        <v/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0" customHeight="1">
      <c r="A430" s="25" t="str">
        <f>IF(Pontuacao!A430="","",Pontuacao!A430)</f>
        <v/>
      </c>
      <c r="B430" s="26" t="str">
        <f t="array" ref="B430">IFERROR(IF(A430="","",INDEX(Pontuacao!$B$1:$H$1,MATCH(MAX(Pontuacao!B430:H430),Pontuacao!B430:H430,0))),"")</f>
        <v/>
      </c>
      <c r="C430" s="29" t="str">
        <f>IF(A430="","",MAX(Pontuacao!B430:H430))</f>
        <v/>
      </c>
      <c r="D430" s="26" t="str">
        <f t="shared" si="1"/>
        <v/>
      </c>
      <c r="E430" s="26" t="str">
        <f t="shared" si="2"/>
        <v/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0" customHeight="1">
      <c r="A431" s="25" t="str">
        <f>IF(Pontuacao!A431="","",Pontuacao!A431)</f>
        <v/>
      </c>
      <c r="B431" s="26" t="str">
        <f t="array" ref="B431">IFERROR(IF(A431="","",INDEX(Pontuacao!$B$1:$H$1,MATCH(MAX(Pontuacao!B431:H431),Pontuacao!B431:H431,0))),"")</f>
        <v/>
      </c>
      <c r="C431" s="29" t="str">
        <f>IF(A431="","",MAX(Pontuacao!B431:H431))</f>
        <v/>
      </c>
      <c r="D431" s="26" t="str">
        <f t="shared" si="1"/>
        <v/>
      </c>
      <c r="E431" s="26" t="str">
        <f t="shared" si="2"/>
        <v/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0" customHeight="1">
      <c r="A432" s="25" t="str">
        <f>IF(Pontuacao!A432="","",Pontuacao!A432)</f>
        <v/>
      </c>
      <c r="B432" s="26" t="str">
        <f t="array" ref="B432">IFERROR(IF(A432="","",INDEX(Pontuacao!$B$1:$H$1,MATCH(MAX(Pontuacao!B432:H432),Pontuacao!B432:H432,0))),"")</f>
        <v/>
      </c>
      <c r="C432" s="29" t="str">
        <f>IF(A432="","",MAX(Pontuacao!B432:H432))</f>
        <v/>
      </c>
      <c r="D432" s="26" t="str">
        <f t="shared" si="1"/>
        <v/>
      </c>
      <c r="E432" s="26" t="str">
        <f t="shared" si="2"/>
        <v/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0" customHeight="1">
      <c r="A433" s="25" t="str">
        <f>IF(Pontuacao!A433="","",Pontuacao!A433)</f>
        <v/>
      </c>
      <c r="B433" s="26" t="str">
        <f t="array" ref="B433">IFERROR(IF(A433="","",INDEX(Pontuacao!$B$1:$H$1,MATCH(MAX(Pontuacao!B433:H433),Pontuacao!B433:H433,0))),"")</f>
        <v/>
      </c>
      <c r="C433" s="29" t="str">
        <f>IF(A433="","",MAX(Pontuacao!B433:H433))</f>
        <v/>
      </c>
      <c r="D433" s="26" t="str">
        <f t="shared" si="1"/>
        <v/>
      </c>
      <c r="E433" s="26" t="str">
        <f t="shared" si="2"/>
        <v/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0" customHeight="1">
      <c r="A434" s="25" t="str">
        <f>IF(Pontuacao!A434="","",Pontuacao!A434)</f>
        <v/>
      </c>
      <c r="B434" s="26" t="str">
        <f t="array" ref="B434">IFERROR(IF(A434="","",INDEX(Pontuacao!$B$1:$H$1,MATCH(MAX(Pontuacao!B434:H434),Pontuacao!B434:H434,0))),"")</f>
        <v/>
      </c>
      <c r="C434" s="29" t="str">
        <f>IF(A434="","",MAX(Pontuacao!B434:H434))</f>
        <v/>
      </c>
      <c r="D434" s="26" t="str">
        <f t="shared" si="1"/>
        <v/>
      </c>
      <c r="E434" s="26" t="str">
        <f t="shared" si="2"/>
        <v/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0" customHeight="1">
      <c r="A435" s="25" t="str">
        <f>IF(Pontuacao!A435="","",Pontuacao!A435)</f>
        <v/>
      </c>
      <c r="B435" s="26" t="str">
        <f t="array" ref="B435">IFERROR(IF(A435="","",INDEX(Pontuacao!$B$1:$H$1,MATCH(MAX(Pontuacao!B435:H435),Pontuacao!B435:H435,0))),"")</f>
        <v/>
      </c>
      <c r="C435" s="29" t="str">
        <f>IF(A435="","",MAX(Pontuacao!B435:H435))</f>
        <v/>
      </c>
      <c r="D435" s="26" t="str">
        <f t="shared" si="1"/>
        <v/>
      </c>
      <c r="E435" s="26" t="str">
        <f t="shared" si="2"/>
        <v/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0" customHeight="1">
      <c r="A436" s="25" t="str">
        <f>IF(Pontuacao!A436="","",Pontuacao!A436)</f>
        <v/>
      </c>
      <c r="B436" s="26" t="str">
        <f t="array" ref="B436">IFERROR(IF(A436="","",INDEX(Pontuacao!$B$1:$H$1,MATCH(MAX(Pontuacao!B436:H436),Pontuacao!B436:H436,0))),"")</f>
        <v/>
      </c>
      <c r="C436" s="29" t="str">
        <f>IF(A436="","",MAX(Pontuacao!B436:H436))</f>
        <v/>
      </c>
      <c r="D436" s="26" t="str">
        <f t="shared" si="1"/>
        <v/>
      </c>
      <c r="E436" s="26" t="str">
        <f t="shared" si="2"/>
        <v/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0" customHeight="1">
      <c r="A437" s="25" t="str">
        <f>IF(Pontuacao!A437="","",Pontuacao!A437)</f>
        <v/>
      </c>
      <c r="B437" s="26" t="str">
        <f t="array" ref="B437">IFERROR(IF(A437="","",INDEX(Pontuacao!$B$1:$H$1,MATCH(MAX(Pontuacao!B437:H437),Pontuacao!B437:H437,0))),"")</f>
        <v/>
      </c>
      <c r="C437" s="29" t="str">
        <f>IF(A437="","",MAX(Pontuacao!B437:H437))</f>
        <v/>
      </c>
      <c r="D437" s="26" t="str">
        <f t="shared" si="1"/>
        <v/>
      </c>
      <c r="E437" s="26" t="str">
        <f t="shared" si="2"/>
        <v/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0" customHeight="1">
      <c r="A438" s="25" t="str">
        <f>IF(Pontuacao!A438="","",Pontuacao!A438)</f>
        <v/>
      </c>
      <c r="B438" s="26" t="str">
        <f t="array" ref="B438">IFERROR(IF(A438="","",INDEX(Pontuacao!$B$1:$H$1,MATCH(MAX(Pontuacao!B438:H438),Pontuacao!B438:H438,0))),"")</f>
        <v/>
      </c>
      <c r="C438" s="29" t="str">
        <f>IF(A438="","",MAX(Pontuacao!B438:H438))</f>
        <v/>
      </c>
      <c r="D438" s="26" t="str">
        <f t="shared" si="1"/>
        <v/>
      </c>
      <c r="E438" s="26" t="str">
        <f t="shared" si="2"/>
        <v/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0" customHeight="1">
      <c r="A439" s="25" t="str">
        <f>IF(Pontuacao!A439="","",Pontuacao!A439)</f>
        <v/>
      </c>
      <c r="B439" s="26" t="str">
        <f t="array" ref="B439">IFERROR(IF(A439="","",INDEX(Pontuacao!$B$1:$H$1,MATCH(MAX(Pontuacao!B439:H439),Pontuacao!B439:H439,0))),"")</f>
        <v/>
      </c>
      <c r="C439" s="29" t="str">
        <f>IF(A439="","",MAX(Pontuacao!B439:H439))</f>
        <v/>
      </c>
      <c r="D439" s="26" t="str">
        <f t="shared" si="1"/>
        <v/>
      </c>
      <c r="E439" s="26" t="str">
        <f t="shared" si="2"/>
        <v/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0" customHeight="1">
      <c r="A440" s="25" t="str">
        <f>IF(Pontuacao!A440="","",Pontuacao!A440)</f>
        <v/>
      </c>
      <c r="B440" s="26" t="str">
        <f t="array" ref="B440">IFERROR(IF(A440="","",INDEX(Pontuacao!$B$1:$H$1,MATCH(MAX(Pontuacao!B440:H440),Pontuacao!B440:H440,0))),"")</f>
        <v/>
      </c>
      <c r="C440" s="29" t="str">
        <f>IF(A440="","",MAX(Pontuacao!B440:H440))</f>
        <v/>
      </c>
      <c r="D440" s="26" t="str">
        <f t="shared" si="1"/>
        <v/>
      </c>
      <c r="E440" s="26" t="str">
        <f t="shared" si="2"/>
        <v/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0" customHeight="1">
      <c r="A441" s="25" t="str">
        <f>IF(Pontuacao!A441="","",Pontuacao!A441)</f>
        <v/>
      </c>
      <c r="B441" s="26" t="str">
        <f t="array" ref="B441">IFERROR(IF(A441="","",INDEX(Pontuacao!$B$1:$H$1,MATCH(MAX(Pontuacao!B441:H441),Pontuacao!B441:H441,0))),"")</f>
        <v/>
      </c>
      <c r="C441" s="29" t="str">
        <f>IF(A441="","",MAX(Pontuacao!B441:H441))</f>
        <v/>
      </c>
      <c r="D441" s="26" t="str">
        <f t="shared" si="1"/>
        <v/>
      </c>
      <c r="E441" s="26" t="str">
        <f t="shared" si="2"/>
        <v/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0" customHeight="1">
      <c r="A442" s="25" t="str">
        <f>IF(Pontuacao!A442="","",Pontuacao!A442)</f>
        <v/>
      </c>
      <c r="B442" s="26" t="str">
        <f t="array" ref="B442">IFERROR(IF(A442="","",INDEX(Pontuacao!$B$1:$H$1,MATCH(MAX(Pontuacao!B442:H442),Pontuacao!B442:H442,0))),"")</f>
        <v/>
      </c>
      <c r="C442" s="29" t="str">
        <f>IF(A442="","",MAX(Pontuacao!B442:H442))</f>
        <v/>
      </c>
      <c r="D442" s="26" t="str">
        <f t="shared" si="1"/>
        <v/>
      </c>
      <c r="E442" s="26" t="str">
        <f t="shared" si="2"/>
        <v/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0" customHeight="1">
      <c r="A443" s="25" t="str">
        <f>IF(Pontuacao!A443="","",Pontuacao!A443)</f>
        <v/>
      </c>
      <c r="B443" s="26" t="str">
        <f t="array" ref="B443">IFERROR(IF(A443="","",INDEX(Pontuacao!$B$1:$H$1,MATCH(MAX(Pontuacao!B443:H443),Pontuacao!B443:H443,0))),"")</f>
        <v/>
      </c>
      <c r="C443" s="29" t="str">
        <f>IF(A443="","",MAX(Pontuacao!B443:H443))</f>
        <v/>
      </c>
      <c r="D443" s="26" t="str">
        <f t="shared" si="1"/>
        <v/>
      </c>
      <c r="E443" s="26" t="str">
        <f t="shared" si="2"/>
        <v/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0" customHeight="1">
      <c r="A444" s="25" t="str">
        <f>IF(Pontuacao!A444="","",Pontuacao!A444)</f>
        <v/>
      </c>
      <c r="B444" s="26" t="str">
        <f t="array" ref="B444">IFERROR(IF(A444="","",INDEX(Pontuacao!$B$1:$H$1,MATCH(MAX(Pontuacao!B444:H444),Pontuacao!B444:H444,0))),"")</f>
        <v/>
      </c>
      <c r="C444" s="29" t="str">
        <f>IF(A444="","",MAX(Pontuacao!B444:H444))</f>
        <v/>
      </c>
      <c r="D444" s="26" t="str">
        <f t="shared" si="1"/>
        <v/>
      </c>
      <c r="E444" s="26" t="str">
        <f t="shared" si="2"/>
        <v/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0" customHeight="1">
      <c r="A445" s="25" t="str">
        <f>IF(Pontuacao!A445="","",Pontuacao!A445)</f>
        <v/>
      </c>
      <c r="B445" s="26" t="str">
        <f t="array" ref="B445">IFERROR(IF(A445="","",INDEX(Pontuacao!$B$1:$H$1,MATCH(MAX(Pontuacao!B445:H445),Pontuacao!B445:H445,0))),"")</f>
        <v/>
      </c>
      <c r="C445" s="29" t="str">
        <f>IF(A445="","",MAX(Pontuacao!B445:H445))</f>
        <v/>
      </c>
      <c r="D445" s="26" t="str">
        <f t="shared" si="1"/>
        <v/>
      </c>
      <c r="E445" s="26" t="str">
        <f t="shared" si="2"/>
        <v/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0" customHeight="1">
      <c r="A446" s="25" t="str">
        <f>IF(Pontuacao!A446="","",Pontuacao!A446)</f>
        <v/>
      </c>
      <c r="B446" s="26" t="str">
        <f t="array" ref="B446">IFERROR(IF(A446="","",INDEX(Pontuacao!$B$1:$H$1,MATCH(MAX(Pontuacao!B446:H446),Pontuacao!B446:H446,0))),"")</f>
        <v/>
      </c>
      <c r="C446" s="29" t="str">
        <f>IF(A446="","",MAX(Pontuacao!B446:H446))</f>
        <v/>
      </c>
      <c r="D446" s="26" t="str">
        <f t="shared" si="1"/>
        <v/>
      </c>
      <c r="E446" s="26" t="str">
        <f t="shared" si="2"/>
        <v/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0" customHeight="1">
      <c r="A447" s="25" t="str">
        <f>IF(Pontuacao!A447="","",Pontuacao!A447)</f>
        <v/>
      </c>
      <c r="B447" s="26" t="str">
        <f t="array" ref="B447">IFERROR(IF(A447="","",INDEX(Pontuacao!$B$1:$H$1,MATCH(MAX(Pontuacao!B447:H447),Pontuacao!B447:H447,0))),"")</f>
        <v/>
      </c>
      <c r="C447" s="29" t="str">
        <f>IF(A447="","",MAX(Pontuacao!B447:H447))</f>
        <v/>
      </c>
      <c r="D447" s="26" t="str">
        <f t="shared" si="1"/>
        <v/>
      </c>
      <c r="E447" s="26" t="str">
        <f t="shared" si="2"/>
        <v/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0" customHeight="1">
      <c r="A448" s="25" t="str">
        <f>IF(Pontuacao!A448="","",Pontuacao!A448)</f>
        <v/>
      </c>
      <c r="B448" s="26" t="str">
        <f t="array" ref="B448">IFERROR(IF(A448="","",INDEX(Pontuacao!$B$1:$H$1,MATCH(MAX(Pontuacao!B448:H448),Pontuacao!B448:H448,0))),"")</f>
        <v/>
      </c>
      <c r="C448" s="29" t="str">
        <f>IF(A448="","",MAX(Pontuacao!B448:H448))</f>
        <v/>
      </c>
      <c r="D448" s="26" t="str">
        <f t="shared" si="1"/>
        <v/>
      </c>
      <c r="E448" s="26" t="str">
        <f t="shared" si="2"/>
        <v/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0" customHeight="1">
      <c r="A449" s="25" t="str">
        <f>IF(Pontuacao!A449="","",Pontuacao!A449)</f>
        <v/>
      </c>
      <c r="B449" s="26" t="str">
        <f t="array" ref="B449">IFERROR(IF(A449="","",INDEX(Pontuacao!$B$1:$H$1,MATCH(MAX(Pontuacao!B449:H449),Pontuacao!B449:H449,0))),"")</f>
        <v/>
      </c>
      <c r="C449" s="29" t="str">
        <f>IF(A449="","",MAX(Pontuacao!B449:H449))</f>
        <v/>
      </c>
      <c r="D449" s="26" t="str">
        <f t="shared" si="1"/>
        <v/>
      </c>
      <c r="E449" s="26" t="str">
        <f t="shared" si="2"/>
        <v/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0" customHeight="1">
      <c r="A450" s="25" t="str">
        <f>IF(Pontuacao!A450="","",Pontuacao!A450)</f>
        <v/>
      </c>
      <c r="B450" s="26" t="str">
        <f t="array" ref="B450">IFERROR(IF(A450="","",INDEX(Pontuacao!$B$1:$H$1,MATCH(MAX(Pontuacao!B450:H450),Pontuacao!B450:H450,0))),"")</f>
        <v/>
      </c>
      <c r="C450" s="29" t="str">
        <f>IF(A450="","",MAX(Pontuacao!B450:H450))</f>
        <v/>
      </c>
      <c r="D450" s="26" t="str">
        <f t="shared" si="1"/>
        <v/>
      </c>
      <c r="E450" s="26" t="str">
        <f t="shared" si="2"/>
        <v/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0" customHeight="1">
      <c r="A451" s="25" t="str">
        <f>IF(Pontuacao!A451="","",Pontuacao!A451)</f>
        <v/>
      </c>
      <c r="B451" s="26" t="str">
        <f t="array" ref="B451">IFERROR(IF(A451="","",INDEX(Pontuacao!$B$1:$H$1,MATCH(MAX(Pontuacao!B451:H451),Pontuacao!B451:H451,0))),"")</f>
        <v/>
      </c>
      <c r="C451" s="29" t="str">
        <f>IF(A451="","",MAX(Pontuacao!B451:H451))</f>
        <v/>
      </c>
      <c r="D451" s="26" t="str">
        <f t="shared" si="1"/>
        <v/>
      </c>
      <c r="E451" s="26" t="str">
        <f t="shared" si="2"/>
        <v/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0" customHeight="1">
      <c r="A452" s="25" t="str">
        <f>IF(Pontuacao!A452="","",Pontuacao!A452)</f>
        <v/>
      </c>
      <c r="B452" s="26" t="str">
        <f t="array" ref="B452">IFERROR(IF(A452="","",INDEX(Pontuacao!$B$1:$H$1,MATCH(MAX(Pontuacao!B452:H452),Pontuacao!B452:H452,0))),"")</f>
        <v/>
      </c>
      <c r="C452" s="29" t="str">
        <f>IF(A452="","",MAX(Pontuacao!B452:H452))</f>
        <v/>
      </c>
      <c r="D452" s="26" t="str">
        <f t="shared" si="1"/>
        <v/>
      </c>
      <c r="E452" s="26" t="str">
        <f t="shared" si="2"/>
        <v/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0" customHeight="1">
      <c r="A453" s="25" t="str">
        <f>IF(Pontuacao!A453="","",Pontuacao!A453)</f>
        <v/>
      </c>
      <c r="B453" s="26" t="str">
        <f t="array" ref="B453">IFERROR(IF(A453="","",INDEX(Pontuacao!$B$1:$H$1,MATCH(MAX(Pontuacao!B453:H453),Pontuacao!B453:H453,0))),"")</f>
        <v/>
      </c>
      <c r="C453" s="29" t="str">
        <f>IF(A453="","",MAX(Pontuacao!B453:H453))</f>
        <v/>
      </c>
      <c r="D453" s="26" t="str">
        <f t="shared" si="1"/>
        <v/>
      </c>
      <c r="E453" s="26" t="str">
        <f t="shared" si="2"/>
        <v/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0" customHeight="1">
      <c r="A454" s="25" t="str">
        <f>IF(Pontuacao!A454="","",Pontuacao!A454)</f>
        <v/>
      </c>
      <c r="B454" s="26" t="str">
        <f t="array" ref="B454">IFERROR(IF(A454="","",INDEX(Pontuacao!$B$1:$H$1,MATCH(MAX(Pontuacao!B454:H454),Pontuacao!B454:H454,0))),"")</f>
        <v/>
      </c>
      <c r="C454" s="29" t="str">
        <f>IF(A454="","",MAX(Pontuacao!B454:H454))</f>
        <v/>
      </c>
      <c r="D454" s="26" t="str">
        <f t="shared" si="1"/>
        <v/>
      </c>
      <c r="E454" s="26" t="str">
        <f t="shared" si="2"/>
        <v/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0" customHeight="1">
      <c r="A455" s="25" t="str">
        <f>IF(Pontuacao!A455="","",Pontuacao!A455)</f>
        <v/>
      </c>
      <c r="B455" s="26" t="str">
        <f t="array" ref="B455">IFERROR(IF(A455="","",INDEX(Pontuacao!$B$1:$H$1,MATCH(MAX(Pontuacao!B455:H455),Pontuacao!B455:H455,0))),"")</f>
        <v/>
      </c>
      <c r="C455" s="29" t="str">
        <f>IF(A455="","",MAX(Pontuacao!B455:H455))</f>
        <v/>
      </c>
      <c r="D455" s="26" t="str">
        <f t="shared" si="1"/>
        <v/>
      </c>
      <c r="E455" s="26" t="str">
        <f t="shared" si="2"/>
        <v/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0" customHeight="1">
      <c r="A456" s="25" t="str">
        <f>IF(Pontuacao!A456="","",Pontuacao!A456)</f>
        <v/>
      </c>
      <c r="B456" s="26" t="str">
        <f t="array" ref="B456">IFERROR(IF(A456="","",INDEX(Pontuacao!$B$1:$H$1,MATCH(MAX(Pontuacao!B456:H456),Pontuacao!B456:H456,0))),"")</f>
        <v/>
      </c>
      <c r="C456" s="29" t="str">
        <f>IF(A456="","",MAX(Pontuacao!B456:H456))</f>
        <v/>
      </c>
      <c r="D456" s="26" t="str">
        <f t="shared" si="1"/>
        <v/>
      </c>
      <c r="E456" s="26" t="str">
        <f t="shared" si="2"/>
        <v/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0" customHeight="1">
      <c r="A457" s="25" t="str">
        <f>IF(Pontuacao!A457="","",Pontuacao!A457)</f>
        <v/>
      </c>
      <c r="B457" s="26" t="str">
        <f t="array" ref="B457">IFERROR(IF(A457="","",INDEX(Pontuacao!$B$1:$H$1,MATCH(MAX(Pontuacao!B457:H457),Pontuacao!B457:H457,0))),"")</f>
        <v/>
      </c>
      <c r="C457" s="29" t="str">
        <f>IF(A457="","",MAX(Pontuacao!B457:H457))</f>
        <v/>
      </c>
      <c r="D457" s="26" t="str">
        <f t="shared" si="1"/>
        <v/>
      </c>
      <c r="E457" s="26" t="str">
        <f t="shared" si="2"/>
        <v/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0" customHeight="1">
      <c r="A458" s="25" t="str">
        <f>IF(Pontuacao!A458="","",Pontuacao!A458)</f>
        <v/>
      </c>
      <c r="B458" s="26" t="str">
        <f t="array" ref="B458">IFERROR(IF(A458="","",INDEX(Pontuacao!$B$1:$H$1,MATCH(MAX(Pontuacao!B458:H458),Pontuacao!B458:H458,0))),"")</f>
        <v/>
      </c>
      <c r="C458" s="29" t="str">
        <f>IF(A458="","",MAX(Pontuacao!B458:H458))</f>
        <v/>
      </c>
      <c r="D458" s="26" t="str">
        <f t="shared" si="1"/>
        <v/>
      </c>
      <c r="E458" s="26" t="str">
        <f t="shared" si="2"/>
        <v/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0" customHeight="1">
      <c r="A459" s="25" t="str">
        <f>IF(Pontuacao!A459="","",Pontuacao!A459)</f>
        <v/>
      </c>
      <c r="B459" s="26" t="str">
        <f t="array" ref="B459">IFERROR(IF(A459="","",INDEX(Pontuacao!$B$1:$H$1,MATCH(MAX(Pontuacao!B459:H459),Pontuacao!B459:H459,0))),"")</f>
        <v/>
      </c>
      <c r="C459" s="29" t="str">
        <f>IF(A459="","",MAX(Pontuacao!B459:H459))</f>
        <v/>
      </c>
      <c r="D459" s="26" t="str">
        <f t="shared" si="1"/>
        <v/>
      </c>
      <c r="E459" s="26" t="str">
        <f t="shared" si="2"/>
        <v/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0" customHeight="1">
      <c r="A460" s="25" t="str">
        <f>IF(Pontuacao!A460="","",Pontuacao!A460)</f>
        <v/>
      </c>
      <c r="B460" s="26" t="str">
        <f t="array" ref="B460">IFERROR(IF(A460="","",INDEX(Pontuacao!$B$1:$H$1,MATCH(MAX(Pontuacao!B460:H460),Pontuacao!B460:H460,0))),"")</f>
        <v/>
      </c>
      <c r="C460" s="29" t="str">
        <f>IF(A460="","",MAX(Pontuacao!B460:H460))</f>
        <v/>
      </c>
      <c r="D460" s="26" t="str">
        <f t="shared" si="1"/>
        <v/>
      </c>
      <c r="E460" s="26" t="str">
        <f t="shared" si="2"/>
        <v/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0" customHeight="1">
      <c r="A461" s="25" t="str">
        <f>IF(Pontuacao!A461="","",Pontuacao!A461)</f>
        <v/>
      </c>
      <c r="B461" s="26" t="str">
        <f t="array" ref="B461">IFERROR(IF(A461="","",INDEX(Pontuacao!$B$1:$H$1,MATCH(MAX(Pontuacao!B461:H461),Pontuacao!B461:H461,0))),"")</f>
        <v/>
      </c>
      <c r="C461" s="29" t="str">
        <f>IF(A461="","",MAX(Pontuacao!B461:H461))</f>
        <v/>
      </c>
      <c r="D461" s="26" t="str">
        <f t="shared" si="1"/>
        <v/>
      </c>
      <c r="E461" s="26" t="str">
        <f t="shared" si="2"/>
        <v/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0" customHeight="1">
      <c r="A462" s="25" t="str">
        <f>IF(Pontuacao!A462="","",Pontuacao!A462)</f>
        <v/>
      </c>
      <c r="B462" s="26" t="str">
        <f t="array" ref="B462">IFERROR(IF(A462="","",INDEX(Pontuacao!$B$1:$H$1,MATCH(MAX(Pontuacao!B462:H462),Pontuacao!B462:H462,0))),"")</f>
        <v/>
      </c>
      <c r="C462" s="29" t="str">
        <f>IF(A462="","",MAX(Pontuacao!B462:H462))</f>
        <v/>
      </c>
      <c r="D462" s="26" t="str">
        <f t="shared" si="1"/>
        <v/>
      </c>
      <c r="E462" s="26" t="str">
        <f t="shared" si="2"/>
        <v/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0" customHeight="1">
      <c r="A463" s="25" t="str">
        <f>IF(Pontuacao!A463="","",Pontuacao!A463)</f>
        <v/>
      </c>
      <c r="B463" s="26" t="str">
        <f t="array" ref="B463">IFERROR(IF(A463="","",INDEX(Pontuacao!$B$1:$H$1,MATCH(MAX(Pontuacao!B463:H463),Pontuacao!B463:H463,0))),"")</f>
        <v/>
      </c>
      <c r="C463" s="29" t="str">
        <f>IF(A463="","",MAX(Pontuacao!B463:H463))</f>
        <v/>
      </c>
      <c r="D463" s="26" t="str">
        <f t="shared" si="1"/>
        <v/>
      </c>
      <c r="E463" s="26" t="str">
        <f t="shared" si="2"/>
        <v/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0" customHeight="1">
      <c r="A464" s="25" t="str">
        <f>IF(Pontuacao!A464="","",Pontuacao!A464)</f>
        <v/>
      </c>
      <c r="B464" s="26" t="str">
        <f t="array" ref="B464">IFERROR(IF(A464="","",INDEX(Pontuacao!$B$1:$H$1,MATCH(MAX(Pontuacao!B464:H464),Pontuacao!B464:H464,0))),"")</f>
        <v/>
      </c>
      <c r="C464" s="29" t="str">
        <f>IF(A464="","",MAX(Pontuacao!B464:H464))</f>
        <v/>
      </c>
      <c r="D464" s="26" t="str">
        <f t="shared" si="1"/>
        <v/>
      </c>
      <c r="E464" s="26" t="str">
        <f t="shared" si="2"/>
        <v/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0" customHeight="1">
      <c r="A465" s="25" t="str">
        <f>IF(Pontuacao!A465="","",Pontuacao!A465)</f>
        <v/>
      </c>
      <c r="B465" s="26" t="str">
        <f t="array" ref="B465">IFERROR(IF(A465="","",INDEX(Pontuacao!$B$1:$H$1,MATCH(MAX(Pontuacao!B465:H465),Pontuacao!B465:H465,0))),"")</f>
        <v/>
      </c>
      <c r="C465" s="29" t="str">
        <f>IF(A465="","",MAX(Pontuacao!B465:H465))</f>
        <v/>
      </c>
      <c r="D465" s="26" t="str">
        <f t="shared" si="1"/>
        <v/>
      </c>
      <c r="E465" s="26" t="str">
        <f t="shared" si="2"/>
        <v/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0" customHeight="1">
      <c r="A466" s="25" t="str">
        <f>IF(Pontuacao!A466="","",Pontuacao!A466)</f>
        <v/>
      </c>
      <c r="B466" s="26" t="str">
        <f t="array" ref="B466">IFERROR(IF(A466="","",INDEX(Pontuacao!$B$1:$H$1,MATCH(MAX(Pontuacao!B466:H466),Pontuacao!B466:H466,0))),"")</f>
        <v/>
      </c>
      <c r="C466" s="29" t="str">
        <f>IF(A466="","",MAX(Pontuacao!B466:H466))</f>
        <v/>
      </c>
      <c r="D466" s="26" t="str">
        <f t="shared" si="1"/>
        <v/>
      </c>
      <c r="E466" s="26" t="str">
        <f t="shared" si="2"/>
        <v/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0" customHeight="1">
      <c r="A467" s="25" t="str">
        <f>IF(Pontuacao!A467="","",Pontuacao!A467)</f>
        <v/>
      </c>
      <c r="B467" s="26" t="str">
        <f t="array" ref="B467">IFERROR(IF(A467="","",INDEX(Pontuacao!$B$1:$H$1,MATCH(MAX(Pontuacao!B467:H467),Pontuacao!B467:H467,0))),"")</f>
        <v/>
      </c>
      <c r="C467" s="29" t="str">
        <f>IF(A467="","",MAX(Pontuacao!B467:H467))</f>
        <v/>
      </c>
      <c r="D467" s="26" t="str">
        <f t="shared" si="1"/>
        <v/>
      </c>
      <c r="E467" s="26" t="str">
        <f t="shared" si="2"/>
        <v/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0" customHeight="1">
      <c r="A468" s="25" t="str">
        <f>IF(Pontuacao!A468="","",Pontuacao!A468)</f>
        <v/>
      </c>
      <c r="B468" s="26" t="str">
        <f t="array" ref="B468">IFERROR(IF(A468="","",INDEX(Pontuacao!$B$1:$H$1,MATCH(MAX(Pontuacao!B468:H468),Pontuacao!B468:H468,0))),"")</f>
        <v/>
      </c>
      <c r="C468" s="29" t="str">
        <f>IF(A468="","",MAX(Pontuacao!B468:H468))</f>
        <v/>
      </c>
      <c r="D468" s="26" t="str">
        <f t="shared" si="1"/>
        <v/>
      </c>
      <c r="E468" s="26" t="str">
        <f t="shared" si="2"/>
        <v/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0" customHeight="1">
      <c r="A469" s="25" t="str">
        <f>IF(Pontuacao!A469="","",Pontuacao!A469)</f>
        <v/>
      </c>
      <c r="B469" s="26" t="str">
        <f t="array" ref="B469">IFERROR(IF(A469="","",INDEX(Pontuacao!$B$1:$H$1,MATCH(MAX(Pontuacao!B469:H469),Pontuacao!B469:H469,0))),"")</f>
        <v/>
      </c>
      <c r="C469" s="29" t="str">
        <f>IF(A469="","",MAX(Pontuacao!B469:H469))</f>
        <v/>
      </c>
      <c r="D469" s="26" t="str">
        <f t="shared" si="1"/>
        <v/>
      </c>
      <c r="E469" s="26" t="str">
        <f t="shared" si="2"/>
        <v/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0" customHeight="1">
      <c r="A470" s="25" t="str">
        <f>IF(Pontuacao!A470="","",Pontuacao!A470)</f>
        <v/>
      </c>
      <c r="B470" s="26" t="str">
        <f t="array" ref="B470">IFERROR(IF(A470="","",INDEX(Pontuacao!$B$1:$H$1,MATCH(MAX(Pontuacao!B470:H470),Pontuacao!B470:H470,0))),"")</f>
        <v/>
      </c>
      <c r="C470" s="29" t="str">
        <f>IF(A470="","",MAX(Pontuacao!B470:H470))</f>
        <v/>
      </c>
      <c r="D470" s="26" t="str">
        <f t="shared" si="1"/>
        <v/>
      </c>
      <c r="E470" s="26" t="str">
        <f t="shared" si="2"/>
        <v/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0" customHeight="1">
      <c r="A471" s="25" t="str">
        <f>IF(Pontuacao!A471="","",Pontuacao!A471)</f>
        <v/>
      </c>
      <c r="B471" s="26" t="str">
        <f t="array" ref="B471">IFERROR(IF(A471="","",INDEX(Pontuacao!$B$1:$H$1,MATCH(MAX(Pontuacao!B471:H471),Pontuacao!B471:H471,0))),"")</f>
        <v/>
      </c>
      <c r="C471" s="29" t="str">
        <f>IF(A471="","",MAX(Pontuacao!B471:H471))</f>
        <v/>
      </c>
      <c r="D471" s="26" t="str">
        <f t="shared" si="1"/>
        <v/>
      </c>
      <c r="E471" s="26" t="str">
        <f t="shared" si="2"/>
        <v/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0" customHeight="1">
      <c r="A472" s="25" t="str">
        <f>IF(Pontuacao!A472="","",Pontuacao!A472)</f>
        <v/>
      </c>
      <c r="B472" s="26" t="str">
        <f t="array" ref="B472">IFERROR(IF(A472="","",INDEX(Pontuacao!$B$1:$H$1,MATCH(MAX(Pontuacao!B472:H472),Pontuacao!B472:H472,0))),"")</f>
        <v/>
      </c>
      <c r="C472" s="29" t="str">
        <f>IF(A472="","",MAX(Pontuacao!B472:H472))</f>
        <v/>
      </c>
      <c r="D472" s="26" t="str">
        <f t="shared" si="1"/>
        <v/>
      </c>
      <c r="E472" s="26" t="str">
        <f t="shared" si="2"/>
        <v/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0" customHeight="1">
      <c r="A473" s="25" t="str">
        <f>IF(Pontuacao!A473="","",Pontuacao!A473)</f>
        <v/>
      </c>
      <c r="B473" s="26" t="str">
        <f t="array" ref="B473">IFERROR(IF(A473="","",INDEX(Pontuacao!$B$1:$H$1,MATCH(MAX(Pontuacao!B473:H473),Pontuacao!B473:H473,0))),"")</f>
        <v/>
      </c>
      <c r="C473" s="29" t="str">
        <f>IF(A473="","",MAX(Pontuacao!B473:H473))</f>
        <v/>
      </c>
      <c r="D473" s="26" t="str">
        <f t="shared" si="1"/>
        <v/>
      </c>
      <c r="E473" s="26" t="str">
        <f t="shared" si="2"/>
        <v/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0" customHeight="1">
      <c r="A474" s="25" t="str">
        <f>IF(Pontuacao!A474="","",Pontuacao!A474)</f>
        <v/>
      </c>
      <c r="B474" s="26" t="str">
        <f t="array" ref="B474">IFERROR(IF(A474="","",INDEX(Pontuacao!$B$1:$H$1,MATCH(MAX(Pontuacao!B474:H474),Pontuacao!B474:H474,0))),"")</f>
        <v/>
      </c>
      <c r="C474" s="29" t="str">
        <f>IF(A474="","",MAX(Pontuacao!B474:H474))</f>
        <v/>
      </c>
      <c r="D474" s="26" t="str">
        <f t="shared" si="1"/>
        <v/>
      </c>
      <c r="E474" s="26" t="str">
        <f t="shared" si="2"/>
        <v/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0" customHeight="1">
      <c r="A475" s="25" t="str">
        <f>IF(Pontuacao!A475="","",Pontuacao!A475)</f>
        <v/>
      </c>
      <c r="B475" s="26" t="str">
        <f t="array" ref="B475">IFERROR(IF(A475="","",INDEX(Pontuacao!$B$1:$H$1,MATCH(MAX(Pontuacao!B475:H475),Pontuacao!B475:H475,0))),"")</f>
        <v/>
      </c>
      <c r="C475" s="29" t="str">
        <f>IF(A475="","",MAX(Pontuacao!B475:H475))</f>
        <v/>
      </c>
      <c r="D475" s="26" t="str">
        <f t="shared" si="1"/>
        <v/>
      </c>
      <c r="E475" s="26" t="str">
        <f t="shared" si="2"/>
        <v/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0" customHeight="1">
      <c r="A476" s="25" t="str">
        <f>IF(Pontuacao!A476="","",Pontuacao!A476)</f>
        <v/>
      </c>
      <c r="B476" s="26" t="str">
        <f t="array" ref="B476">IFERROR(IF(A476="","",INDEX(Pontuacao!$B$1:$H$1,MATCH(MAX(Pontuacao!B476:H476),Pontuacao!B476:H476,0))),"")</f>
        <v/>
      </c>
      <c r="C476" s="29" t="str">
        <f>IF(A476="","",MAX(Pontuacao!B476:H476))</f>
        <v/>
      </c>
      <c r="D476" s="26" t="str">
        <f t="shared" si="1"/>
        <v/>
      </c>
      <c r="E476" s="26" t="str">
        <f t="shared" si="2"/>
        <v/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0" customHeight="1">
      <c r="A477" s="25" t="str">
        <f>IF(Pontuacao!A477="","",Pontuacao!A477)</f>
        <v/>
      </c>
      <c r="B477" s="26" t="str">
        <f t="array" ref="B477">IFERROR(IF(A477="","",INDEX(Pontuacao!$B$1:$H$1,MATCH(MAX(Pontuacao!B477:H477),Pontuacao!B477:H477,0))),"")</f>
        <v/>
      </c>
      <c r="C477" s="29" t="str">
        <f>IF(A477="","",MAX(Pontuacao!B477:H477))</f>
        <v/>
      </c>
      <c r="D477" s="26" t="str">
        <f t="shared" si="1"/>
        <v/>
      </c>
      <c r="E477" s="26" t="str">
        <f t="shared" si="2"/>
        <v/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0" customHeight="1">
      <c r="A478" s="25" t="str">
        <f>IF(Pontuacao!A478="","",Pontuacao!A478)</f>
        <v/>
      </c>
      <c r="B478" s="26" t="str">
        <f t="array" ref="B478">IFERROR(IF(A478="","",INDEX(Pontuacao!$B$1:$H$1,MATCH(MAX(Pontuacao!B478:H478),Pontuacao!B478:H478,0))),"")</f>
        <v/>
      </c>
      <c r="C478" s="29" t="str">
        <f>IF(A478="","",MAX(Pontuacao!B478:H478))</f>
        <v/>
      </c>
      <c r="D478" s="26" t="str">
        <f t="shared" si="1"/>
        <v/>
      </c>
      <c r="E478" s="26" t="str">
        <f t="shared" si="2"/>
        <v/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0" customHeight="1">
      <c r="A479" s="25" t="str">
        <f>IF(Pontuacao!A479="","",Pontuacao!A479)</f>
        <v/>
      </c>
      <c r="B479" s="26" t="str">
        <f t="array" ref="B479">IFERROR(IF(A479="","",INDEX(Pontuacao!$B$1:$H$1,MATCH(MAX(Pontuacao!B479:H479),Pontuacao!B479:H479,0))),"")</f>
        <v/>
      </c>
      <c r="C479" s="29" t="str">
        <f>IF(A479="","",MAX(Pontuacao!B479:H479))</f>
        <v/>
      </c>
      <c r="D479" s="26" t="str">
        <f t="shared" si="1"/>
        <v/>
      </c>
      <c r="E479" s="26" t="str">
        <f t="shared" si="2"/>
        <v/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0" customHeight="1">
      <c r="A480" s="25" t="str">
        <f>IF(Pontuacao!A480="","",Pontuacao!A480)</f>
        <v/>
      </c>
      <c r="B480" s="26" t="str">
        <f t="array" ref="B480">IFERROR(IF(A480="","",INDEX(Pontuacao!$B$1:$H$1,MATCH(MAX(Pontuacao!B480:H480),Pontuacao!B480:H480,0))),"")</f>
        <v/>
      </c>
      <c r="C480" s="29" t="str">
        <f>IF(A480="","",MAX(Pontuacao!B480:H480))</f>
        <v/>
      </c>
      <c r="D480" s="26" t="str">
        <f t="shared" si="1"/>
        <v/>
      </c>
      <c r="E480" s="26" t="str">
        <f t="shared" si="2"/>
        <v/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0" customHeight="1">
      <c r="A481" s="25" t="str">
        <f>IF(Pontuacao!A481="","",Pontuacao!A481)</f>
        <v/>
      </c>
      <c r="B481" s="26" t="str">
        <f t="array" ref="B481">IFERROR(IF(A481="","",INDEX(Pontuacao!$B$1:$H$1,MATCH(MAX(Pontuacao!B481:H481),Pontuacao!B481:H481,0))),"")</f>
        <v/>
      </c>
      <c r="C481" s="29" t="str">
        <f>IF(A481="","",MAX(Pontuacao!B481:H481))</f>
        <v/>
      </c>
      <c r="D481" s="26" t="str">
        <f t="shared" si="1"/>
        <v/>
      </c>
      <c r="E481" s="26" t="str">
        <f t="shared" si="2"/>
        <v/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0" customHeight="1">
      <c r="A482" s="25" t="str">
        <f>IF(Pontuacao!A482="","",Pontuacao!A482)</f>
        <v/>
      </c>
      <c r="B482" s="26" t="str">
        <f t="array" ref="B482">IFERROR(IF(A482="","",INDEX(Pontuacao!$B$1:$H$1,MATCH(MAX(Pontuacao!B482:H482),Pontuacao!B482:H482,0))),"")</f>
        <v/>
      </c>
      <c r="C482" s="29" t="str">
        <f>IF(A482="","",MAX(Pontuacao!B482:H482))</f>
        <v/>
      </c>
      <c r="D482" s="26" t="str">
        <f t="shared" si="1"/>
        <v/>
      </c>
      <c r="E482" s="26" t="str">
        <f t="shared" si="2"/>
        <v/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0" customHeight="1">
      <c r="A483" s="25" t="str">
        <f>IF(Pontuacao!A483="","",Pontuacao!A483)</f>
        <v/>
      </c>
      <c r="B483" s="26" t="str">
        <f t="array" ref="B483">IFERROR(IF(A483="","",INDEX(Pontuacao!$B$1:$H$1,MATCH(MAX(Pontuacao!B483:H483),Pontuacao!B483:H483,0))),"")</f>
        <v/>
      </c>
      <c r="C483" s="29" t="str">
        <f>IF(A483="","",MAX(Pontuacao!B483:H483))</f>
        <v/>
      </c>
      <c r="D483" s="26" t="str">
        <f t="shared" si="1"/>
        <v/>
      </c>
      <c r="E483" s="26" t="str">
        <f t="shared" si="2"/>
        <v/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0" customHeight="1">
      <c r="A484" s="25" t="str">
        <f>IF(Pontuacao!A484="","",Pontuacao!A484)</f>
        <v/>
      </c>
      <c r="B484" s="26" t="str">
        <f t="array" ref="B484">IFERROR(IF(A484="","",INDEX(Pontuacao!$B$1:$H$1,MATCH(MAX(Pontuacao!B484:H484),Pontuacao!B484:H484,0))),"")</f>
        <v/>
      </c>
      <c r="C484" s="29" t="str">
        <f>IF(A484="","",MAX(Pontuacao!B484:H484))</f>
        <v/>
      </c>
      <c r="D484" s="26" t="str">
        <f t="shared" si="1"/>
        <v/>
      </c>
      <c r="E484" s="26" t="str">
        <f t="shared" si="2"/>
        <v/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0" customHeight="1">
      <c r="A485" s="25" t="str">
        <f>IF(Pontuacao!A485="","",Pontuacao!A485)</f>
        <v/>
      </c>
      <c r="B485" s="26" t="str">
        <f t="array" ref="B485">IFERROR(IF(A485="","",INDEX(Pontuacao!$B$1:$H$1,MATCH(MAX(Pontuacao!B485:H485),Pontuacao!B485:H485,0))),"")</f>
        <v/>
      </c>
      <c r="C485" s="29" t="str">
        <f>IF(A485="","",MAX(Pontuacao!B485:H485))</f>
        <v/>
      </c>
      <c r="D485" s="26" t="str">
        <f t="shared" si="1"/>
        <v/>
      </c>
      <c r="E485" s="26" t="str">
        <f t="shared" si="2"/>
        <v/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0" customHeight="1">
      <c r="A486" s="25" t="str">
        <f>IF(Pontuacao!A486="","",Pontuacao!A486)</f>
        <v/>
      </c>
      <c r="B486" s="26" t="str">
        <f t="array" ref="B486">IFERROR(IF(A486="","",INDEX(Pontuacao!$B$1:$H$1,MATCH(MAX(Pontuacao!B486:H486),Pontuacao!B486:H486,0))),"")</f>
        <v/>
      </c>
      <c r="C486" s="29" t="str">
        <f>IF(A486="","",MAX(Pontuacao!B486:H486))</f>
        <v/>
      </c>
      <c r="D486" s="26" t="str">
        <f t="shared" si="1"/>
        <v/>
      </c>
      <c r="E486" s="26" t="str">
        <f t="shared" si="2"/>
        <v/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0" customHeight="1">
      <c r="A487" s="25" t="str">
        <f>IF(Pontuacao!A487="","",Pontuacao!A487)</f>
        <v/>
      </c>
      <c r="B487" s="26" t="str">
        <f t="array" ref="B487">IFERROR(IF(A487="","",INDEX(Pontuacao!$B$1:$H$1,MATCH(MAX(Pontuacao!B487:H487),Pontuacao!B487:H487,0))),"")</f>
        <v/>
      </c>
      <c r="C487" s="29" t="str">
        <f>IF(A487="","",MAX(Pontuacao!B487:H487))</f>
        <v/>
      </c>
      <c r="D487" s="26" t="str">
        <f t="shared" si="1"/>
        <v/>
      </c>
      <c r="E487" s="26" t="str">
        <f t="shared" si="2"/>
        <v/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0" customHeight="1">
      <c r="A488" s="25" t="str">
        <f>IF(Pontuacao!A488="","",Pontuacao!A488)</f>
        <v/>
      </c>
      <c r="B488" s="26" t="str">
        <f t="array" ref="B488">IFERROR(IF(A488="","",INDEX(Pontuacao!$B$1:$H$1,MATCH(MAX(Pontuacao!B488:H488),Pontuacao!B488:H488,0))),"")</f>
        <v/>
      </c>
      <c r="C488" s="29" t="str">
        <f>IF(A488="","",MAX(Pontuacao!B488:H488))</f>
        <v/>
      </c>
      <c r="D488" s="26" t="str">
        <f t="shared" si="1"/>
        <v/>
      </c>
      <c r="E488" s="26" t="str">
        <f t="shared" si="2"/>
        <v/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0" customHeight="1">
      <c r="A489" s="25" t="str">
        <f>IF(Pontuacao!A489="","",Pontuacao!A489)</f>
        <v/>
      </c>
      <c r="B489" s="26" t="str">
        <f t="array" ref="B489">IFERROR(IF(A489="","",INDEX(Pontuacao!$B$1:$H$1,MATCH(MAX(Pontuacao!B489:H489),Pontuacao!B489:H489,0))),"")</f>
        <v/>
      </c>
      <c r="C489" s="29" t="str">
        <f>IF(A489="","",MAX(Pontuacao!B489:H489))</f>
        <v/>
      </c>
      <c r="D489" s="26" t="str">
        <f t="shared" si="1"/>
        <v/>
      </c>
      <c r="E489" s="26" t="str">
        <f t="shared" si="2"/>
        <v/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0" customHeight="1">
      <c r="A490" s="25" t="str">
        <f>IF(Pontuacao!A490="","",Pontuacao!A490)</f>
        <v/>
      </c>
      <c r="B490" s="26" t="str">
        <f t="array" ref="B490">IFERROR(IF(A490="","",INDEX(Pontuacao!$B$1:$H$1,MATCH(MAX(Pontuacao!B490:H490),Pontuacao!B490:H490,0))),"")</f>
        <v/>
      </c>
      <c r="C490" s="29" t="str">
        <f>IF(A490="","",MAX(Pontuacao!B490:H490))</f>
        <v/>
      </c>
      <c r="D490" s="26" t="str">
        <f t="shared" si="1"/>
        <v/>
      </c>
      <c r="E490" s="26" t="str">
        <f t="shared" si="2"/>
        <v/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0" customHeight="1">
      <c r="A491" s="25" t="str">
        <f>IF(Pontuacao!A491="","",Pontuacao!A491)</f>
        <v/>
      </c>
      <c r="B491" s="26" t="str">
        <f t="array" ref="B491">IFERROR(IF(A491="","",INDEX(Pontuacao!$B$1:$H$1,MATCH(MAX(Pontuacao!B491:H491),Pontuacao!B491:H491,0))),"")</f>
        <v/>
      </c>
      <c r="C491" s="29" t="str">
        <f>IF(A491="","",MAX(Pontuacao!B491:H491))</f>
        <v/>
      </c>
      <c r="D491" s="26" t="str">
        <f t="shared" si="1"/>
        <v/>
      </c>
      <c r="E491" s="26" t="str">
        <f t="shared" si="2"/>
        <v/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0" customHeight="1">
      <c r="A492" s="25" t="str">
        <f>IF(Pontuacao!A492="","",Pontuacao!A492)</f>
        <v/>
      </c>
      <c r="B492" s="26" t="str">
        <f t="array" ref="B492">IFERROR(IF(A492="","",INDEX(Pontuacao!$B$1:$H$1,MATCH(MAX(Pontuacao!B492:H492),Pontuacao!B492:H492,0))),"")</f>
        <v/>
      </c>
      <c r="C492" s="29" t="str">
        <f>IF(A492="","",MAX(Pontuacao!B492:H492))</f>
        <v/>
      </c>
      <c r="D492" s="26" t="str">
        <f t="shared" si="1"/>
        <v/>
      </c>
      <c r="E492" s="26" t="str">
        <f t="shared" si="2"/>
        <v/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0" customHeight="1">
      <c r="A493" s="25" t="str">
        <f>IF(Pontuacao!A493="","",Pontuacao!A493)</f>
        <v/>
      </c>
      <c r="B493" s="26" t="str">
        <f t="array" ref="B493">IFERROR(IF(A493="","",INDEX(Pontuacao!$B$1:$H$1,MATCH(MAX(Pontuacao!B493:H493),Pontuacao!B493:H493,0))),"")</f>
        <v/>
      </c>
      <c r="C493" s="29" t="str">
        <f>IF(A493="","",MAX(Pontuacao!B493:H493))</f>
        <v/>
      </c>
      <c r="D493" s="26" t="str">
        <f t="shared" si="1"/>
        <v/>
      </c>
      <c r="E493" s="26" t="str">
        <f t="shared" si="2"/>
        <v/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0" customHeight="1">
      <c r="A494" s="25" t="str">
        <f>IF(Pontuacao!A494="","",Pontuacao!A494)</f>
        <v/>
      </c>
      <c r="B494" s="26" t="str">
        <f t="array" ref="B494">IFERROR(IF(A494="","",INDEX(Pontuacao!$B$1:$H$1,MATCH(MAX(Pontuacao!B494:H494),Pontuacao!B494:H494,0))),"")</f>
        <v/>
      </c>
      <c r="C494" s="29" t="str">
        <f>IF(A494="","",MAX(Pontuacao!B494:H494))</f>
        <v/>
      </c>
      <c r="D494" s="26" t="str">
        <f t="shared" si="1"/>
        <v/>
      </c>
      <c r="E494" s="26" t="str">
        <f t="shared" si="2"/>
        <v/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0" customHeight="1">
      <c r="A495" s="25" t="str">
        <f>IF(Pontuacao!A495="","",Pontuacao!A495)</f>
        <v/>
      </c>
      <c r="B495" s="26" t="str">
        <f t="array" ref="B495">IFERROR(IF(A495="","",INDEX(Pontuacao!$B$1:$H$1,MATCH(MAX(Pontuacao!B495:H495),Pontuacao!B495:H495,0))),"")</f>
        <v/>
      </c>
      <c r="C495" s="29" t="str">
        <f>IF(A495="","",MAX(Pontuacao!B495:H495))</f>
        <v/>
      </c>
      <c r="D495" s="26" t="str">
        <f t="shared" si="1"/>
        <v/>
      </c>
      <c r="E495" s="26" t="str">
        <f t="shared" si="2"/>
        <v/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0" customHeight="1">
      <c r="A496" s="25" t="str">
        <f>IF(Pontuacao!A496="","",Pontuacao!A496)</f>
        <v/>
      </c>
      <c r="B496" s="26" t="str">
        <f t="array" ref="B496">IFERROR(IF(A496="","",INDEX(Pontuacao!$B$1:$H$1,MATCH(MAX(Pontuacao!B496:H496),Pontuacao!B496:H496,0))),"")</f>
        <v/>
      </c>
      <c r="C496" s="29" t="str">
        <f>IF(A496="","",MAX(Pontuacao!B496:H496))</f>
        <v/>
      </c>
      <c r="D496" s="26" t="str">
        <f t="shared" si="1"/>
        <v/>
      </c>
      <c r="E496" s="26" t="str">
        <f t="shared" si="2"/>
        <v/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0" customHeight="1">
      <c r="A497" s="25" t="str">
        <f>IF(Pontuacao!A497="","",Pontuacao!A497)</f>
        <v/>
      </c>
      <c r="B497" s="26" t="str">
        <f t="array" ref="B497">IFERROR(IF(A497="","",INDEX(Pontuacao!$B$1:$H$1,MATCH(MAX(Pontuacao!B497:H497),Pontuacao!B497:H497,0))),"")</f>
        <v/>
      </c>
      <c r="C497" s="29" t="str">
        <f>IF(A497="","",MAX(Pontuacao!B497:H497))</f>
        <v/>
      </c>
      <c r="D497" s="26" t="str">
        <f t="shared" si="1"/>
        <v/>
      </c>
      <c r="E497" s="26" t="str">
        <f t="shared" si="2"/>
        <v/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0" customHeight="1">
      <c r="A498" s="25" t="str">
        <f>IF(Pontuacao!A498="","",Pontuacao!A498)</f>
        <v/>
      </c>
      <c r="B498" s="26" t="str">
        <f t="array" ref="B498">IFERROR(IF(A498="","",INDEX(Pontuacao!$B$1:$H$1,MATCH(MAX(Pontuacao!B498:H498),Pontuacao!B498:H498,0))),"")</f>
        <v/>
      </c>
      <c r="C498" s="29" t="str">
        <f>IF(A498="","",MAX(Pontuacao!B498:H498))</f>
        <v/>
      </c>
      <c r="D498" s="26" t="str">
        <f t="shared" si="1"/>
        <v/>
      </c>
      <c r="E498" s="26" t="str">
        <f t="shared" si="2"/>
        <v/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0" customHeight="1">
      <c r="A499" s="25" t="str">
        <f>IF(Pontuacao!A499="","",Pontuacao!A499)</f>
        <v/>
      </c>
      <c r="B499" s="26" t="str">
        <f t="array" ref="B499">IFERROR(IF(A499="","",INDEX(Pontuacao!$B$1:$H$1,MATCH(MAX(Pontuacao!B499:H499),Pontuacao!B499:H499,0))),"")</f>
        <v/>
      </c>
      <c r="C499" s="29" t="str">
        <f>IF(A499="","",MAX(Pontuacao!B499:H499))</f>
        <v/>
      </c>
      <c r="D499" s="26" t="str">
        <f t="shared" si="1"/>
        <v/>
      </c>
      <c r="E499" s="26" t="str">
        <f t="shared" si="2"/>
        <v/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0" customHeight="1">
      <c r="A500" s="25" t="str">
        <f>IF(Pontuacao!A500="","",Pontuacao!A500)</f>
        <v/>
      </c>
      <c r="B500" s="26" t="str">
        <f t="array" ref="B500">IFERROR(IF(A500="","",INDEX(Pontuacao!$B$1:$H$1,MATCH(MAX(Pontuacao!B500:H500),Pontuacao!B500:H500,0))),"")</f>
        <v/>
      </c>
      <c r="C500" s="29" t="str">
        <f>IF(A500="","",MAX(Pontuacao!B500:H500))</f>
        <v/>
      </c>
      <c r="D500" s="26" t="str">
        <f t="shared" si="1"/>
        <v/>
      </c>
      <c r="E500" s="26" t="str">
        <f t="shared" si="2"/>
        <v/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